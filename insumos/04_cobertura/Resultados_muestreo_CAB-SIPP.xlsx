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MAR LLAMBO\ipp_2024\insumos\04_cobertura\"/>
    </mc:Choice>
  </mc:AlternateContent>
  <bookViews>
    <workbookView xWindow="0" yWindow="0" windowWidth="19200" windowHeight="6648" tabRatio="624"/>
  </bookViews>
  <sheets>
    <sheet name="Muestra Total" sheetId="2" r:id="rId1"/>
    <sheet name="Descripción_variables" sheetId="24" r:id="rId2"/>
    <sheet name="Hoja6" sheetId="15" state="hidden" r:id="rId3"/>
    <sheet name="Hoja7" sheetId="16" state="hidden" r:id="rId4"/>
    <sheet name="Hoja8" sheetId="17" state="hidden" r:id="rId5"/>
    <sheet name="Hoja9" sheetId="18" state="hidden" r:id="rId6"/>
    <sheet name="Hoja10" sheetId="19" state="hidden" r:id="rId7"/>
    <sheet name="Hoja11" sheetId="20" state="hidden" r:id="rId8"/>
    <sheet name="Hoja12" sheetId="21" state="hidden" r:id="rId9"/>
    <sheet name="Hoja13" sheetId="22" state="hidden" r:id="rId10"/>
    <sheet name="Hoja14" sheetId="23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6" hidden="1">Hoja10!$K$3:$M$3</definedName>
    <definedName name="_xlnm._FilterDatabase" localSheetId="7" hidden="1">Hoja11!$H$3:$J$56</definedName>
    <definedName name="_xlnm._FilterDatabase" localSheetId="8" hidden="1">Hoja12!$J$3:$L$14</definedName>
    <definedName name="_xlnm._FilterDatabase" localSheetId="9" hidden="1">Hoja13!$H$4:$J$25</definedName>
    <definedName name="_xlnm._FilterDatabase" localSheetId="10" hidden="1">Hoja14!$J$2:$L$236</definedName>
    <definedName name="_xlnm._FilterDatabase" localSheetId="2" hidden="1">Hoja6!$J$3:$L$3</definedName>
    <definedName name="_xlnm._FilterDatabase" localSheetId="3" hidden="1">Hoja7!$H$4:$J$4</definedName>
    <definedName name="_xlnm._FilterDatabase" localSheetId="4" hidden="1">Hoja8!$H$3:$J$3</definedName>
    <definedName name="_xlnm._FilterDatabase" localSheetId="5" hidden="1">Hoja9!$H$2:$J$39</definedName>
    <definedName name="_xlnm._FilterDatabase" localSheetId="0" hidden="1">'Muestra Total'!$A$1:$DC$673</definedName>
  </definedNames>
  <calcPr calcId="152511"/>
  <pivotCaches>
    <pivotCache cacheId="0" r:id="rId18"/>
    <pivotCache cacheId="1" r:id="rId19"/>
    <pivotCache cacheId="2" r:id="rId20"/>
    <pivotCache cacheId="3" r:id="rId21"/>
    <pivotCache cacheId="4" r:id="rId22"/>
    <pivotCache cacheId="5" r:id="rId23"/>
    <pivotCache cacheId="6" r:id="rId24"/>
    <pivotCache cacheId="7" r:id="rId25"/>
    <pivotCache cacheId="8" r:id="rId2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6" i="23" l="1"/>
  <c r="K137" i="23"/>
  <c r="K85" i="23"/>
  <c r="K37" i="23"/>
  <c r="K84" i="23"/>
  <c r="K136" i="23"/>
  <c r="K83" i="23"/>
  <c r="K236" i="23"/>
  <c r="K135" i="23"/>
  <c r="K82" i="23"/>
  <c r="K27" i="23"/>
  <c r="K235" i="23"/>
  <c r="K81" i="23"/>
  <c r="K234" i="23"/>
  <c r="K233" i="23"/>
  <c r="K26" i="23"/>
  <c r="K134" i="23"/>
  <c r="K133" i="23"/>
  <c r="K232" i="23"/>
  <c r="K132" i="23"/>
  <c r="K231" i="23"/>
  <c r="K131" i="23"/>
  <c r="K230" i="23"/>
  <c r="K229" i="23"/>
  <c r="K228" i="23"/>
  <c r="K130" i="23"/>
  <c r="K227" i="23"/>
  <c r="K129" i="23"/>
  <c r="K226" i="23"/>
  <c r="K80" i="23"/>
  <c r="K54" i="23"/>
  <c r="K225" i="23"/>
  <c r="K79" i="23"/>
  <c r="K224" i="23"/>
  <c r="K53" i="23"/>
  <c r="K128" i="23"/>
  <c r="K223" i="23"/>
  <c r="K36" i="23"/>
  <c r="K52" i="23"/>
  <c r="K127" i="23"/>
  <c r="K13" i="23"/>
  <c r="K222" i="23"/>
  <c r="K35" i="23"/>
  <c r="K221" i="23"/>
  <c r="K220" i="23"/>
  <c r="K126" i="23"/>
  <c r="K219" i="23"/>
  <c r="K218" i="23"/>
  <c r="K217" i="23"/>
  <c r="K125" i="23"/>
  <c r="K216" i="23"/>
  <c r="K124" i="23"/>
  <c r="K215" i="23"/>
  <c r="K214" i="23"/>
  <c r="K78" i="23"/>
  <c r="K213" i="23"/>
  <c r="K123" i="23"/>
  <c r="K122" i="23"/>
  <c r="K212" i="23"/>
  <c r="K77" i="23"/>
  <c r="K34" i="23"/>
  <c r="K211" i="23"/>
  <c r="K210" i="23"/>
  <c r="K25" i="23"/>
  <c r="K33" i="23"/>
  <c r="K51" i="23"/>
  <c r="K76" i="23"/>
  <c r="K121" i="23"/>
  <c r="K75" i="23"/>
  <c r="K120" i="23"/>
  <c r="K74" i="23"/>
  <c r="K50" i="23"/>
  <c r="K18" i="23"/>
  <c r="K8" i="23"/>
  <c r="K209" i="23"/>
  <c r="K119" i="23"/>
  <c r="K49" i="23"/>
  <c r="K73" i="23"/>
  <c r="K48" i="23"/>
  <c r="K208" i="23"/>
  <c r="K207" i="23"/>
  <c r="K206" i="23"/>
  <c r="K205" i="23"/>
  <c r="K204" i="23"/>
  <c r="K203" i="23"/>
  <c r="K202" i="23"/>
  <c r="K47" i="23"/>
  <c r="K201" i="23"/>
  <c r="K118" i="23"/>
  <c r="K200" i="23"/>
  <c r="K199" i="23"/>
  <c r="K198" i="23"/>
  <c r="K197" i="23"/>
  <c r="K196" i="23"/>
  <c r="K195" i="23"/>
  <c r="K194" i="23"/>
  <c r="K193" i="23"/>
  <c r="K192" i="23"/>
  <c r="K72" i="23"/>
  <c r="K191" i="23"/>
  <c r="K190" i="23"/>
  <c r="K32" i="23"/>
  <c r="K71" i="23"/>
  <c r="K117" i="23"/>
  <c r="K17" i="23"/>
  <c r="K24" i="23"/>
  <c r="K116" i="23"/>
  <c r="K189" i="23"/>
  <c r="K188" i="23"/>
  <c r="K187" i="23"/>
  <c r="K12" i="23"/>
  <c r="K70" i="23"/>
  <c r="K115" i="23"/>
  <c r="K114" i="23"/>
  <c r="K186" i="23"/>
  <c r="K113" i="23"/>
  <c r="K7" i="23"/>
  <c r="K185" i="23"/>
  <c r="K16" i="23"/>
  <c r="K184" i="23"/>
  <c r="K183" i="23"/>
  <c r="K69" i="23"/>
  <c r="K68" i="23"/>
  <c r="K182" i="23"/>
  <c r="K23" i="23"/>
  <c r="K22" i="23"/>
  <c r="K181" i="23"/>
  <c r="K180" i="23"/>
  <c r="K179" i="23"/>
  <c r="K178" i="23"/>
  <c r="K46" i="23"/>
  <c r="K177" i="23"/>
  <c r="K31" i="23"/>
  <c r="K21" i="23"/>
  <c r="K176" i="23"/>
  <c r="K175" i="23"/>
  <c r="K174" i="23"/>
  <c r="K11" i="23"/>
  <c r="K112" i="23"/>
  <c r="K173" i="23"/>
  <c r="K45" i="23"/>
  <c r="K111" i="23"/>
  <c r="K172" i="23"/>
  <c r="K20" i="23"/>
  <c r="K171" i="23"/>
  <c r="K67" i="23"/>
  <c r="K110" i="23"/>
  <c r="K170" i="23"/>
  <c r="K44" i="23"/>
  <c r="K109" i="23"/>
  <c r="K43" i="23"/>
  <c r="K30" i="23"/>
  <c r="K29" i="23"/>
  <c r="K66" i="23"/>
  <c r="K169" i="23"/>
  <c r="K5" i="23"/>
  <c r="K65" i="23"/>
  <c r="K3" i="23"/>
  <c r="K15" i="23"/>
  <c r="K6" i="23"/>
  <c r="K168" i="23"/>
  <c r="K14" i="23"/>
  <c r="K108" i="23"/>
  <c r="K167" i="23"/>
  <c r="K166" i="23"/>
  <c r="K42" i="23"/>
  <c r="K107" i="23"/>
  <c r="K165" i="23"/>
  <c r="K64" i="23"/>
  <c r="K63" i="23"/>
  <c r="K62" i="23"/>
  <c r="K164" i="23"/>
  <c r="K61" i="23"/>
  <c r="K163" i="23"/>
  <c r="K162" i="23"/>
  <c r="K161" i="23"/>
  <c r="K160" i="23"/>
  <c r="K159" i="23"/>
  <c r="K158" i="23"/>
  <c r="K157" i="23"/>
  <c r="K106" i="23"/>
  <c r="K156" i="23"/>
  <c r="K41" i="23"/>
  <c r="K155" i="23"/>
  <c r="K105" i="23"/>
  <c r="K104" i="23"/>
  <c r="K60" i="23"/>
  <c r="K103" i="23"/>
  <c r="K102" i="23"/>
  <c r="K59" i="23"/>
  <c r="K154" i="23"/>
  <c r="K153" i="23"/>
  <c r="K40" i="23"/>
  <c r="K58" i="23"/>
  <c r="K152" i="23"/>
  <c r="K151" i="23"/>
  <c r="K101" i="23"/>
  <c r="K100" i="23"/>
  <c r="K150" i="23"/>
  <c r="K99" i="23"/>
  <c r="K98" i="23"/>
  <c r="K149" i="23"/>
  <c r="K148" i="23"/>
  <c r="K97" i="23"/>
  <c r="K19" i="23"/>
  <c r="K147" i="23"/>
  <c r="K57" i="23"/>
  <c r="K10" i="23"/>
  <c r="K146" i="23"/>
  <c r="K39" i="23"/>
  <c r="K4" i="23"/>
  <c r="K56" i="23"/>
  <c r="K55" i="23"/>
  <c r="K96" i="23"/>
  <c r="K95" i="23"/>
  <c r="K9" i="23"/>
  <c r="K145" i="23"/>
  <c r="K144" i="23"/>
  <c r="K94" i="23"/>
  <c r="K143" i="23"/>
  <c r="K28" i="23"/>
  <c r="K38" i="23"/>
  <c r="K93" i="23"/>
  <c r="K92" i="23"/>
  <c r="K142" i="23"/>
  <c r="K91" i="23"/>
  <c r="K90" i="23"/>
  <c r="K141" i="23"/>
  <c r="K89" i="23"/>
  <c r="K88" i="23"/>
  <c r="K140" i="23"/>
  <c r="K139" i="23"/>
  <c r="K87" i="23"/>
  <c r="K138" i="23"/>
  <c r="I25" i="22"/>
  <c r="I7" i="22"/>
  <c r="I24" i="22"/>
  <c r="I23" i="22"/>
  <c r="I14" i="22"/>
  <c r="I5" i="22"/>
  <c r="I22" i="22"/>
  <c r="I13" i="22"/>
  <c r="I6" i="22"/>
  <c r="I21" i="22"/>
  <c r="I20" i="22"/>
  <c r="I12" i="22"/>
  <c r="I11" i="22"/>
  <c r="I19" i="22"/>
  <c r="I18" i="22"/>
  <c r="I17" i="22"/>
  <c r="I10" i="22"/>
  <c r="I9" i="22"/>
  <c r="I16" i="22"/>
  <c r="I8" i="22"/>
  <c r="I15" i="22"/>
  <c r="K14" i="21"/>
  <c r="K5" i="21"/>
  <c r="K13" i="21"/>
  <c r="K12" i="21"/>
  <c r="K4" i="21"/>
  <c r="K7" i="21"/>
  <c r="K11" i="21"/>
  <c r="K10" i="21"/>
  <c r="K9" i="21"/>
  <c r="K8" i="21"/>
  <c r="K6" i="21"/>
  <c r="I56" i="20"/>
  <c r="I55" i="20"/>
  <c r="I54" i="20"/>
  <c r="I53" i="20"/>
  <c r="I52" i="20"/>
  <c r="I19" i="20"/>
  <c r="I51" i="20"/>
  <c r="I50" i="20"/>
  <c r="I49" i="20"/>
  <c r="I48" i="20"/>
  <c r="I47" i="20"/>
  <c r="I46" i="20"/>
  <c r="I45" i="20"/>
  <c r="I44" i="20"/>
  <c r="I43" i="20"/>
  <c r="I18" i="20"/>
  <c r="I42" i="20"/>
  <c r="I41" i="20"/>
  <c r="I40" i="20"/>
  <c r="I39" i="20"/>
  <c r="I38" i="20"/>
  <c r="I4" i="20"/>
  <c r="I37" i="20"/>
  <c r="I36" i="20"/>
  <c r="I17" i="20"/>
  <c r="I35" i="20"/>
  <c r="I16" i="20"/>
  <c r="I34" i="20"/>
  <c r="I15" i="20"/>
  <c r="I33" i="20"/>
  <c r="I32" i="20"/>
  <c r="I14" i="20"/>
  <c r="I31" i="20"/>
  <c r="I30" i="20"/>
  <c r="I13" i="20"/>
  <c r="I5" i="20"/>
  <c r="I29" i="20"/>
  <c r="I12" i="20"/>
  <c r="I28" i="20"/>
  <c r="I27" i="20"/>
  <c r="I26" i="20"/>
  <c r="I25" i="20"/>
  <c r="I24" i="20"/>
  <c r="I23" i="20"/>
  <c r="I22" i="20"/>
  <c r="I21" i="20"/>
  <c r="I20" i="20"/>
  <c r="I11" i="20"/>
  <c r="I6" i="20"/>
  <c r="I10" i="20"/>
  <c r="I9" i="20"/>
  <c r="I8" i="20"/>
  <c r="I7" i="20"/>
  <c r="L73" i="19"/>
  <c r="L72" i="19"/>
  <c r="L71" i="19"/>
  <c r="L70" i="19"/>
  <c r="L69" i="19"/>
  <c r="L17" i="19"/>
  <c r="L68" i="19"/>
  <c r="L10" i="19"/>
  <c r="L67" i="19"/>
  <c r="L66" i="19"/>
  <c r="L8" i="19"/>
  <c r="L28" i="19"/>
  <c r="L65" i="19"/>
  <c r="L64" i="19"/>
  <c r="L63" i="19"/>
  <c r="L62" i="19"/>
  <c r="L27" i="19"/>
  <c r="L7" i="19"/>
  <c r="L61" i="19"/>
  <c r="L60" i="19"/>
  <c r="L59" i="19"/>
  <c r="L58" i="19"/>
  <c r="L57" i="19"/>
  <c r="L56" i="19"/>
  <c r="L55" i="19"/>
  <c r="L54" i="19"/>
  <c r="L53" i="19"/>
  <c r="L16" i="19"/>
  <c r="L52" i="19"/>
  <c r="L5" i="19"/>
  <c r="L26" i="19"/>
  <c r="L51" i="19"/>
  <c r="L50" i="19"/>
  <c r="L49" i="19"/>
  <c r="L48" i="19"/>
  <c r="L47" i="19"/>
  <c r="L25" i="19"/>
  <c r="L9" i="19"/>
  <c r="L46" i="19"/>
  <c r="L24" i="19"/>
  <c r="L23" i="19"/>
  <c r="L22" i="19"/>
  <c r="L15" i="19"/>
  <c r="L45" i="19"/>
  <c r="L44" i="19"/>
  <c r="L14" i="19"/>
  <c r="L43" i="19"/>
  <c r="L21" i="19"/>
  <c r="L42" i="19"/>
  <c r="L6" i="19"/>
  <c r="L41" i="19"/>
  <c r="L40" i="19"/>
  <c r="L39" i="19"/>
  <c r="L38" i="19"/>
  <c r="L37" i="19"/>
  <c r="L20" i="19"/>
  <c r="L36" i="19"/>
  <c r="L35" i="19"/>
  <c r="L34" i="19"/>
  <c r="L33" i="19"/>
  <c r="L32" i="19"/>
  <c r="L13" i="19"/>
  <c r="L31" i="19"/>
  <c r="L12" i="19"/>
  <c r="L4" i="19"/>
  <c r="L30" i="19"/>
  <c r="L11" i="19"/>
  <c r="L19" i="19"/>
  <c r="L18" i="19"/>
  <c r="L29" i="19"/>
  <c r="I39" i="18"/>
  <c r="I38" i="18"/>
  <c r="I13" i="18"/>
  <c r="I6" i="18"/>
  <c r="I37" i="18"/>
  <c r="I5" i="18"/>
  <c r="I12" i="18"/>
  <c r="I36" i="18"/>
  <c r="I35" i="18"/>
  <c r="I11" i="18"/>
  <c r="I10" i="18"/>
  <c r="I34" i="18"/>
  <c r="I33" i="18"/>
  <c r="I32" i="18"/>
  <c r="I31" i="18"/>
  <c r="I30" i="18"/>
  <c r="I29" i="18"/>
  <c r="I28" i="18"/>
  <c r="I27" i="18"/>
  <c r="I9" i="18"/>
  <c r="I8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4" i="18"/>
  <c r="I3" i="18"/>
  <c r="I7" i="18"/>
  <c r="I39" i="17"/>
  <c r="I38" i="17"/>
  <c r="I14" i="17"/>
  <c r="I37" i="17"/>
  <c r="I87" i="17"/>
  <c r="I86" i="17"/>
  <c r="I85" i="17"/>
  <c r="I84" i="17"/>
  <c r="I83" i="17"/>
  <c r="I82" i="17"/>
  <c r="I13" i="17"/>
  <c r="I36" i="17"/>
  <c r="I81" i="17"/>
  <c r="I80" i="17"/>
  <c r="I79" i="17"/>
  <c r="I78" i="17"/>
  <c r="I77" i="17"/>
  <c r="I35" i="17"/>
  <c r="I76" i="17"/>
  <c r="I75" i="17"/>
  <c r="I74" i="17"/>
  <c r="I34" i="17"/>
  <c r="I33" i="17"/>
  <c r="I32" i="17"/>
  <c r="I73" i="17"/>
  <c r="I72" i="17"/>
  <c r="I12" i="17"/>
  <c r="I31" i="17"/>
  <c r="I71" i="17"/>
  <c r="I70" i="17"/>
  <c r="I69" i="17"/>
  <c r="I68" i="17"/>
  <c r="I67" i="17"/>
  <c r="I66" i="17"/>
  <c r="I65" i="17"/>
  <c r="I64" i="17"/>
  <c r="I63" i="17"/>
  <c r="I11" i="17"/>
  <c r="I62" i="17"/>
  <c r="I10" i="17"/>
  <c r="I61" i="17"/>
  <c r="I30" i="17"/>
  <c r="I29" i="17"/>
  <c r="I6" i="17"/>
  <c r="I60" i="17"/>
  <c r="I28" i="17"/>
  <c r="I59" i="17"/>
  <c r="I27" i="17"/>
  <c r="I26" i="17"/>
  <c r="I25" i="17"/>
  <c r="I58" i="17"/>
  <c r="I57" i="17"/>
  <c r="I56" i="17"/>
  <c r="I55" i="17"/>
  <c r="I24" i="17"/>
  <c r="I23" i="17"/>
  <c r="I54" i="17"/>
  <c r="I22" i="17"/>
  <c r="I9" i="17"/>
  <c r="I53" i="17"/>
  <c r="I52" i="17"/>
  <c r="I51" i="17"/>
  <c r="I50" i="17"/>
  <c r="I49" i="17"/>
  <c r="I21" i="17"/>
  <c r="I48" i="17"/>
  <c r="I47" i="17"/>
  <c r="I20" i="17"/>
  <c r="I8" i="17"/>
  <c r="I7" i="17"/>
  <c r="I46" i="17"/>
  <c r="I5" i="17"/>
  <c r="I19" i="17"/>
  <c r="I4" i="17"/>
  <c r="I45" i="17"/>
  <c r="I44" i="17"/>
  <c r="I18" i="17"/>
  <c r="I43" i="17"/>
  <c r="I42" i="17"/>
  <c r="I17" i="17"/>
  <c r="I16" i="17"/>
  <c r="I41" i="17"/>
  <c r="I15" i="17"/>
  <c r="I40" i="17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K81" i="15"/>
  <c r="K80" i="15"/>
  <c r="K79" i="15"/>
  <c r="K36" i="15"/>
  <c r="K20" i="15"/>
  <c r="K78" i="15"/>
  <c r="K19" i="15"/>
  <c r="K35" i="15"/>
  <c r="K77" i="15"/>
  <c r="K34" i="15"/>
  <c r="K76" i="15"/>
  <c r="K75" i="15"/>
  <c r="K33" i="15"/>
  <c r="K18" i="15"/>
  <c r="K74" i="15"/>
  <c r="K73" i="15"/>
  <c r="K32" i="15"/>
  <c r="K72" i="15"/>
  <c r="K71" i="15"/>
  <c r="K17" i="15"/>
  <c r="K70" i="15"/>
  <c r="K16" i="15"/>
  <c r="K31" i="15"/>
  <c r="K15" i="15"/>
  <c r="K69" i="15"/>
  <c r="K14" i="15"/>
  <c r="K68" i="15"/>
  <c r="K67" i="15"/>
  <c r="K66" i="15"/>
  <c r="K30" i="15"/>
  <c r="K13" i="15"/>
  <c r="K65" i="15"/>
  <c r="K64" i="15"/>
  <c r="K63" i="15"/>
  <c r="K62" i="15"/>
  <c r="K29" i="15"/>
  <c r="K61" i="15"/>
  <c r="K28" i="15"/>
  <c r="K27" i="15"/>
  <c r="K12" i="15"/>
  <c r="K26" i="15"/>
  <c r="K60" i="15"/>
  <c r="K25" i="15"/>
  <c r="K59" i="15"/>
  <c r="K58" i="15"/>
  <c r="K11" i="15"/>
  <c r="K10" i="15"/>
  <c r="K57" i="15"/>
  <c r="K56" i="15"/>
  <c r="K55" i="15"/>
  <c r="K54" i="15"/>
  <c r="K24" i="15"/>
  <c r="K9" i="15"/>
  <c r="K53" i="15"/>
  <c r="K23" i="15"/>
  <c r="K5" i="15"/>
  <c r="K8" i="15"/>
  <c r="K4" i="15"/>
  <c r="K52" i="15"/>
  <c r="K51" i="15"/>
  <c r="K50" i="15"/>
  <c r="K49" i="15"/>
  <c r="K48" i="15"/>
  <c r="K47" i="15"/>
  <c r="K46" i="15"/>
  <c r="K45" i="15"/>
  <c r="K44" i="15"/>
  <c r="K43" i="15"/>
  <c r="K42" i="15"/>
  <c r="K41" i="15"/>
  <c r="K7" i="15"/>
  <c r="K40" i="15"/>
  <c r="K22" i="15"/>
  <c r="K6" i="15"/>
  <c r="K39" i="15"/>
  <c r="K21" i="15"/>
  <c r="K38" i="15"/>
  <c r="K37" i="15"/>
  <c r="AR673" i="2" l="1"/>
  <c r="AQ673" i="2"/>
  <c r="AR672" i="2"/>
  <c r="AQ672" i="2"/>
  <c r="AR556" i="2"/>
  <c r="AQ556" i="2"/>
  <c r="AR670" i="2"/>
  <c r="AQ670" i="2"/>
  <c r="AR555" i="2"/>
  <c r="AQ555" i="2"/>
  <c r="AR553" i="2"/>
  <c r="AQ553" i="2"/>
  <c r="AR667" i="2"/>
  <c r="AQ667" i="2"/>
  <c r="AR666" i="2"/>
  <c r="AQ666" i="2"/>
  <c r="AR552" i="2"/>
  <c r="AQ552" i="2"/>
  <c r="AR664" i="2"/>
  <c r="AQ664" i="2"/>
  <c r="AR663" i="2"/>
  <c r="AQ663" i="2"/>
  <c r="AR662" i="2"/>
  <c r="AQ662" i="2"/>
  <c r="AR375" i="2"/>
  <c r="AQ375" i="2"/>
  <c r="AR660" i="2"/>
  <c r="AQ660" i="2"/>
  <c r="AR374" i="2"/>
  <c r="AQ374" i="2"/>
  <c r="AR658" i="2"/>
  <c r="AQ658" i="2"/>
  <c r="AR657" i="2"/>
  <c r="AQ657" i="2"/>
  <c r="AR373" i="2"/>
  <c r="AQ373" i="2"/>
  <c r="AR371" i="2"/>
  <c r="AQ371" i="2"/>
  <c r="AR370" i="2"/>
  <c r="AQ370" i="2"/>
  <c r="AR368" i="2"/>
  <c r="AQ368" i="2"/>
  <c r="AR317" i="2"/>
  <c r="AQ317" i="2"/>
  <c r="AR316" i="2"/>
  <c r="AQ316" i="2"/>
  <c r="AR315" i="2"/>
  <c r="AQ315" i="2"/>
  <c r="AR384" i="2"/>
  <c r="AQ384" i="2"/>
  <c r="AR66" i="2"/>
  <c r="AQ66" i="2"/>
  <c r="AR313" i="2"/>
  <c r="AQ313" i="2"/>
  <c r="AR646" i="2"/>
  <c r="AQ646" i="2"/>
  <c r="AR312" i="2"/>
  <c r="AQ312" i="2"/>
  <c r="AR177" i="2"/>
  <c r="AQ177" i="2"/>
  <c r="AR643" i="2"/>
  <c r="AQ643" i="2"/>
  <c r="AR642" i="2"/>
  <c r="AQ642" i="2"/>
  <c r="AR311" i="2"/>
  <c r="AQ311" i="2"/>
  <c r="AR308" i="2"/>
  <c r="AQ308" i="2"/>
  <c r="AR639" i="2"/>
  <c r="AQ639" i="2"/>
  <c r="AR638" i="2"/>
  <c r="AQ638" i="2"/>
  <c r="AR637" i="2"/>
  <c r="AQ637" i="2"/>
  <c r="AR636" i="2"/>
  <c r="AQ636" i="2"/>
  <c r="AR635" i="2"/>
  <c r="AQ635" i="2"/>
  <c r="AR286" i="2"/>
  <c r="AQ286" i="2"/>
  <c r="AR633" i="2"/>
  <c r="AQ633" i="2"/>
  <c r="AR285" i="2"/>
  <c r="AQ285" i="2"/>
  <c r="AR631" i="2"/>
  <c r="AQ631" i="2"/>
  <c r="AR284" i="2"/>
  <c r="AQ284" i="2"/>
  <c r="AR176" i="2"/>
  <c r="AQ176" i="2"/>
  <c r="AR628" i="2"/>
  <c r="AQ628" i="2"/>
  <c r="AR148" i="2"/>
  <c r="AQ148" i="2"/>
  <c r="AR329" i="2"/>
  <c r="AQ329" i="2"/>
  <c r="AR669" i="2"/>
  <c r="AQ669" i="2"/>
  <c r="AR624" i="2"/>
  <c r="AQ624" i="2"/>
  <c r="AR623" i="2"/>
  <c r="AQ623" i="2"/>
  <c r="AR138" i="2"/>
  <c r="AQ138" i="2"/>
  <c r="AR621" i="2"/>
  <c r="AQ621" i="2"/>
  <c r="AR280" i="2"/>
  <c r="AQ280" i="2"/>
  <c r="AR619" i="2"/>
  <c r="AQ619" i="2"/>
  <c r="AR137" i="2"/>
  <c r="AQ137" i="2"/>
  <c r="AR617" i="2"/>
  <c r="AQ617" i="2"/>
  <c r="AR607" i="2"/>
  <c r="AQ607" i="2"/>
  <c r="AR114" i="2"/>
  <c r="AQ114" i="2"/>
  <c r="AR92" i="2"/>
  <c r="AQ92" i="2"/>
  <c r="AR613" i="2"/>
  <c r="AQ613" i="2"/>
  <c r="AR612" i="2"/>
  <c r="AQ612" i="2"/>
  <c r="AR88" i="2"/>
  <c r="AQ88" i="2"/>
  <c r="AR67" i="2"/>
  <c r="AQ67" i="2"/>
  <c r="AR81" i="2"/>
  <c r="AQ81" i="2"/>
  <c r="AR608" i="2"/>
  <c r="AQ608" i="2"/>
  <c r="AR394" i="2"/>
  <c r="AQ394" i="2"/>
  <c r="AR132" i="2"/>
  <c r="AQ132" i="2"/>
  <c r="AR130" i="2"/>
  <c r="AQ130" i="2"/>
  <c r="AR604" i="2"/>
  <c r="AQ604" i="2"/>
  <c r="AR603" i="2"/>
  <c r="AQ603" i="2"/>
  <c r="AR602" i="2"/>
  <c r="AQ602" i="2"/>
  <c r="AR601" i="2"/>
  <c r="AQ601" i="2"/>
  <c r="AR600" i="2"/>
  <c r="AQ600" i="2"/>
  <c r="AR599" i="2"/>
  <c r="AQ599" i="2"/>
  <c r="AR598" i="2"/>
  <c r="AQ598" i="2"/>
  <c r="AR597" i="2"/>
  <c r="AQ597" i="2"/>
  <c r="AR596" i="2"/>
  <c r="AQ596" i="2"/>
  <c r="AR87" i="2"/>
  <c r="AQ87" i="2"/>
  <c r="AR366" i="2"/>
  <c r="AQ366" i="2"/>
  <c r="AR97" i="2"/>
  <c r="AQ97" i="2"/>
  <c r="AR80" i="2"/>
  <c r="AQ80" i="2"/>
  <c r="AR591" i="2"/>
  <c r="AQ591" i="2"/>
  <c r="AR64" i="2"/>
  <c r="AQ64" i="2"/>
  <c r="AR589" i="2"/>
  <c r="AQ589" i="2"/>
  <c r="AR102" i="2"/>
  <c r="AQ102" i="2"/>
  <c r="AR587" i="2"/>
  <c r="AQ587" i="2"/>
  <c r="AR560" i="2"/>
  <c r="AQ560" i="2"/>
  <c r="AR101" i="2"/>
  <c r="AQ101" i="2"/>
  <c r="AR584" i="2"/>
  <c r="AQ584" i="2"/>
  <c r="AR583" i="2"/>
  <c r="AQ583" i="2"/>
  <c r="AR656" i="2"/>
  <c r="AQ656" i="2"/>
  <c r="AR622" i="2"/>
  <c r="AQ622" i="2"/>
  <c r="AR580" i="2"/>
  <c r="AQ580" i="2"/>
  <c r="AR307" i="2"/>
  <c r="AQ307" i="2"/>
  <c r="AR279" i="2"/>
  <c r="AQ279" i="2"/>
  <c r="AR577" i="2"/>
  <c r="AQ577" i="2"/>
  <c r="AR576" i="2"/>
  <c r="AQ576" i="2"/>
  <c r="AR575" i="2"/>
  <c r="AQ575" i="2"/>
  <c r="AR574" i="2"/>
  <c r="AQ574" i="2"/>
  <c r="AR573" i="2"/>
  <c r="AQ573" i="2"/>
  <c r="AR572" i="2"/>
  <c r="AQ572" i="2"/>
  <c r="AR620" i="2"/>
  <c r="AQ620" i="2"/>
  <c r="AR634" i="2"/>
  <c r="AQ634" i="2"/>
  <c r="AR569" i="2"/>
  <c r="AQ569" i="2"/>
  <c r="AR568" i="2"/>
  <c r="AQ568" i="2"/>
  <c r="AR618" i="2"/>
  <c r="AQ618" i="2"/>
  <c r="AR566" i="2"/>
  <c r="AQ566" i="2"/>
  <c r="AR128" i="2"/>
  <c r="AQ128" i="2"/>
  <c r="AR564" i="2"/>
  <c r="AQ564" i="2"/>
  <c r="AR563" i="2"/>
  <c r="AQ563" i="2"/>
  <c r="AR562" i="2"/>
  <c r="AQ562" i="2"/>
  <c r="AR561" i="2"/>
  <c r="AQ561" i="2"/>
  <c r="AR278" i="2"/>
  <c r="AQ278" i="2"/>
  <c r="AR559" i="2"/>
  <c r="AQ559" i="2"/>
  <c r="AR558" i="2"/>
  <c r="AQ558" i="2"/>
  <c r="AR277" i="2"/>
  <c r="AQ277" i="2"/>
  <c r="AR275" i="2"/>
  <c r="AQ275" i="2"/>
  <c r="AR274" i="2"/>
  <c r="AQ274" i="2"/>
  <c r="AR554" i="2"/>
  <c r="AQ554" i="2"/>
  <c r="AR79" i="2"/>
  <c r="AQ79" i="2"/>
  <c r="AR78" i="2"/>
  <c r="AQ78" i="2"/>
  <c r="AR551" i="2"/>
  <c r="AQ551" i="2"/>
  <c r="AR550" i="2"/>
  <c r="AQ550" i="2"/>
  <c r="AR549" i="2"/>
  <c r="AQ549" i="2"/>
  <c r="AR548" i="2"/>
  <c r="AQ548" i="2"/>
  <c r="AR547" i="2"/>
  <c r="AQ547" i="2"/>
  <c r="AR127" i="2"/>
  <c r="AQ127" i="2"/>
  <c r="AR545" i="2"/>
  <c r="AQ545" i="2"/>
  <c r="AR544" i="2"/>
  <c r="AQ544" i="2"/>
  <c r="AR112" i="2"/>
  <c r="AQ112" i="2"/>
  <c r="AR542" i="2"/>
  <c r="AQ542" i="2"/>
  <c r="AR541" i="2"/>
  <c r="AQ541" i="2"/>
  <c r="AR110" i="2"/>
  <c r="AQ110" i="2"/>
  <c r="AR539" i="2"/>
  <c r="AQ539" i="2"/>
  <c r="AR538" i="2"/>
  <c r="AQ538" i="2"/>
  <c r="AR537" i="2"/>
  <c r="AQ537" i="2"/>
  <c r="AR536" i="2"/>
  <c r="AQ536" i="2"/>
  <c r="AR535" i="2"/>
  <c r="AQ535" i="2"/>
  <c r="AR534" i="2"/>
  <c r="AQ534" i="2"/>
  <c r="AR533" i="2"/>
  <c r="AQ533" i="2"/>
  <c r="AR532" i="2"/>
  <c r="AQ532" i="2"/>
  <c r="AR531" i="2"/>
  <c r="AQ531" i="2"/>
  <c r="AR530" i="2"/>
  <c r="AQ530" i="2"/>
  <c r="AR86" i="2"/>
  <c r="AQ86" i="2"/>
  <c r="AR528" i="2"/>
  <c r="AQ528" i="2"/>
  <c r="AR84" i="2"/>
  <c r="AQ84" i="2"/>
  <c r="AR526" i="2"/>
  <c r="AQ526" i="2"/>
  <c r="AR525" i="2"/>
  <c r="AQ525" i="2"/>
  <c r="AR524" i="2"/>
  <c r="AQ524" i="2"/>
  <c r="AR523" i="2"/>
  <c r="AQ523" i="2"/>
  <c r="AR522" i="2"/>
  <c r="AQ522" i="2"/>
  <c r="AR521" i="2"/>
  <c r="AQ521" i="2"/>
  <c r="AR520" i="2"/>
  <c r="AQ520" i="2"/>
  <c r="AR519" i="2"/>
  <c r="AQ519" i="2"/>
  <c r="AR518" i="2"/>
  <c r="AQ518" i="2"/>
  <c r="AR517" i="2"/>
  <c r="AQ517" i="2"/>
  <c r="AR516" i="2"/>
  <c r="AQ516" i="2"/>
  <c r="AR515" i="2"/>
  <c r="AQ515" i="2"/>
  <c r="AR514" i="2"/>
  <c r="AQ514" i="2"/>
  <c r="AR513" i="2"/>
  <c r="AQ513" i="2"/>
  <c r="AR512" i="2"/>
  <c r="AQ512" i="2"/>
  <c r="AR511" i="2"/>
  <c r="AQ511" i="2"/>
  <c r="AR594" i="2"/>
  <c r="AQ594" i="2"/>
  <c r="AR509" i="2"/>
  <c r="AQ509" i="2"/>
  <c r="AR593" i="2"/>
  <c r="AQ593" i="2"/>
  <c r="AR507" i="2"/>
  <c r="AQ507" i="2"/>
  <c r="AR506" i="2"/>
  <c r="AQ506" i="2"/>
  <c r="AR505" i="2"/>
  <c r="AQ505" i="2"/>
  <c r="AR504" i="2"/>
  <c r="AQ504" i="2"/>
  <c r="AR503" i="2"/>
  <c r="AQ503" i="2"/>
  <c r="AR502" i="2"/>
  <c r="AQ502" i="2"/>
  <c r="AR501" i="2"/>
  <c r="AQ501" i="2"/>
  <c r="AR500" i="2"/>
  <c r="AQ500" i="2"/>
  <c r="AR546" i="2"/>
  <c r="AQ546" i="2"/>
  <c r="AR543" i="2"/>
  <c r="AQ543" i="2"/>
  <c r="AR497" i="2"/>
  <c r="AQ497" i="2"/>
  <c r="AR496" i="2"/>
  <c r="AQ496" i="2"/>
  <c r="AR495" i="2"/>
  <c r="AQ495" i="2"/>
  <c r="AR494" i="2"/>
  <c r="AQ494" i="2"/>
  <c r="AR493" i="2"/>
  <c r="AQ493" i="2"/>
  <c r="AR492" i="2"/>
  <c r="AQ492" i="2"/>
  <c r="AR491" i="2"/>
  <c r="AQ491" i="2"/>
  <c r="AR490" i="2"/>
  <c r="AQ490" i="2"/>
  <c r="AR489" i="2"/>
  <c r="AQ489" i="2"/>
  <c r="AR488" i="2"/>
  <c r="AQ488" i="2"/>
  <c r="AR487" i="2"/>
  <c r="AQ487" i="2"/>
  <c r="AR486" i="2"/>
  <c r="AQ486" i="2"/>
  <c r="AR364" i="2"/>
  <c r="AQ364" i="2"/>
  <c r="AR484" i="2"/>
  <c r="AQ484" i="2"/>
  <c r="AR362" i="2"/>
  <c r="AQ362" i="2"/>
  <c r="AR482" i="2"/>
  <c r="AQ482" i="2"/>
  <c r="AR481" i="2"/>
  <c r="AQ481" i="2"/>
  <c r="AR480" i="2"/>
  <c r="AQ480" i="2"/>
  <c r="AR479" i="2"/>
  <c r="AQ479" i="2"/>
  <c r="AR478" i="2"/>
  <c r="AQ478" i="2"/>
  <c r="AR477" i="2"/>
  <c r="AQ477" i="2"/>
  <c r="AR476" i="2"/>
  <c r="AQ476" i="2"/>
  <c r="AR475" i="2"/>
  <c r="AQ475" i="2"/>
  <c r="AR474" i="2"/>
  <c r="AQ474" i="2"/>
  <c r="AR473" i="2"/>
  <c r="AQ473" i="2"/>
  <c r="AR383" i="2"/>
  <c r="AQ383" i="2"/>
  <c r="AR471" i="2"/>
  <c r="AQ471" i="2"/>
  <c r="AR470" i="2"/>
  <c r="AQ470" i="2"/>
  <c r="AR469" i="2"/>
  <c r="AQ469" i="2"/>
  <c r="AR468" i="2"/>
  <c r="AQ468" i="2"/>
  <c r="AR126" i="2"/>
  <c r="AQ126" i="2"/>
  <c r="AR466" i="2"/>
  <c r="AQ466" i="2"/>
  <c r="AR465" i="2"/>
  <c r="AQ465" i="2"/>
  <c r="AR464" i="2"/>
  <c r="AQ464" i="2"/>
  <c r="AR463" i="2"/>
  <c r="AQ463" i="2"/>
  <c r="AR462" i="2"/>
  <c r="AQ462" i="2"/>
  <c r="AR461" i="2"/>
  <c r="AQ461" i="2"/>
  <c r="AR460" i="2"/>
  <c r="AQ460" i="2"/>
  <c r="AR459" i="2"/>
  <c r="AQ459" i="2"/>
  <c r="AR458" i="2"/>
  <c r="AQ458" i="2"/>
  <c r="AR457" i="2"/>
  <c r="AQ457" i="2"/>
  <c r="AR456" i="2"/>
  <c r="AQ456" i="2"/>
  <c r="AR455" i="2"/>
  <c r="AQ455" i="2"/>
  <c r="AR454" i="2"/>
  <c r="AQ454" i="2"/>
  <c r="AR453" i="2"/>
  <c r="AQ453" i="2"/>
  <c r="AR452" i="2"/>
  <c r="AQ452" i="2"/>
  <c r="AR451" i="2"/>
  <c r="AQ451" i="2"/>
  <c r="AR450" i="2"/>
  <c r="AQ450" i="2"/>
  <c r="AR449" i="2"/>
  <c r="AQ449" i="2"/>
  <c r="AR448" i="2"/>
  <c r="AQ448" i="2"/>
  <c r="AR447" i="2"/>
  <c r="AQ447" i="2"/>
  <c r="AR125" i="2"/>
  <c r="AQ125" i="2"/>
  <c r="AR445" i="2"/>
  <c r="AQ445" i="2"/>
  <c r="AR444" i="2"/>
  <c r="AQ444" i="2"/>
  <c r="AR443" i="2"/>
  <c r="AQ443" i="2"/>
  <c r="AR442" i="2"/>
  <c r="AQ442" i="2"/>
  <c r="AR441" i="2"/>
  <c r="AQ441" i="2"/>
  <c r="AR440" i="2"/>
  <c r="AQ440" i="2"/>
  <c r="AR439" i="2"/>
  <c r="AQ439" i="2"/>
  <c r="AR438" i="2"/>
  <c r="AQ438" i="2"/>
  <c r="AR437" i="2"/>
  <c r="AQ437" i="2"/>
  <c r="AR436" i="2"/>
  <c r="AQ436" i="2"/>
  <c r="AR435" i="2"/>
  <c r="AQ435" i="2"/>
  <c r="AR434" i="2"/>
  <c r="AQ434" i="2"/>
  <c r="AR433" i="2"/>
  <c r="AQ433" i="2"/>
  <c r="AR432" i="2"/>
  <c r="AQ432" i="2"/>
  <c r="AR431" i="2"/>
  <c r="AQ431" i="2"/>
  <c r="AR430" i="2"/>
  <c r="AQ430" i="2"/>
  <c r="AR429" i="2"/>
  <c r="AQ429" i="2"/>
  <c r="AR428" i="2"/>
  <c r="AQ428" i="2"/>
  <c r="AR427" i="2"/>
  <c r="AQ427" i="2"/>
  <c r="AR426" i="2"/>
  <c r="AQ426" i="2"/>
  <c r="AR425" i="2"/>
  <c r="AQ425" i="2"/>
  <c r="AR424" i="2"/>
  <c r="AQ424" i="2"/>
  <c r="AR423" i="2"/>
  <c r="AQ423" i="2"/>
  <c r="AR422" i="2"/>
  <c r="AQ422" i="2"/>
  <c r="AR421" i="2"/>
  <c r="AQ421" i="2"/>
  <c r="AR420" i="2"/>
  <c r="AQ420" i="2"/>
  <c r="AR419" i="2"/>
  <c r="AQ419" i="2"/>
  <c r="AR418" i="2"/>
  <c r="AQ418" i="2"/>
  <c r="AR417" i="2"/>
  <c r="AQ417" i="2"/>
  <c r="AR416" i="2"/>
  <c r="AQ416" i="2"/>
  <c r="AR415" i="2"/>
  <c r="AQ415" i="2"/>
  <c r="AR414" i="2"/>
  <c r="AQ414" i="2"/>
  <c r="AR413" i="2"/>
  <c r="AQ413" i="2"/>
  <c r="AR412" i="2"/>
  <c r="AQ412" i="2"/>
  <c r="AR411" i="2"/>
  <c r="AQ411" i="2"/>
  <c r="AR410" i="2"/>
  <c r="AQ410" i="2"/>
  <c r="AR409" i="2"/>
  <c r="AQ409" i="2"/>
  <c r="AR408" i="2"/>
  <c r="AQ408" i="2"/>
  <c r="AR328" i="2"/>
  <c r="AQ328" i="2"/>
  <c r="AR406" i="2"/>
  <c r="AQ406" i="2"/>
  <c r="AR405" i="2"/>
  <c r="AQ405" i="2"/>
  <c r="AR404" i="2"/>
  <c r="AQ404" i="2"/>
  <c r="AR403" i="2"/>
  <c r="AQ403" i="2"/>
  <c r="AR402" i="2"/>
  <c r="AQ402" i="2"/>
  <c r="AR401" i="2"/>
  <c r="AQ401" i="2"/>
  <c r="AR400" i="2"/>
  <c r="AQ400" i="2"/>
  <c r="AR399" i="2"/>
  <c r="AQ399" i="2"/>
  <c r="AR398" i="2"/>
  <c r="AQ398" i="2"/>
  <c r="AR397" i="2"/>
  <c r="AQ397" i="2"/>
  <c r="AR396" i="2"/>
  <c r="AQ396" i="2"/>
  <c r="AR273" i="2"/>
  <c r="AQ273" i="2"/>
  <c r="AR671" i="2"/>
  <c r="AQ671" i="2"/>
  <c r="AR632" i="2"/>
  <c r="AQ632" i="2"/>
  <c r="AR63" i="2"/>
  <c r="AQ63" i="2"/>
  <c r="AR650" i="2"/>
  <c r="AQ650" i="2"/>
  <c r="AR109" i="2"/>
  <c r="AQ109" i="2"/>
  <c r="AR271" i="2"/>
  <c r="AQ271" i="2"/>
  <c r="AR388" i="2"/>
  <c r="AQ388" i="2"/>
  <c r="AR387" i="2"/>
  <c r="AQ387" i="2"/>
  <c r="AR649" i="2"/>
  <c r="AQ649" i="2"/>
  <c r="AR385" i="2"/>
  <c r="AQ385" i="2"/>
  <c r="AR630" i="2"/>
  <c r="AQ630" i="2"/>
  <c r="AR629" i="2"/>
  <c r="AQ629" i="2"/>
  <c r="AR382" i="2"/>
  <c r="AQ382" i="2"/>
  <c r="AR627" i="2"/>
  <c r="AQ627" i="2"/>
  <c r="AR380" i="2"/>
  <c r="AQ380" i="2"/>
  <c r="AR379" i="2"/>
  <c r="AQ379" i="2"/>
  <c r="AR606" i="2"/>
  <c r="AQ606" i="2"/>
  <c r="AR377" i="2"/>
  <c r="AQ377" i="2"/>
  <c r="AR648" i="2"/>
  <c r="AQ648" i="2"/>
  <c r="AR647" i="2"/>
  <c r="AQ647" i="2"/>
  <c r="AR626" i="2"/>
  <c r="AQ626" i="2"/>
  <c r="AR616" i="2"/>
  <c r="AQ616" i="2"/>
  <c r="AR372" i="2"/>
  <c r="AQ372" i="2"/>
  <c r="AR393" i="2"/>
  <c r="AQ393" i="2"/>
  <c r="AR306" i="2"/>
  <c r="AQ306" i="2"/>
  <c r="AR369" i="2"/>
  <c r="AQ369" i="2"/>
  <c r="AR326" i="2"/>
  <c r="AQ326" i="2"/>
  <c r="AR367" i="2"/>
  <c r="AQ367" i="2"/>
  <c r="AR645" i="2"/>
  <c r="AQ645" i="2"/>
  <c r="AR365" i="2"/>
  <c r="AQ365" i="2"/>
  <c r="AR359" i="2"/>
  <c r="AQ359" i="2"/>
  <c r="AR363" i="2"/>
  <c r="AQ363" i="2"/>
  <c r="AR644" i="2"/>
  <c r="AQ644" i="2"/>
  <c r="AR361" i="2"/>
  <c r="AQ361" i="2"/>
  <c r="AR360" i="2"/>
  <c r="AQ360" i="2"/>
  <c r="AR108" i="2"/>
  <c r="AQ108" i="2"/>
  <c r="AR392" i="2"/>
  <c r="AQ392" i="2"/>
  <c r="AR270" i="2"/>
  <c r="AQ270" i="2"/>
  <c r="AR356" i="2"/>
  <c r="AQ356" i="2"/>
  <c r="AR265" i="2"/>
  <c r="AQ265" i="2"/>
  <c r="AR354" i="2"/>
  <c r="AQ354" i="2"/>
  <c r="AR353" i="2"/>
  <c r="AQ353" i="2"/>
  <c r="AR256" i="2"/>
  <c r="AQ256" i="2"/>
  <c r="AR351" i="2"/>
  <c r="AQ351" i="2"/>
  <c r="AR322" i="2"/>
  <c r="AQ322" i="2"/>
  <c r="AR349" i="2"/>
  <c r="AQ349" i="2"/>
  <c r="AR107" i="2"/>
  <c r="AQ107" i="2"/>
  <c r="AR347" i="2"/>
  <c r="AQ347" i="2"/>
  <c r="AR318" i="2"/>
  <c r="AQ318" i="2"/>
  <c r="AR345" i="2"/>
  <c r="AQ345" i="2"/>
  <c r="AR344" i="2"/>
  <c r="AQ344" i="2"/>
  <c r="AR343" i="2"/>
  <c r="AQ343" i="2"/>
  <c r="AR342" i="2"/>
  <c r="AQ342" i="2"/>
  <c r="AR341" i="2"/>
  <c r="AQ341" i="2"/>
  <c r="AR249" i="2"/>
  <c r="AQ249" i="2"/>
  <c r="AR113" i="2"/>
  <c r="AQ113" i="2"/>
  <c r="AR338" i="2"/>
  <c r="AQ338" i="2"/>
  <c r="AR50" i="2"/>
  <c r="AQ50" i="2"/>
  <c r="AR615" i="2"/>
  <c r="AQ615" i="2"/>
  <c r="AR54" i="2"/>
  <c r="AQ54" i="2"/>
  <c r="AR651" i="2"/>
  <c r="AQ651" i="2"/>
  <c r="AR614" i="2"/>
  <c r="AQ614" i="2"/>
  <c r="AR611" i="2"/>
  <c r="AQ611" i="2"/>
  <c r="AR331" i="2"/>
  <c r="AQ331" i="2"/>
  <c r="AR53" i="2"/>
  <c r="AQ53" i="2"/>
  <c r="AR52" i="2"/>
  <c r="AQ52" i="2"/>
  <c r="AR28" i="2"/>
  <c r="AQ28" i="2"/>
  <c r="AR327" i="2"/>
  <c r="AQ327" i="2"/>
  <c r="AR540" i="2"/>
  <c r="AQ540" i="2"/>
  <c r="AR325" i="2"/>
  <c r="AQ325" i="2"/>
  <c r="AR324" i="2"/>
  <c r="AQ324" i="2"/>
  <c r="AR323" i="2"/>
  <c r="AQ323" i="2"/>
  <c r="AR27" i="2"/>
  <c r="AQ27" i="2"/>
  <c r="AR48" i="2"/>
  <c r="AQ48" i="2"/>
  <c r="AR57" i="2"/>
  <c r="AQ57" i="2"/>
  <c r="AR319" i="2"/>
  <c r="AQ319" i="2"/>
  <c r="AR18" i="2"/>
  <c r="AQ18" i="2"/>
  <c r="AR59" i="2"/>
  <c r="AQ59" i="2"/>
  <c r="AR391" i="2"/>
  <c r="AQ391" i="2"/>
  <c r="AR655" i="2"/>
  <c r="AQ655" i="2"/>
  <c r="AR314" i="2"/>
  <c r="AQ314" i="2"/>
  <c r="AR390" i="2"/>
  <c r="AQ390" i="2"/>
  <c r="AR6" i="2"/>
  <c r="AQ6" i="2"/>
  <c r="AR358" i="2"/>
  <c r="AQ358" i="2"/>
  <c r="AR310" i="2"/>
  <c r="AQ310" i="2"/>
  <c r="AR309" i="2"/>
  <c r="AQ309" i="2"/>
  <c r="AR381" i="2"/>
  <c r="AQ381" i="2"/>
  <c r="AR38" i="2"/>
  <c r="AQ38" i="2"/>
  <c r="AR45" i="2"/>
  <c r="AQ45" i="2"/>
  <c r="AR305" i="2"/>
  <c r="AQ305" i="2"/>
  <c r="AR16" i="2"/>
  <c r="AQ16" i="2"/>
  <c r="AR303" i="2"/>
  <c r="AQ303" i="2"/>
  <c r="AR302" i="2"/>
  <c r="AQ302" i="2"/>
  <c r="AR654" i="2"/>
  <c r="AQ654" i="2"/>
  <c r="AR357" i="2"/>
  <c r="AQ357" i="2"/>
  <c r="AR55" i="2"/>
  <c r="AQ55" i="2"/>
  <c r="AR60" i="2"/>
  <c r="AQ60" i="2"/>
  <c r="AR297" i="2"/>
  <c r="AQ297" i="2"/>
  <c r="AR14" i="2"/>
  <c r="AQ14" i="2"/>
  <c r="AR295" i="2"/>
  <c r="AQ295" i="2"/>
  <c r="AR294" i="2"/>
  <c r="AQ294" i="2"/>
  <c r="AR58" i="2"/>
  <c r="AQ58" i="2"/>
  <c r="AR292" i="2"/>
  <c r="AQ292" i="2"/>
  <c r="AR291" i="2"/>
  <c r="AQ291" i="2"/>
  <c r="AR49" i="2"/>
  <c r="AQ49" i="2"/>
  <c r="AR289" i="2"/>
  <c r="AQ289" i="2"/>
  <c r="AR389" i="2"/>
  <c r="AQ389" i="2"/>
  <c r="AR641" i="2"/>
  <c r="AQ641" i="2"/>
  <c r="AR653" i="2"/>
  <c r="AQ653" i="2"/>
  <c r="AR46" i="2"/>
  <c r="AQ46" i="2"/>
  <c r="AR640" i="2"/>
  <c r="AQ640" i="2"/>
  <c r="AR283" i="2"/>
  <c r="AQ283" i="2"/>
  <c r="AR282" i="2"/>
  <c r="AQ282" i="2"/>
  <c r="AR281" i="2"/>
  <c r="AQ281" i="2"/>
  <c r="AR43" i="2"/>
  <c r="AQ43" i="2"/>
  <c r="AR37" i="2"/>
  <c r="AQ37" i="2"/>
  <c r="AR378" i="2"/>
  <c r="AQ378" i="2"/>
  <c r="AR652" i="2"/>
  <c r="AQ652" i="2"/>
  <c r="AR276" i="2"/>
  <c r="AQ276" i="2"/>
  <c r="AR51" i="2"/>
  <c r="AQ51" i="2"/>
  <c r="AR355" i="2"/>
  <c r="AQ355" i="2"/>
  <c r="AR61" i="2"/>
  <c r="AQ61" i="2"/>
  <c r="AR272" i="2"/>
  <c r="AQ272" i="2"/>
  <c r="AR62" i="2"/>
  <c r="AQ62" i="2"/>
  <c r="AR7" i="2"/>
  <c r="AQ7" i="2"/>
  <c r="AR269" i="2"/>
  <c r="AQ269" i="2"/>
  <c r="AR268" i="2"/>
  <c r="AQ268" i="2"/>
  <c r="AR267" i="2"/>
  <c r="AQ267" i="2"/>
  <c r="AR266" i="2"/>
  <c r="AQ266" i="2"/>
  <c r="AR665" i="2"/>
  <c r="AQ665" i="2"/>
  <c r="AR264" i="2"/>
  <c r="AQ264" i="2"/>
  <c r="AR263" i="2"/>
  <c r="AQ263" i="2"/>
  <c r="AR262" i="2"/>
  <c r="AQ262" i="2"/>
  <c r="AR261" i="2"/>
  <c r="AQ261" i="2"/>
  <c r="AR260" i="2"/>
  <c r="AQ260" i="2"/>
  <c r="AR259" i="2"/>
  <c r="AQ259" i="2"/>
  <c r="AR258" i="2"/>
  <c r="AQ258" i="2"/>
  <c r="AR257" i="2"/>
  <c r="AQ257" i="2"/>
  <c r="AR95" i="2"/>
  <c r="AQ95" i="2"/>
  <c r="AR255" i="2"/>
  <c r="AQ255" i="2"/>
  <c r="AR254" i="2"/>
  <c r="AQ254" i="2"/>
  <c r="AR253" i="2"/>
  <c r="AQ253" i="2"/>
  <c r="AR252" i="2"/>
  <c r="AQ252" i="2"/>
  <c r="AR251" i="2"/>
  <c r="AQ251" i="2"/>
  <c r="AR250" i="2"/>
  <c r="AQ250" i="2"/>
  <c r="AR70" i="2"/>
  <c r="AQ70" i="2"/>
  <c r="AR248" i="2"/>
  <c r="AQ248" i="2"/>
  <c r="AR247" i="2"/>
  <c r="AQ247" i="2"/>
  <c r="AR246" i="2"/>
  <c r="AQ246" i="2"/>
  <c r="AR245" i="2"/>
  <c r="AQ245" i="2"/>
  <c r="AR69" i="2"/>
  <c r="AQ69" i="2"/>
  <c r="AR243" i="2"/>
  <c r="AQ243" i="2"/>
  <c r="AR94" i="2"/>
  <c r="AQ94" i="2"/>
  <c r="AR661" i="2"/>
  <c r="AQ661" i="2"/>
  <c r="AR592" i="2"/>
  <c r="AQ592" i="2"/>
  <c r="AR239" i="2"/>
  <c r="AQ239" i="2"/>
  <c r="AR610" i="2"/>
  <c r="AQ610" i="2"/>
  <c r="AR237" i="2"/>
  <c r="AQ237" i="2"/>
  <c r="AR236" i="2"/>
  <c r="AQ236" i="2"/>
  <c r="AR235" i="2"/>
  <c r="AQ235" i="2"/>
  <c r="AR234" i="2"/>
  <c r="AQ234" i="2"/>
  <c r="AR233" i="2"/>
  <c r="AQ233" i="2"/>
  <c r="AR232" i="2"/>
  <c r="AQ232" i="2"/>
  <c r="AR659" i="2"/>
  <c r="AQ659" i="2"/>
  <c r="AR230" i="2"/>
  <c r="AQ230" i="2"/>
  <c r="AR229" i="2"/>
  <c r="AQ229" i="2"/>
  <c r="AR228" i="2"/>
  <c r="AQ228" i="2"/>
  <c r="AR227" i="2"/>
  <c r="AQ227" i="2"/>
  <c r="AR226" i="2"/>
  <c r="AQ226" i="2"/>
  <c r="AR225" i="2"/>
  <c r="AQ225" i="2"/>
  <c r="AR224" i="2"/>
  <c r="AQ224" i="2"/>
  <c r="AR223" i="2"/>
  <c r="AQ223" i="2"/>
  <c r="AR222" i="2"/>
  <c r="AQ222" i="2"/>
  <c r="AR221" i="2"/>
  <c r="AQ221" i="2"/>
  <c r="AR220" i="2"/>
  <c r="AQ220" i="2"/>
  <c r="AR219" i="2"/>
  <c r="AQ219" i="2"/>
  <c r="AR218" i="2"/>
  <c r="AQ218" i="2"/>
  <c r="AR217" i="2"/>
  <c r="AQ217" i="2"/>
  <c r="AR216" i="2"/>
  <c r="AQ216" i="2"/>
  <c r="AR215" i="2"/>
  <c r="AQ215" i="2"/>
  <c r="AR214" i="2"/>
  <c r="AQ214" i="2"/>
  <c r="AR213" i="2"/>
  <c r="AQ213" i="2"/>
  <c r="AR212" i="2"/>
  <c r="AQ212" i="2"/>
  <c r="AR211" i="2"/>
  <c r="AQ211" i="2"/>
  <c r="AR210" i="2"/>
  <c r="AQ210" i="2"/>
  <c r="AR209" i="2"/>
  <c r="AQ209" i="2"/>
  <c r="AR83" i="2"/>
  <c r="AQ83" i="2"/>
  <c r="AR207" i="2"/>
  <c r="AQ207" i="2"/>
  <c r="AR90" i="2"/>
  <c r="AQ90" i="2"/>
  <c r="AR205" i="2"/>
  <c r="AQ205" i="2"/>
  <c r="AR204" i="2"/>
  <c r="AQ204" i="2"/>
  <c r="AR203" i="2"/>
  <c r="AQ203" i="2"/>
  <c r="AR202" i="2"/>
  <c r="AQ202" i="2"/>
  <c r="AR201" i="2"/>
  <c r="AQ201" i="2"/>
  <c r="AR200" i="2"/>
  <c r="AQ200" i="2"/>
  <c r="AR199" i="2"/>
  <c r="AQ199" i="2"/>
  <c r="AR198" i="2"/>
  <c r="AQ198" i="2"/>
  <c r="AR197" i="2"/>
  <c r="AQ197" i="2"/>
  <c r="AR196" i="2"/>
  <c r="AQ196" i="2"/>
  <c r="AR195" i="2"/>
  <c r="AQ195" i="2"/>
  <c r="AR194" i="2"/>
  <c r="AQ194" i="2"/>
  <c r="AR193" i="2"/>
  <c r="AQ193" i="2"/>
  <c r="AR557" i="2"/>
  <c r="AQ557" i="2"/>
  <c r="AR191" i="2"/>
  <c r="AQ191" i="2"/>
  <c r="AR190" i="2"/>
  <c r="AQ190" i="2"/>
  <c r="AR189" i="2"/>
  <c r="AQ189" i="2"/>
  <c r="AR188" i="2"/>
  <c r="AQ188" i="2"/>
  <c r="AR187" i="2"/>
  <c r="AQ187" i="2"/>
  <c r="AR186" i="2"/>
  <c r="AQ186" i="2"/>
  <c r="AR185" i="2"/>
  <c r="AQ185" i="2"/>
  <c r="AR184" i="2"/>
  <c r="AQ184" i="2"/>
  <c r="AR183" i="2"/>
  <c r="AQ183" i="2"/>
  <c r="AR182" i="2"/>
  <c r="AQ182" i="2"/>
  <c r="AR181" i="2"/>
  <c r="AQ181" i="2"/>
  <c r="AR106" i="2"/>
  <c r="AQ106" i="2"/>
  <c r="AR179" i="2"/>
  <c r="AQ179" i="2"/>
  <c r="AR99" i="2"/>
  <c r="AQ99" i="2"/>
  <c r="AR609" i="2"/>
  <c r="AQ609" i="2"/>
  <c r="AR625" i="2"/>
  <c r="AQ625" i="2"/>
  <c r="AR175" i="2"/>
  <c r="AQ175" i="2"/>
  <c r="AR174" i="2"/>
  <c r="AQ174" i="2"/>
  <c r="AR173" i="2"/>
  <c r="AQ173" i="2"/>
  <c r="AR172" i="2"/>
  <c r="AQ172" i="2"/>
  <c r="AR171" i="2"/>
  <c r="AQ171" i="2"/>
  <c r="AR170" i="2"/>
  <c r="AQ170" i="2"/>
  <c r="AR169" i="2"/>
  <c r="AQ169" i="2"/>
  <c r="AR168" i="2"/>
  <c r="AQ168" i="2"/>
  <c r="AR167" i="2"/>
  <c r="AQ167" i="2"/>
  <c r="AR166" i="2"/>
  <c r="AQ166" i="2"/>
  <c r="AR165" i="2"/>
  <c r="AQ165" i="2"/>
  <c r="AR164" i="2"/>
  <c r="AQ164" i="2"/>
  <c r="AR163" i="2"/>
  <c r="AQ163" i="2"/>
  <c r="AR162" i="2"/>
  <c r="AQ162" i="2"/>
  <c r="AR161" i="2"/>
  <c r="AQ161" i="2"/>
  <c r="AR160" i="2"/>
  <c r="AQ160" i="2"/>
  <c r="AR159" i="2"/>
  <c r="AQ159" i="2"/>
  <c r="AR158" i="2"/>
  <c r="AQ158" i="2"/>
  <c r="AR157" i="2"/>
  <c r="AQ157" i="2"/>
  <c r="AR156" i="2"/>
  <c r="AQ156" i="2"/>
  <c r="AR155" i="2"/>
  <c r="AQ155" i="2"/>
  <c r="AR154" i="2"/>
  <c r="AQ154" i="2"/>
  <c r="AR153" i="2"/>
  <c r="AQ153" i="2"/>
  <c r="AR152" i="2"/>
  <c r="AQ152" i="2"/>
  <c r="AR151" i="2"/>
  <c r="AQ151" i="2"/>
  <c r="AR150" i="2"/>
  <c r="AQ150" i="2"/>
  <c r="AR149" i="2"/>
  <c r="AQ149" i="2"/>
  <c r="AR105" i="2"/>
  <c r="AQ105" i="2"/>
  <c r="AR147" i="2"/>
  <c r="AQ147" i="2"/>
  <c r="AR146" i="2"/>
  <c r="AQ146" i="2"/>
  <c r="AR145" i="2"/>
  <c r="AQ145" i="2"/>
  <c r="AR144" i="2"/>
  <c r="AQ144" i="2"/>
  <c r="AR143" i="2"/>
  <c r="AQ143" i="2"/>
  <c r="AR142" i="2"/>
  <c r="AQ142" i="2"/>
  <c r="AR141" i="2"/>
  <c r="AQ141" i="2"/>
  <c r="AR140" i="2"/>
  <c r="AQ140" i="2"/>
  <c r="AR139" i="2"/>
  <c r="AQ139" i="2"/>
  <c r="AR76" i="2"/>
  <c r="AQ76" i="2"/>
  <c r="AR82" i="2"/>
  <c r="AQ82" i="2"/>
  <c r="AR136" i="2"/>
  <c r="AQ136" i="2"/>
  <c r="AR135" i="2"/>
  <c r="AQ135" i="2"/>
  <c r="AR134" i="2"/>
  <c r="AQ134" i="2"/>
  <c r="AR133" i="2"/>
  <c r="AQ133" i="2"/>
  <c r="AR75" i="2"/>
  <c r="AQ75" i="2"/>
  <c r="AR131" i="2"/>
  <c r="AQ131" i="2"/>
  <c r="AR74" i="2"/>
  <c r="AQ74" i="2"/>
  <c r="AR129" i="2"/>
  <c r="AQ129" i="2"/>
  <c r="AR590" i="2"/>
  <c r="AQ590" i="2"/>
  <c r="AR588" i="2"/>
  <c r="AQ588" i="2"/>
  <c r="AR586" i="2"/>
  <c r="AQ586" i="2"/>
  <c r="AR585" i="2"/>
  <c r="AQ585" i="2"/>
  <c r="AR582" i="2"/>
  <c r="AQ582" i="2"/>
  <c r="AR529" i="2"/>
  <c r="AQ529" i="2"/>
  <c r="AR581" i="2"/>
  <c r="AQ581" i="2"/>
  <c r="AR579" i="2"/>
  <c r="AQ579" i="2"/>
  <c r="AR120" i="2"/>
  <c r="AQ120" i="2"/>
  <c r="AR578" i="2"/>
  <c r="AQ578" i="2"/>
  <c r="AR571" i="2"/>
  <c r="AQ571" i="2"/>
  <c r="AR570" i="2"/>
  <c r="AQ570" i="2"/>
  <c r="AR116" i="2"/>
  <c r="AQ116" i="2"/>
  <c r="AR567" i="2"/>
  <c r="AQ567" i="2"/>
  <c r="AR565" i="2"/>
  <c r="AQ565" i="2"/>
  <c r="AR527" i="2"/>
  <c r="AQ527" i="2"/>
  <c r="AR510" i="2"/>
  <c r="AQ510" i="2"/>
  <c r="AR111" i="2"/>
  <c r="AQ111" i="2"/>
  <c r="AR508" i="2"/>
  <c r="AQ508" i="2"/>
  <c r="AR499" i="2"/>
  <c r="AQ499" i="2"/>
  <c r="AR498" i="2"/>
  <c r="AQ498" i="2"/>
  <c r="AR485" i="2"/>
  <c r="AQ485" i="2"/>
  <c r="AR483" i="2"/>
  <c r="AQ483" i="2"/>
  <c r="AR472" i="2"/>
  <c r="AQ472" i="2"/>
  <c r="AR467" i="2"/>
  <c r="AQ467" i="2"/>
  <c r="AR446" i="2"/>
  <c r="AQ446" i="2"/>
  <c r="AR407" i="2"/>
  <c r="AQ407" i="2"/>
  <c r="AR395" i="2"/>
  <c r="AQ395" i="2"/>
  <c r="AR100" i="2"/>
  <c r="AQ100" i="2"/>
  <c r="AR352" i="2"/>
  <c r="AQ352" i="2"/>
  <c r="AR350" i="2"/>
  <c r="AQ350" i="2"/>
  <c r="AR104" i="2"/>
  <c r="AQ104" i="2"/>
  <c r="AR348" i="2"/>
  <c r="AQ348" i="2"/>
  <c r="AR346" i="2"/>
  <c r="AQ346" i="2"/>
  <c r="AR340" i="2"/>
  <c r="AQ340" i="2"/>
  <c r="AR93" i="2"/>
  <c r="AQ93" i="2"/>
  <c r="AR339" i="2"/>
  <c r="AQ339" i="2"/>
  <c r="AR91" i="2"/>
  <c r="AQ91" i="2"/>
  <c r="AR337" i="2"/>
  <c r="AQ337" i="2"/>
  <c r="AR89" i="2"/>
  <c r="AQ89" i="2"/>
  <c r="AR336" i="2"/>
  <c r="AQ336" i="2"/>
  <c r="AR335" i="2"/>
  <c r="AQ335" i="2"/>
  <c r="AR334" i="2"/>
  <c r="AQ334" i="2"/>
  <c r="AR85" i="2"/>
  <c r="AQ85" i="2"/>
  <c r="AR333" i="2"/>
  <c r="AQ333" i="2"/>
  <c r="AR332" i="2"/>
  <c r="AQ332" i="2"/>
  <c r="AR330" i="2"/>
  <c r="AQ330" i="2"/>
  <c r="AR304" i="2"/>
  <c r="AQ304" i="2"/>
  <c r="AR301" i="2"/>
  <c r="AQ301" i="2"/>
  <c r="AR300" i="2"/>
  <c r="AQ300" i="2"/>
  <c r="AR376" i="2"/>
  <c r="AQ376" i="2"/>
  <c r="AR77" i="2"/>
  <c r="AQ77" i="2"/>
  <c r="AR299" i="2"/>
  <c r="AQ299" i="2"/>
  <c r="AR298" i="2"/>
  <c r="AQ298" i="2"/>
  <c r="AR296" i="2"/>
  <c r="AQ296" i="2"/>
  <c r="AR73" i="2"/>
  <c r="AQ73" i="2"/>
  <c r="AR293" i="2"/>
  <c r="AQ293" i="2"/>
  <c r="AR71" i="2"/>
  <c r="AQ71" i="2"/>
  <c r="AR290" i="2"/>
  <c r="AQ290" i="2"/>
  <c r="AR288" i="2"/>
  <c r="AQ288" i="2"/>
  <c r="AR287" i="2"/>
  <c r="AQ287" i="2"/>
  <c r="AR244" i="2"/>
  <c r="AQ244" i="2"/>
  <c r="AR242" i="2"/>
  <c r="AQ242" i="2"/>
  <c r="AR65" i="2"/>
  <c r="AQ65" i="2"/>
  <c r="AR241" i="2"/>
  <c r="AQ241" i="2"/>
  <c r="AR240" i="2"/>
  <c r="AQ240" i="2"/>
  <c r="AR238" i="2"/>
  <c r="AQ238" i="2"/>
  <c r="AR231" i="2"/>
  <c r="AQ231" i="2"/>
  <c r="AR208" i="2"/>
  <c r="AQ208" i="2"/>
  <c r="AR206" i="2"/>
  <c r="AQ206" i="2"/>
  <c r="AR192" i="2"/>
  <c r="AQ192" i="2"/>
  <c r="AR98" i="2"/>
  <c r="AQ98" i="2"/>
  <c r="AR56" i="2"/>
  <c r="AQ56" i="2"/>
  <c r="AR180" i="2"/>
  <c r="AQ180" i="2"/>
  <c r="AR178" i="2"/>
  <c r="AQ178" i="2"/>
  <c r="AR124" i="2"/>
  <c r="AQ124" i="2"/>
  <c r="AR123" i="2"/>
  <c r="AQ123" i="2"/>
  <c r="AR122" i="2"/>
  <c r="AQ122" i="2"/>
  <c r="AR121" i="2"/>
  <c r="AQ121" i="2"/>
  <c r="AR321" i="2"/>
  <c r="AQ321" i="2"/>
  <c r="AR668" i="2"/>
  <c r="AQ668" i="2"/>
  <c r="AR47" i="2"/>
  <c r="AQ47" i="2"/>
  <c r="AR119" i="2"/>
  <c r="AQ119" i="2"/>
  <c r="AR118" i="2"/>
  <c r="AQ118" i="2"/>
  <c r="AR44" i="2"/>
  <c r="AQ44" i="2"/>
  <c r="AR605" i="2"/>
  <c r="AQ605" i="2"/>
  <c r="AR42" i="2"/>
  <c r="AQ42" i="2"/>
  <c r="AR41" i="2"/>
  <c r="AQ41" i="2"/>
  <c r="AR40" i="2"/>
  <c r="AQ40" i="2"/>
  <c r="AR39" i="2"/>
  <c r="AQ39" i="2"/>
  <c r="AR595" i="2"/>
  <c r="AQ595" i="2"/>
  <c r="AR320" i="2"/>
  <c r="AQ320" i="2"/>
  <c r="AR36" i="2"/>
  <c r="AQ36" i="2"/>
  <c r="AR35" i="2"/>
  <c r="AQ35" i="2"/>
  <c r="AR34" i="2"/>
  <c r="AQ34" i="2"/>
  <c r="AR33" i="2"/>
  <c r="AQ33" i="2"/>
  <c r="AR32" i="2"/>
  <c r="AQ32" i="2"/>
  <c r="AR31" i="2"/>
  <c r="AQ31" i="2"/>
  <c r="AR30" i="2"/>
  <c r="AQ30" i="2"/>
  <c r="AR29" i="2"/>
  <c r="AQ29" i="2"/>
  <c r="AR386" i="2"/>
  <c r="AQ386" i="2"/>
  <c r="AR117" i="2"/>
  <c r="AQ117" i="2"/>
  <c r="AR26" i="2"/>
  <c r="AQ26" i="2"/>
  <c r="AR25" i="2"/>
  <c r="AQ25" i="2"/>
  <c r="AR24" i="2"/>
  <c r="AQ24" i="2"/>
  <c r="AR23" i="2"/>
  <c r="AQ23" i="2"/>
  <c r="AR22" i="2"/>
  <c r="AQ22" i="2"/>
  <c r="AR21" i="2"/>
  <c r="AQ21" i="2"/>
  <c r="AR20" i="2"/>
  <c r="AQ20" i="2"/>
  <c r="AR19" i="2"/>
  <c r="AQ19" i="2"/>
  <c r="AR68" i="2"/>
  <c r="AQ68" i="2"/>
  <c r="AR17" i="2"/>
  <c r="AQ17" i="2"/>
  <c r="AR115" i="2"/>
  <c r="AQ115" i="2"/>
  <c r="AR15" i="2"/>
  <c r="AQ15" i="2"/>
  <c r="AR103" i="2"/>
  <c r="AQ103" i="2"/>
  <c r="AR13" i="2"/>
  <c r="AQ13" i="2"/>
  <c r="AR12" i="2"/>
  <c r="AQ12" i="2"/>
  <c r="AR11" i="2"/>
  <c r="AQ11" i="2"/>
  <c r="AR10" i="2"/>
  <c r="AQ10" i="2"/>
  <c r="AR9" i="2"/>
  <c r="AQ9" i="2"/>
  <c r="AR8" i="2"/>
  <c r="AQ8" i="2"/>
  <c r="AR96" i="2"/>
  <c r="AQ96" i="2"/>
  <c r="AR5" i="2"/>
  <c r="AQ5" i="2"/>
  <c r="AR4" i="2"/>
  <c r="AQ4" i="2"/>
  <c r="AR3" i="2"/>
  <c r="AQ3" i="2"/>
  <c r="AR2" i="2"/>
  <c r="AQ2" i="2"/>
  <c r="AR72" i="2"/>
  <c r="AQ72" i="2"/>
  <c r="AS240" i="2" l="1"/>
  <c r="AS288" i="2"/>
  <c r="AS298" i="2"/>
  <c r="AS335" i="2"/>
  <c r="AS219" i="2"/>
  <c r="AS225" i="2"/>
  <c r="AS237" i="2"/>
  <c r="AS243" i="2"/>
  <c r="AS70" i="2"/>
  <c r="AS261" i="2"/>
  <c r="AS267" i="2"/>
  <c r="AS37" i="2"/>
  <c r="AS46" i="2"/>
  <c r="AS291" i="2"/>
  <c r="AS309" i="2"/>
  <c r="AS655" i="2"/>
  <c r="AS48" i="2"/>
  <c r="AS327" i="2"/>
  <c r="AS507" i="2"/>
  <c r="AS513" i="2"/>
  <c r="AS519" i="2"/>
  <c r="AS525" i="2"/>
  <c r="AS531" i="2"/>
  <c r="AS537" i="2"/>
  <c r="AS134" i="2"/>
  <c r="AS140" i="2"/>
  <c r="AS152" i="2"/>
  <c r="AS158" i="2"/>
  <c r="AS170" i="2"/>
  <c r="AS625" i="2"/>
  <c r="AS90" i="2"/>
  <c r="AS212" i="2"/>
  <c r="AS218" i="2"/>
  <c r="AS224" i="2"/>
  <c r="AS230" i="2"/>
  <c r="AS314" i="2"/>
  <c r="AS322" i="2"/>
  <c r="AS398" i="2"/>
  <c r="AS125" i="2"/>
  <c r="AS452" i="2"/>
  <c r="AS64" i="2"/>
  <c r="AS280" i="2"/>
  <c r="AS329" i="2"/>
  <c r="AS285" i="2"/>
  <c r="AS93" i="2"/>
  <c r="AS662" i="2"/>
  <c r="AS29" i="2"/>
  <c r="AS35" i="2"/>
  <c r="AS41" i="2"/>
  <c r="AS124" i="2"/>
  <c r="AS77" i="2"/>
  <c r="AS89" i="2"/>
  <c r="AS485" i="2"/>
  <c r="AS527" i="2"/>
  <c r="AS614" i="2"/>
  <c r="AS260" i="2"/>
  <c r="AS272" i="2"/>
  <c r="AS640" i="2"/>
  <c r="AS14" i="2"/>
  <c r="AS68" i="2"/>
  <c r="AS42" i="2"/>
  <c r="AS337" i="2"/>
  <c r="AS565" i="2"/>
  <c r="AS338" i="2"/>
  <c r="AS356" i="2"/>
  <c r="AS344" i="2"/>
  <c r="AS215" i="2"/>
  <c r="AS245" i="2"/>
  <c r="AS251" i="2"/>
  <c r="AS257" i="2"/>
  <c r="AS263" i="2"/>
  <c r="AS641" i="2"/>
  <c r="AS58" i="2"/>
  <c r="AS358" i="2"/>
  <c r="AS59" i="2"/>
  <c r="AS54" i="2"/>
  <c r="AS341" i="2"/>
  <c r="AS365" i="2"/>
  <c r="AS393" i="2"/>
  <c r="AS401" i="2"/>
  <c r="AS328" i="2"/>
  <c r="AS425" i="2"/>
  <c r="AS431" i="2"/>
  <c r="AS437" i="2"/>
  <c r="AS491" i="2"/>
  <c r="AS497" i="2"/>
  <c r="AS503" i="2"/>
  <c r="AS509" i="2"/>
  <c r="AS515" i="2"/>
  <c r="AS521" i="2"/>
  <c r="AS545" i="2"/>
  <c r="AS551" i="2"/>
  <c r="AS277" i="2"/>
  <c r="AS563" i="2"/>
  <c r="AS458" i="2"/>
  <c r="AS464" i="2"/>
  <c r="AS470" i="2"/>
  <c r="AS476" i="2"/>
  <c r="AS482" i="2"/>
  <c r="AS488" i="2"/>
  <c r="AS96" i="2"/>
  <c r="AS13" i="2"/>
  <c r="AS31" i="2"/>
  <c r="AS320" i="2"/>
  <c r="AS605" i="2"/>
  <c r="AS321" i="2"/>
  <c r="AS446" i="2"/>
  <c r="AS499" i="2"/>
  <c r="AS567" i="2"/>
  <c r="AS579" i="2"/>
  <c r="AS588" i="2"/>
  <c r="AS139" i="2"/>
  <c r="AS151" i="2"/>
  <c r="AS157" i="2"/>
  <c r="AS169" i="2"/>
  <c r="AS181" i="2"/>
  <c r="AS187" i="2"/>
  <c r="AS193" i="2"/>
  <c r="AS199" i="2"/>
  <c r="AS211" i="2"/>
  <c r="AS50" i="2"/>
  <c r="AS343" i="2"/>
  <c r="AS349" i="2"/>
  <c r="AS361" i="2"/>
  <c r="AS367" i="2"/>
  <c r="AS616" i="2"/>
  <c r="AS128" i="2"/>
  <c r="AS620" i="2"/>
  <c r="AS577" i="2"/>
  <c r="AS583" i="2"/>
  <c r="AS613" i="2"/>
  <c r="AS553" i="2"/>
  <c r="AS669" i="2"/>
  <c r="AS375" i="2"/>
  <c r="AS667" i="2"/>
  <c r="AS673" i="2"/>
  <c r="AS10" i="2"/>
  <c r="AS119" i="2"/>
  <c r="AS192" i="2"/>
  <c r="AS340" i="2"/>
  <c r="AS483" i="2"/>
  <c r="AS74" i="2"/>
  <c r="AS136" i="2"/>
  <c r="AS142" i="2"/>
  <c r="AS105" i="2"/>
  <c r="AS154" i="2"/>
  <c r="AS160" i="2"/>
  <c r="AS202" i="2"/>
  <c r="AS226" i="2"/>
  <c r="AS232" i="2"/>
  <c r="AS610" i="2"/>
  <c r="AS69" i="2"/>
  <c r="AS250" i="2"/>
  <c r="AS95" i="2"/>
  <c r="AS651" i="2"/>
  <c r="AS249" i="2"/>
  <c r="AS318" i="2"/>
  <c r="AS256" i="2"/>
  <c r="AS392" i="2"/>
  <c r="AS306" i="2"/>
  <c r="AS382" i="2"/>
  <c r="AS388" i="2"/>
  <c r="AS671" i="2"/>
  <c r="AS568" i="2"/>
  <c r="AS574" i="2"/>
  <c r="AS580" i="2"/>
  <c r="AS560" i="2"/>
  <c r="AS80" i="2"/>
  <c r="AS604" i="2"/>
  <c r="AS67" i="2"/>
  <c r="AS607" i="2"/>
  <c r="AS628" i="2"/>
  <c r="AS286" i="2"/>
  <c r="AS646" i="2"/>
  <c r="AS317" i="2"/>
  <c r="AS120" i="2"/>
  <c r="AS396" i="2"/>
  <c r="AS253" i="2"/>
  <c r="AS325" i="2"/>
  <c r="AS546" i="2"/>
  <c r="AS189" i="2"/>
  <c r="AS213" i="2"/>
  <c r="AS514" i="2"/>
  <c r="AS216" i="2"/>
  <c r="AS222" i="2"/>
  <c r="AS228" i="2"/>
  <c r="AS234" i="2"/>
  <c r="AS264" i="2"/>
  <c r="AS7" i="2"/>
  <c r="AS282" i="2"/>
  <c r="AS294" i="2"/>
  <c r="AS357" i="2"/>
  <c r="AS45" i="2"/>
  <c r="AS6" i="2"/>
  <c r="AS18" i="2"/>
  <c r="AS324" i="2"/>
  <c r="AS414" i="2"/>
  <c r="AS420" i="2"/>
  <c r="AS426" i="2"/>
  <c r="AS432" i="2"/>
  <c r="AS468" i="2"/>
  <c r="AS480" i="2"/>
  <c r="AS543" i="2"/>
  <c r="AS504" i="2"/>
  <c r="AS522" i="2"/>
  <c r="AS110" i="2"/>
  <c r="AS127" i="2"/>
  <c r="AS564" i="2"/>
  <c r="AS102" i="2"/>
  <c r="AS366" i="2"/>
  <c r="AS612" i="2"/>
  <c r="AS137" i="2"/>
  <c r="AS624" i="2"/>
  <c r="AS660" i="2"/>
  <c r="AS672" i="2"/>
  <c r="AS9" i="2"/>
  <c r="AS153" i="2"/>
  <c r="AS442" i="2"/>
  <c r="AS173" i="2"/>
  <c r="AS73" i="2"/>
  <c r="AS98" i="2"/>
  <c r="AS161" i="2"/>
  <c r="AS72" i="2"/>
  <c r="AS103" i="2"/>
  <c r="AS121" i="2"/>
  <c r="AS238" i="2"/>
  <c r="AS87" i="2"/>
  <c r="AS242" i="2"/>
  <c r="AS185" i="2"/>
  <c r="AS191" i="2"/>
  <c r="AS197" i="2"/>
  <c r="AS203" i="2"/>
  <c r="AS399" i="2"/>
  <c r="AS405" i="2"/>
  <c r="AS411" i="2"/>
  <c r="AS417" i="2"/>
  <c r="AS423" i="2"/>
  <c r="AS429" i="2"/>
  <c r="AS435" i="2"/>
  <c r="AS441" i="2"/>
  <c r="AS112" i="2"/>
  <c r="AS584" i="2"/>
  <c r="AS373" i="2"/>
  <c r="AS299" i="2"/>
  <c r="AS573" i="2"/>
  <c r="AS307" i="2"/>
  <c r="AS101" i="2"/>
  <c r="AS114" i="2"/>
  <c r="AS621" i="2"/>
  <c r="AS148" i="2"/>
  <c r="AS633" i="2"/>
  <c r="AS639" i="2"/>
  <c r="AS312" i="2"/>
  <c r="AS657" i="2"/>
  <c r="AS663" i="2"/>
  <c r="AS555" i="2"/>
  <c r="AS166" i="2"/>
  <c r="AS25" i="2"/>
  <c r="AS244" i="2"/>
  <c r="AS407" i="2"/>
  <c r="AS76" i="2"/>
  <c r="AS156" i="2"/>
  <c r="AS162" i="2"/>
  <c r="AS168" i="2"/>
  <c r="AS174" i="2"/>
  <c r="AS106" i="2"/>
  <c r="AS186" i="2"/>
  <c r="AS454" i="2"/>
  <c r="AS460" i="2"/>
  <c r="AS466" i="2"/>
  <c r="AS496" i="2"/>
  <c r="AS502" i="2"/>
  <c r="AS104" i="2"/>
  <c r="AS21" i="2"/>
  <c r="AS117" i="2"/>
  <c r="AS39" i="2"/>
  <c r="AS296" i="2"/>
  <c r="AS334" i="2"/>
  <c r="AS350" i="2"/>
  <c r="AS508" i="2"/>
  <c r="AS223" i="2"/>
  <c r="AS235" i="2"/>
  <c r="AS661" i="2"/>
  <c r="AS259" i="2"/>
  <c r="AS665" i="2"/>
  <c r="AS62" i="2"/>
  <c r="AS289" i="2"/>
  <c r="AS295" i="2"/>
  <c r="AS654" i="2"/>
  <c r="AS38" i="2"/>
  <c r="AS319" i="2"/>
  <c r="AS360" i="2"/>
  <c r="AS372" i="2"/>
  <c r="AS606" i="2"/>
  <c r="AS630" i="2"/>
  <c r="AS587" i="2"/>
  <c r="AS97" i="2"/>
  <c r="AS599" i="2"/>
  <c r="AS130" i="2"/>
  <c r="AS88" i="2"/>
  <c r="AS635" i="2"/>
  <c r="AS311" i="2"/>
  <c r="AS313" i="2"/>
  <c r="AS368" i="2"/>
  <c r="AS552" i="2"/>
  <c r="AS556" i="2"/>
  <c r="AS581" i="2"/>
  <c r="AS194" i="2"/>
  <c r="AS386" i="2"/>
  <c r="AS290" i="2"/>
  <c r="AS472" i="2"/>
  <c r="AS529" i="2"/>
  <c r="AS129" i="2"/>
  <c r="AS609" i="2"/>
  <c r="AS201" i="2"/>
  <c r="AS540" i="2"/>
  <c r="AS611" i="2"/>
  <c r="AS409" i="2"/>
  <c r="AS415" i="2"/>
  <c r="AS445" i="2"/>
  <c r="AS457" i="2"/>
  <c r="AS463" i="2"/>
  <c r="AS505" i="2"/>
  <c r="AS511" i="2"/>
  <c r="AS517" i="2"/>
  <c r="AS523" i="2"/>
  <c r="AS86" i="2"/>
  <c r="AS535" i="2"/>
  <c r="AS79" i="2"/>
  <c r="AS559" i="2"/>
  <c r="AS304" i="2"/>
  <c r="AS61" i="2"/>
  <c r="AS297" i="2"/>
  <c r="AS326" i="2"/>
  <c r="AS63" i="2"/>
  <c r="AS427" i="2"/>
  <c r="AS439" i="2"/>
  <c r="AS575" i="2"/>
  <c r="AS19" i="2"/>
  <c r="AS30" i="2"/>
  <c r="AS36" i="2"/>
  <c r="AS65" i="2"/>
  <c r="AS330" i="2"/>
  <c r="AS352" i="2"/>
  <c r="AS111" i="2"/>
  <c r="AS590" i="2"/>
  <c r="AS145" i="2"/>
  <c r="AS175" i="2"/>
  <c r="AS198" i="2"/>
  <c r="AS204" i="2"/>
  <c r="AS221" i="2"/>
  <c r="AS233" i="2"/>
  <c r="AS355" i="2"/>
  <c r="AS43" i="2"/>
  <c r="AS292" i="2"/>
  <c r="AS60" i="2"/>
  <c r="AS16" i="2"/>
  <c r="AS27" i="2"/>
  <c r="AS351" i="2"/>
  <c r="AS270" i="2"/>
  <c r="AS363" i="2"/>
  <c r="AS369" i="2"/>
  <c r="AS647" i="2"/>
  <c r="AS627" i="2"/>
  <c r="AS387" i="2"/>
  <c r="AS632" i="2"/>
  <c r="AS410" i="2"/>
  <c r="AS422" i="2"/>
  <c r="AS428" i="2"/>
  <c r="AS434" i="2"/>
  <c r="AS440" i="2"/>
  <c r="AS469" i="2"/>
  <c r="AS475" i="2"/>
  <c r="AS481" i="2"/>
  <c r="AS487" i="2"/>
  <c r="AS516" i="2"/>
  <c r="AS558" i="2"/>
  <c r="AS634" i="2"/>
  <c r="AS576" i="2"/>
  <c r="AS176" i="2"/>
  <c r="AS658" i="2"/>
  <c r="AS266" i="2"/>
  <c r="AS123" i="2"/>
  <c r="AS255" i="2"/>
  <c r="AS570" i="2"/>
  <c r="AS547" i="2"/>
  <c r="AS600" i="2"/>
  <c r="AS15" i="2"/>
  <c r="AS26" i="2"/>
  <c r="AS595" i="2"/>
  <c r="AS180" i="2"/>
  <c r="AS231" i="2"/>
  <c r="AS100" i="2"/>
  <c r="AS571" i="2"/>
  <c r="AS135" i="2"/>
  <c r="AS141" i="2"/>
  <c r="AS165" i="2"/>
  <c r="AS182" i="2"/>
  <c r="AS188" i="2"/>
  <c r="AS205" i="2"/>
  <c r="AS246" i="2"/>
  <c r="AS281" i="2"/>
  <c r="AS305" i="2"/>
  <c r="AS323" i="2"/>
  <c r="AS52" i="2"/>
  <c r="AS400" i="2"/>
  <c r="AS447" i="2"/>
  <c r="AS453" i="2"/>
  <c r="AS506" i="2"/>
  <c r="AS524" i="2"/>
  <c r="AS530" i="2"/>
  <c r="AS536" i="2"/>
  <c r="AS542" i="2"/>
  <c r="AS548" i="2"/>
  <c r="AS554" i="2"/>
  <c r="AS601" i="2"/>
  <c r="AS394" i="2"/>
  <c r="AS66" i="2"/>
  <c r="AS370" i="2"/>
  <c r="AS462" i="2"/>
  <c r="AS377" i="2"/>
  <c r="AS271" i="2"/>
  <c r="AS273" i="2"/>
  <c r="AS412" i="2"/>
  <c r="AS418" i="2"/>
  <c r="AS424" i="2"/>
  <c r="AS436" i="2"/>
  <c r="AS465" i="2"/>
  <c r="AS471" i="2"/>
  <c r="AS477" i="2"/>
  <c r="AS362" i="2"/>
  <c r="AS489" i="2"/>
  <c r="AS501" i="2"/>
  <c r="AS566" i="2"/>
  <c r="AS376" i="2"/>
  <c r="AS183" i="2"/>
  <c r="AS195" i="2"/>
  <c r="AS229" i="2"/>
  <c r="AS347" i="2"/>
  <c r="AS108" i="2"/>
  <c r="AS549" i="2"/>
  <c r="AS274" i="2"/>
  <c r="AS561" i="2"/>
  <c r="AS596" i="2"/>
  <c r="AS602" i="2"/>
  <c r="AS631" i="2"/>
  <c r="AS637" i="2"/>
  <c r="AS384" i="2"/>
  <c r="AS371" i="2"/>
  <c r="AS22" i="2"/>
  <c r="AS33" i="2"/>
  <c r="AS118" i="2"/>
  <c r="AS300" i="2"/>
  <c r="AS85" i="2"/>
  <c r="AS348" i="2"/>
  <c r="AS659" i="2"/>
  <c r="AS12" i="2"/>
  <c r="AS178" i="2"/>
  <c r="AS4" i="2"/>
  <c r="AS11" i="2"/>
  <c r="AS17" i="2"/>
  <c r="AS34" i="2"/>
  <c r="AS122" i="2"/>
  <c r="AS91" i="2"/>
  <c r="AS82" i="2"/>
  <c r="AS143" i="2"/>
  <c r="AS149" i="2"/>
  <c r="AS155" i="2"/>
  <c r="AS167" i="2"/>
  <c r="AS99" i="2"/>
  <c r="AS184" i="2"/>
  <c r="AS190" i="2"/>
  <c r="AS196" i="2"/>
  <c r="AS248" i="2"/>
  <c r="AS254" i="2"/>
  <c r="AS390" i="2"/>
  <c r="AS331" i="2"/>
  <c r="AS342" i="2"/>
  <c r="AS443" i="2"/>
  <c r="AS449" i="2"/>
  <c r="AS455" i="2"/>
  <c r="AS461" i="2"/>
  <c r="AS490" i="2"/>
  <c r="AS520" i="2"/>
  <c r="AS526" i="2"/>
  <c r="AS532" i="2"/>
  <c r="AS538" i="2"/>
  <c r="AS544" i="2"/>
  <c r="AS562" i="2"/>
  <c r="AS618" i="2"/>
  <c r="AS591" i="2"/>
  <c r="AS603" i="2"/>
  <c r="AS81" i="2"/>
  <c r="AS92" i="2"/>
  <c r="AS638" i="2"/>
  <c r="AS177" i="2"/>
  <c r="AS315" i="2"/>
  <c r="AS227" i="2"/>
  <c r="AS308" i="2"/>
  <c r="AS5" i="2"/>
  <c r="AS206" i="2"/>
  <c r="AS241" i="2"/>
  <c r="AS395" i="2"/>
  <c r="AS133" i="2"/>
  <c r="AS200" i="2"/>
  <c r="AS217" i="2"/>
  <c r="AS652" i="2"/>
  <c r="AS310" i="2"/>
  <c r="AS626" i="2"/>
  <c r="AS380" i="2"/>
  <c r="AS649" i="2"/>
  <c r="AS397" i="2"/>
  <c r="AS403" i="2"/>
  <c r="AS408" i="2"/>
  <c r="AS456" i="2"/>
  <c r="AS473" i="2"/>
  <c r="AS479" i="2"/>
  <c r="AS364" i="2"/>
  <c r="AS593" i="2"/>
  <c r="AS159" i="2"/>
  <c r="AS75" i="2"/>
  <c r="AS94" i="2"/>
  <c r="AS645" i="2"/>
  <c r="AS333" i="2"/>
  <c r="AS208" i="2"/>
  <c r="AS498" i="2"/>
  <c r="AS179" i="2"/>
  <c r="AS534" i="2"/>
  <c r="AS303" i="2"/>
  <c r="AS448" i="2"/>
  <c r="AS115" i="2"/>
  <c r="AS668" i="2"/>
  <c r="AS510" i="2"/>
  <c r="AS451" i="2"/>
  <c r="AS275" i="2"/>
  <c r="AS24" i="2"/>
  <c r="AS416" i="2"/>
  <c r="AS539" i="2"/>
  <c r="AS40" i="2"/>
  <c r="AS643" i="2"/>
  <c r="AS293" i="2"/>
  <c r="AS3" i="2"/>
  <c r="AS332" i="2"/>
  <c r="AS336" i="2"/>
  <c r="AS585" i="2"/>
  <c r="AS164" i="2"/>
  <c r="AS209" i="2"/>
  <c r="AS214" i="2"/>
  <c r="AS247" i="2"/>
  <c r="AS258" i="2"/>
  <c r="AS269" i="2"/>
  <c r="AS381" i="2"/>
  <c r="AS107" i="2"/>
  <c r="AS354" i="2"/>
  <c r="AS629" i="2"/>
  <c r="AS494" i="2"/>
  <c r="AS500" i="2"/>
  <c r="AS622" i="2"/>
  <c r="AS284" i="2"/>
  <c r="AS146" i="2"/>
  <c r="AS438" i="2"/>
  <c r="AS20" i="2"/>
  <c r="AS44" i="2"/>
  <c r="AS287" i="2"/>
  <c r="AS339" i="2"/>
  <c r="AS116" i="2"/>
  <c r="AS586" i="2"/>
  <c r="AS131" i="2"/>
  <c r="AS147" i="2"/>
  <c r="AS163" i="2"/>
  <c r="AS210" i="2"/>
  <c r="AS236" i="2"/>
  <c r="AS252" i="2"/>
  <c r="AS262" i="2"/>
  <c r="AS378" i="2"/>
  <c r="AS283" i="2"/>
  <c r="AS55" i="2"/>
  <c r="AS57" i="2"/>
  <c r="AS53" i="2"/>
  <c r="AS353" i="2"/>
  <c r="AS359" i="2"/>
  <c r="AS648" i="2"/>
  <c r="AS404" i="2"/>
  <c r="AS421" i="2"/>
  <c r="AS433" i="2"/>
  <c r="AS444" i="2"/>
  <c r="AS450" i="2"/>
  <c r="AS383" i="2"/>
  <c r="AS478" i="2"/>
  <c r="AS484" i="2"/>
  <c r="AS495" i="2"/>
  <c r="AS512" i="2"/>
  <c r="AS518" i="2"/>
  <c r="AS541" i="2"/>
  <c r="AS78" i="2"/>
  <c r="AS569" i="2"/>
  <c r="AS597" i="2"/>
  <c r="AS608" i="2"/>
  <c r="AS619" i="2"/>
  <c r="AS636" i="2"/>
  <c r="AS642" i="2"/>
  <c r="AS664" i="2"/>
  <c r="AS670" i="2"/>
  <c r="AS474" i="2"/>
  <c r="AS278" i="2"/>
  <c r="AS666" i="2"/>
  <c r="AS56" i="2"/>
  <c r="AS656" i="2"/>
  <c r="AS49" i="2"/>
  <c r="AS265" i="2"/>
  <c r="AS486" i="2"/>
  <c r="AS8" i="2"/>
  <c r="AS32" i="2"/>
  <c r="AS301" i="2"/>
  <c r="AS467" i="2"/>
  <c r="AS207" i="2"/>
  <c r="AS51" i="2"/>
  <c r="AS109" i="2"/>
  <c r="AS492" i="2"/>
  <c r="AS138" i="2"/>
  <c r="AS2" i="2"/>
  <c r="AS23" i="2"/>
  <c r="AS47" i="2"/>
  <c r="AS71" i="2"/>
  <c r="AS346" i="2"/>
  <c r="AS578" i="2"/>
  <c r="AS150" i="2"/>
  <c r="AS171" i="2"/>
  <c r="AS83" i="2"/>
  <c r="AS239" i="2"/>
  <c r="AS276" i="2"/>
  <c r="AS653" i="2"/>
  <c r="AS302" i="2"/>
  <c r="AS28" i="2"/>
  <c r="AS113" i="2"/>
  <c r="AS345" i="2"/>
  <c r="AS644" i="2"/>
  <c r="AS379" i="2"/>
  <c r="AS385" i="2"/>
  <c r="AS650" i="2"/>
  <c r="AS402" i="2"/>
  <c r="AS413" i="2"/>
  <c r="AS419" i="2"/>
  <c r="AS430" i="2"/>
  <c r="AS459" i="2"/>
  <c r="AS493" i="2"/>
  <c r="AS594" i="2"/>
  <c r="AS84" i="2"/>
  <c r="AS533" i="2"/>
  <c r="AS550" i="2"/>
  <c r="AS572" i="2"/>
  <c r="AS279" i="2"/>
  <c r="AS589" i="2"/>
  <c r="AS132" i="2"/>
  <c r="AS617" i="2"/>
  <c r="AS623" i="2"/>
  <c r="AS316" i="2"/>
  <c r="AS582" i="2"/>
  <c r="AS172" i="2"/>
  <c r="AS220" i="2"/>
  <c r="AS268" i="2"/>
  <c r="AS391" i="2"/>
  <c r="AS144" i="2"/>
  <c r="AS557" i="2"/>
  <c r="AS592" i="2"/>
  <c r="AS389" i="2"/>
  <c r="AS615" i="2"/>
  <c r="AS406" i="2"/>
  <c r="AS126" i="2"/>
  <c r="AS528" i="2"/>
  <c r="AS598" i="2"/>
  <c r="AS374" i="2"/>
</calcChain>
</file>

<file path=xl/comments1.xml><?xml version="1.0" encoding="utf-8"?>
<comments xmlns="http://schemas.openxmlformats.org/spreadsheetml/2006/main">
  <authors>
    <author>INEC Jhordan Uyaguari</author>
  </authors>
  <commentList>
    <comment ref="AN1" authorId="0" shapeId="0">
      <text>
        <r>
          <rPr>
            <b/>
            <sz val="9"/>
            <color indexed="81"/>
            <rFont val="Tahoma"/>
            <family val="2"/>
          </rPr>
          <t>INEC Jhordan:</t>
        </r>
        <r>
          <rPr>
            <sz val="9"/>
            <color indexed="81"/>
            <rFont val="Tahoma"/>
            <family val="2"/>
          </rPr>
          <t xml:space="preserve">
si la respuesta es "NO" en AK</t>
        </r>
      </text>
    </comment>
    <comment ref="AO1" authorId="0" shapeId="0">
      <text>
        <r>
          <rPr>
            <b/>
            <sz val="9"/>
            <color indexed="81"/>
            <rFont val="Tahoma"/>
            <family val="2"/>
          </rPr>
          <t xml:space="preserve">INEC Jhordan:
</t>
        </r>
        <r>
          <rPr>
            <sz val="9"/>
            <color indexed="81"/>
            <rFont val="Tahoma"/>
            <family val="2"/>
          </rPr>
          <t>si la respuesta es "NO" en AK</t>
        </r>
      </text>
    </comment>
    <comment ref="AP1" authorId="0" shapeId="0">
      <text>
        <r>
          <rPr>
            <b/>
            <sz val="9"/>
            <color indexed="81"/>
            <rFont val="Tahoma"/>
            <family val="2"/>
          </rPr>
          <t xml:space="preserve">INEC Jhordan:
</t>
        </r>
        <r>
          <rPr>
            <sz val="9"/>
            <color indexed="81"/>
            <rFont val="Tahoma"/>
            <family val="2"/>
          </rPr>
          <t xml:space="preserve">si la respuesta es "NO" en AK
</t>
        </r>
      </text>
    </comment>
  </commentList>
</comments>
</file>

<file path=xl/sharedStrings.xml><?xml version="1.0" encoding="utf-8"?>
<sst xmlns="http://schemas.openxmlformats.org/spreadsheetml/2006/main" count="27101" uniqueCount="7106">
  <si>
    <t>razon_social</t>
  </si>
  <si>
    <t>nombre_comercial</t>
  </si>
  <si>
    <t>codigo_actividad_eco</t>
  </si>
  <si>
    <t>codigo_provincia</t>
  </si>
  <si>
    <t>codigo_canton</t>
  </si>
  <si>
    <t>codigo_parroquia</t>
  </si>
  <si>
    <t>forma_institucional</t>
  </si>
  <si>
    <t>calle_principal</t>
  </si>
  <si>
    <t>numero</t>
  </si>
  <si>
    <t>interseccion</t>
  </si>
  <si>
    <t>kilometro</t>
  </si>
  <si>
    <t>urbanizacion</t>
  </si>
  <si>
    <t>nombre_edificio</t>
  </si>
  <si>
    <t>numero_piso</t>
  </si>
  <si>
    <t>numero_oficina</t>
  </si>
  <si>
    <t>ciudadela</t>
  </si>
  <si>
    <t>barrio</t>
  </si>
  <si>
    <t>manzana</t>
  </si>
  <si>
    <t>referencia</t>
  </si>
  <si>
    <t>telefono</t>
  </si>
  <si>
    <t>nombre_contacto</t>
  </si>
  <si>
    <t>punto_x</t>
  </si>
  <si>
    <t>punto_y</t>
  </si>
  <si>
    <t>zona_censal</t>
  </si>
  <si>
    <t>sector_censal</t>
  </si>
  <si>
    <t>manzana_censal</t>
  </si>
  <si>
    <t>tamanou_plazas</t>
  </si>
  <si>
    <t>dom_2</t>
  </si>
  <si>
    <t>Empadronada CAB-SIPP</t>
  </si>
  <si>
    <t>Códigod eestablecimiento CAB-SIPP</t>
  </si>
  <si>
    <t>Se visitó la empresa</t>
  </si>
  <si>
    <t>Empresa "Ubicada/No Ubicada"</t>
  </si>
  <si>
    <t>Fecha de visita</t>
  </si>
  <si>
    <t>Matriz de la empresa/establecmiento pertenece a la Coordinación Zonal</t>
  </si>
  <si>
    <t xml:space="preserve">Actualización de la provincia de la matriz de la empresa/establecimiento </t>
  </si>
  <si>
    <t xml:space="preserve">Actualización del cantón de la matriz de la empresa/establecimiento </t>
  </si>
  <si>
    <t xml:space="preserve">Actualización de la ciudad de la matriz de la empresa/establecimiento </t>
  </si>
  <si>
    <t xml:space="preserve">Número de productos investigados por el CAB-SIPP  </t>
  </si>
  <si>
    <t>Número de nuevos productos investigados en el CAB-SIPP</t>
  </si>
  <si>
    <t>Total de productos</t>
  </si>
  <si>
    <t>Código CPC 11 dígitos producto 1</t>
  </si>
  <si>
    <t>Producto 1</t>
  </si>
  <si>
    <t xml:space="preserve">Precio mes 1 </t>
  </si>
  <si>
    <t xml:space="preserve">Fecha de ivestigación  </t>
  </si>
  <si>
    <t>Precio mes 2</t>
  </si>
  <si>
    <t>Código CPC 11 dígitos producto 2</t>
  </si>
  <si>
    <t>Producto 2</t>
  </si>
  <si>
    <t>Código CPC 11 dígitos producto 3</t>
  </si>
  <si>
    <t>Producto 3</t>
  </si>
  <si>
    <t>Código CPC 11 dígitos producto 4</t>
  </si>
  <si>
    <t>Producto 4</t>
  </si>
  <si>
    <t>Código CPC 11 dígitos producto 5</t>
  </si>
  <si>
    <t>Producto 5</t>
  </si>
  <si>
    <t>Novedad de la empresa</t>
  </si>
  <si>
    <t>DEPRODEMAR CIA. LTDA.</t>
  </si>
  <si>
    <t>DEPRODEMAR CIA LTDA</t>
  </si>
  <si>
    <t>C102004</t>
  </si>
  <si>
    <t>08</t>
  </si>
  <si>
    <t>LOS RIOS</t>
  </si>
  <si>
    <t>PANAMA</t>
  </si>
  <si>
    <t>1</t>
  </si>
  <si>
    <t>DIAGONAL A LA ESCUELA RAMON BEDOYA</t>
  </si>
  <si>
    <t>062451878</t>
  </si>
  <si>
    <t>ZAMBRANO FERNANDEZ DAMAZO SIFRED</t>
  </si>
  <si>
    <t>2C</t>
  </si>
  <si>
    <t>NO</t>
  </si>
  <si>
    <t>SI</t>
  </si>
  <si>
    <t>Ubicada</t>
  </si>
  <si>
    <t>Embargada</t>
  </si>
  <si>
    <t>REYES CARRERA JAVIER FERNANDO</t>
  </si>
  <si>
    <t>-1</t>
  </si>
  <si>
    <t>C103016</t>
  </si>
  <si>
    <t>17</t>
  </si>
  <si>
    <t>E21C</t>
  </si>
  <si>
    <t>S3-208</t>
  </si>
  <si>
    <t>CALLE S3D</t>
  </si>
  <si>
    <t>A TRES CUADRAS DEL PUESTO DE AUXILIO INMEDIATO</t>
  </si>
  <si>
    <t>CHICAIZA FLORES CARMEN JANNETH</t>
  </si>
  <si>
    <t>Rechazo</t>
  </si>
  <si>
    <t>EXTRACTORA ATAHUALPA EXTRACATA S.A.</t>
  </si>
  <si>
    <t>EXTRACTORA ATAHUALPA EXTRACATA SA</t>
  </si>
  <si>
    <t>C104011</t>
  </si>
  <si>
    <t>VIA BOCANA DEL BUA</t>
  </si>
  <si>
    <t>MARGEN DERECHO</t>
  </si>
  <si>
    <t>JUNTO A PLANTACIONES AGROINDURREY</t>
  </si>
  <si>
    <t>022258344</t>
  </si>
  <si>
    <t>SEGOVIA CASTAÑEDA PATRICIO XAVIER</t>
  </si>
  <si>
    <t>Liquidada</t>
  </si>
  <si>
    <t>NUTRICIONPLUS S.A.S.</t>
  </si>
  <si>
    <t>C106121</t>
  </si>
  <si>
    <t>6 DE DICIEMBRE</t>
  </si>
  <si>
    <t>ALMEIDA PARRA MARIA CRISTINA</t>
  </si>
  <si>
    <t>No ubicada</t>
  </si>
  <si>
    <t>CONFITERIA CANDYFANTASY CIA. LTDA.</t>
  </si>
  <si>
    <t>CONFITERIA CANDYFANTASY CIA LTDA</t>
  </si>
  <si>
    <t>C107321</t>
  </si>
  <si>
    <t>AV. SHYRIS</t>
  </si>
  <si>
    <t>N36-188</t>
  </si>
  <si>
    <t>NACIONES UNIDAS</t>
  </si>
  <si>
    <t>SHYRIS PARK</t>
  </si>
  <si>
    <t>LC 104 PB</t>
  </si>
  <si>
    <t>DIAGONAL AL CENTRO COMERCIAL QUICENTRO SHOPPING</t>
  </si>
  <si>
    <t>022926157</t>
  </si>
  <si>
    <t>CRUZ TERAN PEDRO JOSE</t>
  </si>
  <si>
    <t>23670.01.02.01</t>
  </si>
  <si>
    <t>Normal</t>
  </si>
  <si>
    <t>INDUSTRIAL PRODUCTOS MORO SCC</t>
  </si>
  <si>
    <t>INDUSTRIAL PRODUCTOS EL CHINITO</t>
  </si>
  <si>
    <t>C107932</t>
  </si>
  <si>
    <t>10</t>
  </si>
  <si>
    <t>CALLE EL ORO</t>
  </si>
  <si>
    <t>CASA 2-97</t>
  </si>
  <si>
    <t>CALLE 13 DE ABRIL</t>
  </si>
  <si>
    <t>PISO 1</t>
  </si>
  <si>
    <t>HUERTOS FAMILIARES</t>
  </si>
  <si>
    <t>FRENTE AL ISPA</t>
  </si>
  <si>
    <t>062545231</t>
  </si>
  <si>
    <t>MAYRA JANNETH TAPIA FUERTES</t>
  </si>
  <si>
    <t>40660</t>
  </si>
  <si>
    <t>23924.00.04.01</t>
  </si>
  <si>
    <t>23710.01.01.01</t>
  </si>
  <si>
    <t>23995.04.01.01</t>
  </si>
  <si>
    <t>23995.04.02.01</t>
  </si>
  <si>
    <t>MIÑO FERNANDEZ SANTIAGO ALEJANDRO</t>
  </si>
  <si>
    <t>NUTRIGROUP-H</t>
  </si>
  <si>
    <t>SANTA LUCIA</t>
  </si>
  <si>
    <t>E1-147</t>
  </si>
  <si>
    <t>AV. 6 DE DICIEMBRE</t>
  </si>
  <si>
    <t>KENNEDY</t>
  </si>
  <si>
    <t>8A5 SMARTKET</t>
  </si>
  <si>
    <t>022809070</t>
  </si>
  <si>
    <t>ESPINOSA VALENCIA JACQUELINE GABRIELA</t>
  </si>
  <si>
    <t>FLORES NOBOA JAIRA MARIANELA</t>
  </si>
  <si>
    <t>LA BODEGA</t>
  </si>
  <si>
    <t>C131102</t>
  </si>
  <si>
    <t>DARIO EGAS GRIJALVA</t>
  </si>
  <si>
    <t>JUAN GENARO</t>
  </si>
  <si>
    <t>TRAS EL SECAP</t>
  </si>
  <si>
    <t>062608246</t>
  </si>
  <si>
    <t>TAPIA CAMPAÑA ANDREA CRISTINA</t>
  </si>
  <si>
    <t>ELASTICOS SAN JORGE CIA LTDA</t>
  </si>
  <si>
    <t>ELASTICOS SAN JORGE</t>
  </si>
  <si>
    <t>C131201</t>
  </si>
  <si>
    <t>CALLE DIAZ DE ARMENDARIZ</t>
  </si>
  <si>
    <t>CASA N25-34</t>
  </si>
  <si>
    <t>CALLE NUÑEZ DE BONILLA</t>
  </si>
  <si>
    <t>PB</t>
  </si>
  <si>
    <t>LA GASCA</t>
  </si>
  <si>
    <t>A 2 CUADRAS DEL PARQUE ITALIA</t>
  </si>
  <si>
    <t>023211341</t>
  </si>
  <si>
    <t>YOLANDA SORIA VIZUETE</t>
  </si>
  <si>
    <t>LEMA AMAGUAÑA JOSE FRANKLIN</t>
  </si>
  <si>
    <t>LEMA AMAGUANA JOSE FRANKLIN</t>
  </si>
  <si>
    <t>PEDRO HERNANDEZ</t>
  </si>
  <si>
    <t>720-310</t>
  </si>
  <si>
    <t>CARVAJAL</t>
  </si>
  <si>
    <t>CDLA. IMBAYA A TRES CUADRAS DEL TERMINAL DE LA FLOTA IMBABURA</t>
  </si>
  <si>
    <t>TIXICURO CACERES MERY ROCIO</t>
  </si>
  <si>
    <t>ESPINOSA CEVALLOS CARLOS FERNANDO</t>
  </si>
  <si>
    <t>TEJIDOS CARLEX 2</t>
  </si>
  <si>
    <t>C139101</t>
  </si>
  <si>
    <t>SUCRE</t>
  </si>
  <si>
    <t>10-50</t>
  </si>
  <si>
    <t>GENERAL ENRIQUEZ</t>
  </si>
  <si>
    <t>CENTRAL</t>
  </si>
  <si>
    <t>A MEDIA CUADRA DEL PARQUE CENTRAL</t>
  </si>
  <si>
    <t>062906284</t>
  </si>
  <si>
    <t>AYALA SEVILLA NORMA YOLANDA</t>
  </si>
  <si>
    <t>RUSH CORPORATION CORPORATIONRUSH S.A.</t>
  </si>
  <si>
    <t>C141003</t>
  </si>
  <si>
    <t>21 DE NOVIEMBRE</t>
  </si>
  <si>
    <t>NUEVO HORIZONTE</t>
  </si>
  <si>
    <t>ANTONIO ANTE, NÚMERO PISO: 06-76</t>
  </si>
  <si>
    <t>RECALDE ANDRADE MARIA GARDENIA</t>
  </si>
  <si>
    <t>FABRICA DE MEDIAS GARDENIA</t>
  </si>
  <si>
    <t>C143002</t>
  </si>
  <si>
    <t>VÍA ANTIGUA A COTACAHI</t>
  </si>
  <si>
    <t>CERCA AL RESTAURANTE LA TILAPIA</t>
  </si>
  <si>
    <t>CONSUELO ARTIAGA</t>
  </si>
  <si>
    <t>40511</t>
  </si>
  <si>
    <t>28210.00.00.01</t>
  </si>
  <si>
    <t>28210.00.00.02</t>
  </si>
  <si>
    <t>28210.00.00.04</t>
  </si>
  <si>
    <t>CASTAÑEDA PERUGACHI NELSON</t>
  </si>
  <si>
    <t>NELTEX</t>
  </si>
  <si>
    <t>SIMON BOLIVAR</t>
  </si>
  <si>
    <t>COMUNIDAD HUASCARA BARRIO LOS PINOS A MEDIO KILOMETRO DEL PARQUE CENTRAL</t>
  </si>
  <si>
    <t>REA MARTINEZ NANCY VERONICA</t>
  </si>
  <si>
    <t>INMUNIZADORA TECNICA DE MADERAS ITM CA</t>
  </si>
  <si>
    <t>ITM</t>
  </si>
  <si>
    <t>C161001</t>
  </si>
  <si>
    <t>OSWALDO GUAYASAMIN</t>
  </si>
  <si>
    <t>N10-80</t>
  </si>
  <si>
    <t>PSJE. LOS PINOS</t>
  </si>
  <si>
    <t>022044010</t>
  </si>
  <si>
    <t>DIEGO SANCHEZ</t>
  </si>
  <si>
    <t>40181</t>
  </si>
  <si>
    <t>31600.00.00.06</t>
  </si>
  <si>
    <t>31600.00.00.04</t>
  </si>
  <si>
    <t xml:space="preserve">MARTINEZ SAAVEDRA CHRISTIAN WLADIMIR </t>
  </si>
  <si>
    <t>ECO MUEBLES</t>
  </si>
  <si>
    <t>C162201</t>
  </si>
  <si>
    <t>ACUÑA</t>
  </si>
  <si>
    <t>OE3-238</t>
  </si>
  <si>
    <t>AV. AMERICA</t>
  </si>
  <si>
    <t>A UNA CUADRA DEL BANCO PICHINCHA</t>
  </si>
  <si>
    <t>022545735</t>
  </si>
  <si>
    <t>MARTINEZ CALDERON DANNY DAVID</t>
  </si>
  <si>
    <t>PAPELITOSA INDUSTRIA PAPELERA PAPELITO S.A.</t>
  </si>
  <si>
    <t>INDUSTRIA PAPELERA PAPELITO SA</t>
  </si>
  <si>
    <t>C170911</t>
  </si>
  <si>
    <t>DARQUEA TERAN</t>
  </si>
  <si>
    <t>OE2-04</t>
  </si>
  <si>
    <t>10 DE AGOSTO</t>
  </si>
  <si>
    <t>DIAGONAL A LA IGLESIA DE SANTA CLARA</t>
  </si>
  <si>
    <t>022239136</t>
  </si>
  <si>
    <t>DIANA PILAGTAXI</t>
  </si>
  <si>
    <t>32193.03.02.01</t>
  </si>
  <si>
    <t>REVESTISA CIA. LTDA.</t>
  </si>
  <si>
    <t>REVESTISA</t>
  </si>
  <si>
    <t>C202201</t>
  </si>
  <si>
    <t>AV. ELOY ALFARO</t>
  </si>
  <si>
    <t>LOTE 92</t>
  </si>
  <si>
    <t>DE LOS ACEITUNOS</t>
  </si>
  <si>
    <t>04</t>
  </si>
  <si>
    <t>022476513</t>
  </si>
  <si>
    <t>MYRIAM XIMENA JARAMILLO CABEZAS</t>
  </si>
  <si>
    <t>INGLOPET INSUMOS GLOBALES PETROLEROS S.A.S.</t>
  </si>
  <si>
    <t>21</t>
  </si>
  <si>
    <t>VIA QUITO</t>
  </si>
  <si>
    <t>frente a la escuela Consejo Provincial</t>
  </si>
  <si>
    <t>CORPORACION RYMMAO COSMETICA ECUATORIANA S.A.</t>
  </si>
  <si>
    <t>RYMMAO SA</t>
  </si>
  <si>
    <t>C202331</t>
  </si>
  <si>
    <t>DE LOS ARUPOS</t>
  </si>
  <si>
    <t>E9-18</t>
  </si>
  <si>
    <t>LATERAL Y PASAJE E</t>
  </si>
  <si>
    <t>LA CRISTIANIA</t>
  </si>
  <si>
    <t>DETRAS DE LA FÁBRICA DE PINTURAS ITALPAINT LOTE ESQUINERO EDIFICIO AZUL SOBRE LA ELOY ALFARO</t>
  </si>
  <si>
    <t>022807533</t>
  </si>
  <si>
    <t>QUINCHE PERALTA HUMBERTO MAURICIO</t>
  </si>
  <si>
    <t>COMERCIALIZADORA Y PRODUCTORA DE EXPLOSIVOS AUXINOR AUXIN NORBENCO S.A.</t>
  </si>
  <si>
    <t>AUXIN NORBENCO SA</t>
  </si>
  <si>
    <t>C202991</t>
  </si>
  <si>
    <t>AV. DE LOS SHYRIS</t>
  </si>
  <si>
    <t>N34-328</t>
  </si>
  <si>
    <t>PORTUGAL</t>
  </si>
  <si>
    <t>EDF. SMERALDA</t>
  </si>
  <si>
    <t>A 2 CUADRAS DEL COLEGIO BENALCAZAR</t>
  </si>
  <si>
    <t>033259157</t>
  </si>
  <si>
    <t>GARCIA GARCIA MARGORIE MARCELA</t>
  </si>
  <si>
    <t>PICHINCHA</t>
  </si>
  <si>
    <t xml:space="preserve"> </t>
  </si>
  <si>
    <t>Inactiva</t>
  </si>
  <si>
    <t>PINT-PHARMA ECUADOR CIA. LTDA.</t>
  </si>
  <si>
    <t>PINT-PHARMA ECUADOR</t>
  </si>
  <si>
    <t>C210001</t>
  </si>
  <si>
    <t>REPÚBLICA DEL SALVADOR</t>
  </si>
  <si>
    <t>S/N</t>
  </si>
  <si>
    <t>MANSIÓN BLANCA TORRE PARIS</t>
  </si>
  <si>
    <t>6</t>
  </si>
  <si>
    <t>601</t>
  </si>
  <si>
    <t>A UNA CUADRA DEL ESTADIO OLÍMPICO ATAHUALPA</t>
  </si>
  <si>
    <t>022445508</t>
  </si>
  <si>
    <t>REENCAUCHADORA IMBABURA</t>
  </si>
  <si>
    <t>C221101</t>
  </si>
  <si>
    <t>CALLE JOSE ENDARA ROCHA (ATUNTAQUI)</t>
  </si>
  <si>
    <t>CASA S/N</t>
  </si>
  <si>
    <t>AV. VELASCO IBARRA</t>
  </si>
  <si>
    <t>ANAFO</t>
  </si>
  <si>
    <t>A 200 METROS AL NORTE DE LAS FRITADAS AMAZONAS FRENTE A FUNDIMAN</t>
  </si>
  <si>
    <t>062908818</t>
  </si>
  <si>
    <t>MARIA JOSE ARTURO BONILLA</t>
  </si>
  <si>
    <t>DISPROQUIM SOCIEDAD COMERCIAL</t>
  </si>
  <si>
    <t>C231021</t>
  </si>
  <si>
    <t>N16-40</t>
  </si>
  <si>
    <t>BUENOS AIRES</t>
  </si>
  <si>
    <t>AMERICA</t>
  </si>
  <si>
    <t>A UNA CUADRA Y MEDIA DEL COLEGIO MEJIA</t>
  </si>
  <si>
    <t>022280575</t>
  </si>
  <si>
    <t>ING. ENRIQUE VAYAS FERNANDEZ</t>
  </si>
  <si>
    <t>BOMANITE ECUADOR SC</t>
  </si>
  <si>
    <t>C239503</t>
  </si>
  <si>
    <t>AV. MARIANA DE JESUS</t>
  </si>
  <si>
    <t>E6-175</t>
  </si>
  <si>
    <t>PSJE. POTOSI</t>
  </si>
  <si>
    <t>JUNTO AL MALL EL JARDIN, NÚMERO PISO: PB, NÚMERO OFICINA: 1</t>
  </si>
  <si>
    <t>022906974</t>
  </si>
  <si>
    <t>MUÑOZ MARTINEZ CHRISTIAN JAVIER</t>
  </si>
  <si>
    <t>HORMIGONERA MANABI HORMIMANABI CIA. LTDA.</t>
  </si>
  <si>
    <t>HORMIGONERA MANABI</t>
  </si>
  <si>
    <t>C239504</t>
  </si>
  <si>
    <t>CALLE MARIANO CARDENAL</t>
  </si>
  <si>
    <t>CASA OE1-344</t>
  </si>
  <si>
    <t>CALLE JUAN DE SELIS</t>
  </si>
  <si>
    <t>PONCEANO</t>
  </si>
  <si>
    <t>A DOS CUADRAS HACIA EL SUR DE CATERPILAR</t>
  </si>
  <si>
    <t>022807884</t>
  </si>
  <si>
    <t>MELISA ROSALES</t>
  </si>
  <si>
    <t>40144</t>
  </si>
  <si>
    <t>37510.00.99.01</t>
  </si>
  <si>
    <t>VALLEJO PAZ REINALDO RAFAEL</t>
  </si>
  <si>
    <t>CANTERA ALONDRA DEL REY</t>
  </si>
  <si>
    <t>VIA ELEJIDO DE CARANQUI</t>
  </si>
  <si>
    <t>S2946N</t>
  </si>
  <si>
    <t>A UNA CUADRA DE LA CASA COMUNAL SAN CRISTOBAL</t>
  </si>
  <si>
    <t>062651268</t>
  </si>
  <si>
    <t>REINALDO RAFAEL VALLEJO PAZ</t>
  </si>
  <si>
    <t>GREAT SOLUTIONS FACTORY GSF GREATS CIA.LTDA.</t>
  </si>
  <si>
    <t>C239904</t>
  </si>
  <si>
    <t>CALLE PONCE CARRASCO</t>
  </si>
  <si>
    <t>E8-06</t>
  </si>
  <si>
    <t>CALLE DIEGO DE ALMAGRO</t>
  </si>
  <si>
    <t>EDF. ALMAGRO PLAZA</t>
  </si>
  <si>
    <t>PISO 917</t>
  </si>
  <si>
    <t>BARRIO IÑAQUITO</t>
  </si>
  <si>
    <t>FRENTE A CASA DAMIAN</t>
  </si>
  <si>
    <t>023909338</t>
  </si>
  <si>
    <t>INOXFORM S C C</t>
  </si>
  <si>
    <t>C241021</t>
  </si>
  <si>
    <t>CALLE DE LOS ARUPOS</t>
  </si>
  <si>
    <t>LOTE E5-142</t>
  </si>
  <si>
    <t>BARRIO CRISTINIA 2</t>
  </si>
  <si>
    <t>DIAGONAL EMPRESA TECNIN</t>
  </si>
  <si>
    <t>022485991</t>
  </si>
  <si>
    <t>AREVALO ESPINOZA GLORIA CECILIA</t>
  </si>
  <si>
    <t>CONSTRUCTORES CHALVILCONSTRUC S.A.</t>
  </si>
  <si>
    <t>C251101</t>
  </si>
  <si>
    <t>Santa cecilia y jambeli</t>
  </si>
  <si>
    <t>20 de junio y riobamba</t>
  </si>
  <si>
    <t>SECTOR EL CAÑAVERAL</t>
  </si>
  <si>
    <t>A LADO DE UNA TIENDA DOÑA JUANA</t>
  </si>
  <si>
    <t>062832478</t>
  </si>
  <si>
    <t>AMAY ARMIJOS DIEGO SALVADOR</t>
  </si>
  <si>
    <t>SIDERTECNICA CIA. LTDA.</t>
  </si>
  <si>
    <t>N43-12</t>
  </si>
  <si>
    <t>IGNACIO BOSSANO</t>
  </si>
  <si>
    <t>TORRE BOSSANO</t>
  </si>
  <si>
    <t>5</t>
  </si>
  <si>
    <t>503</t>
  </si>
  <si>
    <t>A 100M AL SUR DEL CONSEJO NACIONAL ELECTORAL</t>
  </si>
  <si>
    <t>023825357</t>
  </si>
  <si>
    <t>CARRION PAREDES JORGE MARCELO</t>
  </si>
  <si>
    <t>GIRO PROMOCIONES GIRPRO CIA. LTDA</t>
  </si>
  <si>
    <t>GIRO PROMOCIONES GIRPRO</t>
  </si>
  <si>
    <t>C321201</t>
  </si>
  <si>
    <t>N67-108</t>
  </si>
  <si>
    <t>EN LA FABRICA DE PLASTICOS RENANIA</t>
  </si>
  <si>
    <t>022472898</t>
  </si>
  <si>
    <t>SANDRA CHICO</t>
  </si>
  <si>
    <t>UNITOYS INC S A</t>
  </si>
  <si>
    <t>UNITOYS INC SA</t>
  </si>
  <si>
    <t>C324009</t>
  </si>
  <si>
    <t>E15F</t>
  </si>
  <si>
    <t>N53-15</t>
  </si>
  <si>
    <t>PEDRO AGUIRRE</t>
  </si>
  <si>
    <t>SAN ISIDRO DEL INCA</t>
  </si>
  <si>
    <t>022541328</t>
  </si>
  <si>
    <t>RUIZ LOZANO DIANA DEL PILAR</t>
  </si>
  <si>
    <t>FERLUCORP S.A.</t>
  </si>
  <si>
    <t>FERLUCORP SA</t>
  </si>
  <si>
    <t>C329032</t>
  </si>
  <si>
    <t>RAFAELA VEINTIMILLA</t>
  </si>
  <si>
    <t>N49-195</t>
  </si>
  <si>
    <t>LOS OLIVOS</t>
  </si>
  <si>
    <t>BARRIO SAN ISIDRO DEL INCA</t>
  </si>
  <si>
    <t>A TRES CUADRAS DE LA IGLESIA DEL INCA</t>
  </si>
  <si>
    <t>025129665</t>
  </si>
  <si>
    <t>VALERIA QUEZADA</t>
  </si>
  <si>
    <t>AGROINDUSTRIAS EXTRACTORAS DE ACEITES VEGETALES AEXAV CIA. LTDA.</t>
  </si>
  <si>
    <t>AEXAV CIALTDA</t>
  </si>
  <si>
    <t>VÍA STO. DOMINGO QUININDÉ</t>
  </si>
  <si>
    <t>KM. 196</t>
  </si>
  <si>
    <t>SECTOR SECTOR LA PRIMAVERA</t>
  </si>
  <si>
    <t>A UN KILOMETRO DEL PAI DE LA MARUJITA</t>
  </si>
  <si>
    <t>062739236</t>
  </si>
  <si>
    <t>WELLINTON MORAN VERGARA</t>
  </si>
  <si>
    <t>3C</t>
  </si>
  <si>
    <t>EXTRACTORA DE ACEITES ACEITPLACER S. A.</t>
  </si>
  <si>
    <t>EXTRACTORA DE ACEITES ACEITEPLACER S.A.</t>
  </si>
  <si>
    <t>VIA QUININDE SANTO DOMINGO</t>
  </si>
  <si>
    <t>44</t>
  </si>
  <si>
    <t>A DOS KILOMETROS DE LA CONCORDIA</t>
  </si>
  <si>
    <t>062778113</t>
  </si>
  <si>
    <t>WILMER TORRES Y DIANA PACHECO</t>
  </si>
  <si>
    <t>40538</t>
  </si>
  <si>
    <t>21535.00.00.01</t>
  </si>
  <si>
    <t>MANI MANIA FOOD COMPANY MANIHABS S.A.</t>
  </si>
  <si>
    <t>MANI MANIA</t>
  </si>
  <si>
    <t>CALLE RAFAEL CARVAJAL</t>
  </si>
  <si>
    <t>EDF. N74-67</t>
  </si>
  <si>
    <t>PISO 2</t>
  </si>
  <si>
    <t>CARCELEN</t>
  </si>
  <si>
    <t>DIAGONAL A LA UPC LAS PIRAMIDES</t>
  </si>
  <si>
    <t>023444165</t>
  </si>
  <si>
    <t>VICTOR MANUEL ACARO</t>
  </si>
  <si>
    <t>40750</t>
  </si>
  <si>
    <t>21495.01.01.01</t>
  </si>
  <si>
    <t>FRANCELANA SA</t>
  </si>
  <si>
    <t>MANUEL HERRERA</t>
  </si>
  <si>
    <t>OE5-05</t>
  </si>
  <si>
    <t>AV. DE LA PRENSA</t>
  </si>
  <si>
    <t>FRANCELANAS</t>
  </si>
  <si>
    <t>2</t>
  </si>
  <si>
    <t>01</t>
  </si>
  <si>
    <t>FRENTE A LA PARADA DE LA BASE AREA</t>
  </si>
  <si>
    <t>022445151</t>
  </si>
  <si>
    <t>BLADIMIR  MALDONADO</t>
  </si>
  <si>
    <t>PUNTO MADERA ESPINOZA LUGO WOODPOINT CIA LTDA</t>
  </si>
  <si>
    <t>WOODPOINT CIA LTDA</t>
  </si>
  <si>
    <t>VIA A QUININDE S/N</t>
  </si>
  <si>
    <t>VIA LA INDEPENDENCIA - CALACALI</t>
  </si>
  <si>
    <t>48</t>
  </si>
  <si>
    <t>LA INDEPENDENCIA</t>
  </si>
  <si>
    <t>LOS PINOS</t>
  </si>
  <si>
    <t>DIAGONAL A LA ESCUELA CARLOS ANDRADE MARIN</t>
  </si>
  <si>
    <t>062778188</t>
  </si>
  <si>
    <t>GLENDA PATRICIA ESPINOZA LUGO</t>
  </si>
  <si>
    <t>AGROINNOVACION S.A.</t>
  </si>
  <si>
    <t>TECNOVIV</t>
  </si>
  <si>
    <t>C202101</t>
  </si>
  <si>
    <t xml:space="preserve">AV. 18 DE SEPTIEMBRE </t>
  </si>
  <si>
    <t>E4-161</t>
  </si>
  <si>
    <t>JUAN LEON MERA</t>
  </si>
  <si>
    <t>EDF. MUTUALISTA PICHINCHA</t>
  </si>
  <si>
    <t>PISO 3</t>
  </si>
  <si>
    <t>BARRIO LA MARISCAL</t>
  </si>
  <si>
    <t>JUNTO AL HOTEL HILTON COLON</t>
  </si>
  <si>
    <t>022387914</t>
  </si>
  <si>
    <t>REVELO VIZUETE DAVID ALEJANDRO</t>
  </si>
  <si>
    <t>INX DO BRASIL LTDA.</t>
  </si>
  <si>
    <t>C202205</t>
  </si>
  <si>
    <t>FRANCISCO ROBLES</t>
  </si>
  <si>
    <t>E4-136</t>
  </si>
  <si>
    <t>AV. AMAZONAS</t>
  </si>
  <si>
    <t>022544144</t>
  </si>
  <si>
    <t>LOY GUARANDA MARTHA STEFANIE</t>
  </si>
  <si>
    <t>PRODUCTOS DEL SOL ECUADOR PRODELSOLEC CIA. LTDA.</t>
  </si>
  <si>
    <t>PRODELSOL</t>
  </si>
  <si>
    <t>C202321</t>
  </si>
  <si>
    <t>CALLE HUAYNACAPAC</t>
  </si>
  <si>
    <t>LOTE 4</t>
  </si>
  <si>
    <t>CALLE ELOY ALFARO</t>
  </si>
  <si>
    <t>FABRICA PRODESOLEC</t>
  </si>
  <si>
    <t>NAYON</t>
  </si>
  <si>
    <t>1 CUADRA HACIA EL NORTE DE LA IGLESIA</t>
  </si>
  <si>
    <t>022884534</t>
  </si>
  <si>
    <t>FERNANADO MOSQUERA</t>
  </si>
  <si>
    <t>40571</t>
  </si>
  <si>
    <t>38993.00.99.01</t>
  </si>
  <si>
    <t>ECZANE PHARMA LABORATORIOS ECZANEPHARMA SA</t>
  </si>
  <si>
    <t>ECZANE PHARMA</t>
  </si>
  <si>
    <t>AV. 9 DE OCTUBRE</t>
  </si>
  <si>
    <t>N22-105</t>
  </si>
  <si>
    <t>RAMIREZ DAVALOS</t>
  </si>
  <si>
    <t>LA MARISCAL</t>
  </si>
  <si>
    <t>JUNTO A LA CLINICA PICHINCHA</t>
  </si>
  <si>
    <t>022560170</t>
  </si>
  <si>
    <t>MERA DOMINGUEZ SANDRA MARIBEL</t>
  </si>
  <si>
    <t>HORMIGONERA OCCIDENTAL OCCIHORMIGON CIA.LTDA.</t>
  </si>
  <si>
    <t>PSJE. 2</t>
  </si>
  <si>
    <t>13</t>
  </si>
  <si>
    <t>CRISTOBAL GANGOTENA</t>
  </si>
  <si>
    <t>LOTE 13, S/N</t>
  </si>
  <si>
    <t>EL PARAISO</t>
  </si>
  <si>
    <t>POMASQUI</t>
  </si>
  <si>
    <t>022354582</t>
  </si>
  <si>
    <t>TOAPANTA CAUJA JOSELIN SABRINA</t>
  </si>
  <si>
    <t>40152</t>
  </si>
  <si>
    <t>ESYCMET ESTRUCTURAS Y CONSTRUCCIONES METALICAS CIA. LTDA.</t>
  </si>
  <si>
    <t>ESYCMET ESTRUCTURAS Y CONSTRUCCIONES METALICAS CIA LTDA</t>
  </si>
  <si>
    <t>CALLE VERSALLES</t>
  </si>
  <si>
    <t>EDF. N28-72</t>
  </si>
  <si>
    <t>CALLE FRAY BARTOLOME DE LAS CASAS</t>
  </si>
  <si>
    <t>LAS CASAS</t>
  </si>
  <si>
    <t>DIAGONAL AL EDIFICIO MENFER</t>
  </si>
  <si>
    <t>022529218</t>
  </si>
  <si>
    <t>YOLANDA ARIAS</t>
  </si>
  <si>
    <t>40378</t>
  </si>
  <si>
    <t>42110.00.02.01</t>
  </si>
  <si>
    <t>REPRESENTACIONES DE METALES PERFORADOS S.A. REPERMETAL S.A.</t>
  </si>
  <si>
    <t>REPERMETAL</t>
  </si>
  <si>
    <t>AV. ÁMERICA</t>
  </si>
  <si>
    <t>EDF. N34-481</t>
  </si>
  <si>
    <t>CALLE FRANCISCO HERNANDEZ DE GIRON</t>
  </si>
  <si>
    <t>RUMIPAMBA</t>
  </si>
  <si>
    <t>FRENTE A LA PARADA DEL METRO</t>
  </si>
  <si>
    <t>022439786</t>
  </si>
  <si>
    <t>Rocío Araujo</t>
  </si>
  <si>
    <t>FLOTA PESQUERA DERIANCOMP S.A</t>
  </si>
  <si>
    <t>JJ SEAFOODS</t>
  </si>
  <si>
    <t>AV. JAIME ROLDOS AGUILERA</t>
  </si>
  <si>
    <t>LOTE 24</t>
  </si>
  <si>
    <t>VÍA PUERTO PESQUERO</t>
  </si>
  <si>
    <t>BODEGA 24</t>
  </si>
  <si>
    <t>BARRIO ESMERALDAS</t>
  </si>
  <si>
    <t>PLANTA DE PROCESO PUERTO PESQUERO ARTESANAL JUNTO AL TERMINAL GASERO</t>
  </si>
  <si>
    <t>062012968</t>
  </si>
  <si>
    <t>TELLO HIDALGO SHEYLA VANESSA</t>
  </si>
  <si>
    <t>4C</t>
  </si>
  <si>
    <t>40617</t>
  </si>
  <si>
    <t>PEXA PLANTA EXTRACTORA AGRICOLA LA UNION S.A.</t>
  </si>
  <si>
    <t>PEXA SA</t>
  </si>
  <si>
    <t>VIA SANTO DOMINGO</t>
  </si>
  <si>
    <t>PEXA</t>
  </si>
  <si>
    <t>FRENTE A LA EXTRACTORA DE ACEITE PLACER</t>
  </si>
  <si>
    <t>062778156</t>
  </si>
  <si>
    <t>DRA LUCIA PINEDA</t>
  </si>
  <si>
    <t>PRODUCTOS SCHULLO S.A.</t>
  </si>
  <si>
    <t>SCHULLO</t>
  </si>
  <si>
    <t>LOS MIRLOS</t>
  </si>
  <si>
    <t>LOTE 47B</t>
  </si>
  <si>
    <t>LOS CISNES</t>
  </si>
  <si>
    <t>A UNA CUADRA AL SURESTE DEL CONJUNTO OASIS DEL VALLE II</t>
  </si>
  <si>
    <t>022228904</t>
  </si>
  <si>
    <t>CRISTIAN FLORES</t>
  </si>
  <si>
    <t>40748</t>
  </si>
  <si>
    <t>PRODUCTOS OLE DEL ECUADOR PRODUCTOSOLE CIA.LTDA.</t>
  </si>
  <si>
    <t>PRODUCTOS OLE</t>
  </si>
  <si>
    <t>23 DE ABRIL</t>
  </si>
  <si>
    <t>OE12-372</t>
  </si>
  <si>
    <t>LINARES</t>
  </si>
  <si>
    <t>PRODUCTO OLE DEL ECUADOR</t>
  </si>
  <si>
    <t>EL CARMEN</t>
  </si>
  <si>
    <t>FRENTE AL CONJUNTO PRADOS DE VILLANUEVA</t>
  </si>
  <si>
    <t>022020772</t>
  </si>
  <si>
    <t>LORENA MORILLO</t>
  </si>
  <si>
    <t>40832</t>
  </si>
  <si>
    <t>23995.01.02.01</t>
  </si>
  <si>
    <t>FIBRATEX S.A.</t>
  </si>
  <si>
    <t>FIBRATEX SA</t>
  </si>
  <si>
    <t>JUAN BARREZUETA</t>
  </si>
  <si>
    <t>N73-68</t>
  </si>
  <si>
    <t>DOMINGO RENGIFO</t>
  </si>
  <si>
    <t>FIBRATEX</t>
  </si>
  <si>
    <t>1-2</t>
  </si>
  <si>
    <t>JUNTO A LAS BODEGAS CNT</t>
  </si>
  <si>
    <t>022482404</t>
  </si>
  <si>
    <t>MONICA CASTRO</t>
  </si>
  <si>
    <t>40287</t>
  </si>
  <si>
    <t>26790.99.01.01</t>
  </si>
  <si>
    <t>27180.01.01.01</t>
  </si>
  <si>
    <t>LANAFIT SA</t>
  </si>
  <si>
    <t>LANAFIT S.A.</t>
  </si>
  <si>
    <t>AV. CAPITAN RAFAEL RAMOS</t>
  </si>
  <si>
    <t>E5-84</t>
  </si>
  <si>
    <t>GONZALO ZALDUMBIDE</t>
  </si>
  <si>
    <t>EL MORAL</t>
  </si>
  <si>
    <t>LA LUZ</t>
  </si>
  <si>
    <t>FRENTE AL MERCADO DE LA LUZ</t>
  </si>
  <si>
    <t>022400160</t>
  </si>
  <si>
    <t>LIGIA PIEDAD DEL ROSARIO RUIZ HARO</t>
  </si>
  <si>
    <t>40387</t>
  </si>
  <si>
    <t>26410.02.03.01</t>
  </si>
  <si>
    <t>INDUSTRIAL TEXTILESTORNASOL CIA. LTDA.</t>
  </si>
  <si>
    <t>TEXTILES TORNASOL</t>
  </si>
  <si>
    <t>CACHA</t>
  </si>
  <si>
    <t>LOTE 5</t>
  </si>
  <si>
    <t>GEOVANNY CALLES</t>
  </si>
  <si>
    <t>BARRIO TERAN</t>
  </si>
  <si>
    <t>4 ESQUINAS DE MARIANA</t>
  </si>
  <si>
    <t>022822521</t>
  </si>
  <si>
    <t>XIMENA SUNTAXI</t>
  </si>
  <si>
    <t>40103</t>
  </si>
  <si>
    <t>26790.01.99.01</t>
  </si>
  <si>
    <t>TEXTILES MAR Y SOL S.A.</t>
  </si>
  <si>
    <t>TEXTILES MAR Y SOL SA</t>
  </si>
  <si>
    <t>C139201</t>
  </si>
  <si>
    <t>FRAY FRANCISCO COMPTE</t>
  </si>
  <si>
    <t>N31-05</t>
  </si>
  <si>
    <t>GUAPULO</t>
  </si>
  <si>
    <t>500 METROS TRAS IGLESIA DE GUAPULO</t>
  </si>
  <si>
    <t>022505810</t>
  </si>
  <si>
    <t>RUTH ALICIA JARAMILLO NIETO</t>
  </si>
  <si>
    <t>40492</t>
  </si>
  <si>
    <t>27120.17.05.01</t>
  </si>
  <si>
    <t>NERY FAS COMPANIA LIMITADA</t>
  </si>
  <si>
    <t>NERY FAS</t>
  </si>
  <si>
    <t>CALLE LOS CIRUELOS</t>
  </si>
  <si>
    <t>CASA E1-156</t>
  </si>
  <si>
    <t>AV. GALO PLAZA LASSO</t>
  </si>
  <si>
    <t>PARQUE DE LOS RECUERDOS</t>
  </si>
  <si>
    <t>022472933</t>
  </si>
  <si>
    <t>IRENE HERNANDEZ</t>
  </si>
  <si>
    <t>MEDIAS CRIS GARCIA CIA. LTDA.</t>
  </si>
  <si>
    <t>MECRISGA</t>
  </si>
  <si>
    <t>VÍA QUIROGA (MIGUEL GARCES)</t>
  </si>
  <si>
    <t>LOTE S/N</t>
  </si>
  <si>
    <t>VÍA SELVA ALEGRE (CALLE H)</t>
  </si>
  <si>
    <t>SAN ELOY</t>
  </si>
  <si>
    <t>JUNTO A LA ACADEMIA MACHADO</t>
  </si>
  <si>
    <t>062930016</t>
  </si>
  <si>
    <t>PINTO ALBUJA CRISTINA DE LOS ANGELES</t>
  </si>
  <si>
    <t>40865</t>
  </si>
  <si>
    <t>BURI CARAGUAY VICTOR EMILIO</t>
  </si>
  <si>
    <t>CALZADO KLEINER</t>
  </si>
  <si>
    <t>C152001</t>
  </si>
  <si>
    <t>AV. PONCE ENRÍQUEZ</t>
  </si>
  <si>
    <t>GARCÍA MORENO</t>
  </si>
  <si>
    <t>ACINCUENTA METROS ANTES DEL REDONDEL DE CONOCOTO</t>
  </si>
  <si>
    <t>PIEDRA LOAIZA MERCY ESMERALDA</t>
  </si>
  <si>
    <t>40671</t>
  </si>
  <si>
    <t>29330.01.01.01</t>
  </si>
  <si>
    <t>BUESTAN CIA. LTDA.</t>
  </si>
  <si>
    <t>CALZADO BUESTAN</t>
  </si>
  <si>
    <t>AV. JOSÉ ANDRADE</t>
  </si>
  <si>
    <t>OE1-589</t>
  </si>
  <si>
    <t>JOAQUIN MANCHENO</t>
  </si>
  <si>
    <t>7 1/2</t>
  </si>
  <si>
    <t>CARCELEN INDUSTRIAL</t>
  </si>
  <si>
    <t>BUESTAN</t>
  </si>
  <si>
    <t>FRENTE A LA EMPRESA INCINEROX</t>
  </si>
  <si>
    <t>022477991</t>
  </si>
  <si>
    <t>VERONICA GUAMAN</t>
  </si>
  <si>
    <t>40673</t>
  </si>
  <si>
    <t>29520.99.07.01</t>
  </si>
  <si>
    <t>29330.01.99.01</t>
  </si>
  <si>
    <t>CALZADO ANDINO, ANDICALZADO S.A.</t>
  </si>
  <si>
    <t>CALZADO ANDINO ANDICALZADO SA</t>
  </si>
  <si>
    <t>BARTOLOME SANCHEZ</t>
  </si>
  <si>
    <t>N72-223</t>
  </si>
  <si>
    <t>ANTONIO BASANTES</t>
  </si>
  <si>
    <t>ATRAS DEL HOTEL LUMINI</t>
  </si>
  <si>
    <t>022473968</t>
  </si>
  <si>
    <t>WENDY RAMIREZ</t>
  </si>
  <si>
    <t>40149</t>
  </si>
  <si>
    <t>INDUALCA S.A.</t>
  </si>
  <si>
    <t>INDUALCA SA</t>
  </si>
  <si>
    <t>E7-154</t>
  </si>
  <si>
    <t>CALLE E9</t>
  </si>
  <si>
    <t>INDUALCA</t>
  </si>
  <si>
    <t>EL BATAN</t>
  </si>
  <si>
    <t>FRENTA A LAS ANTENAS DE CLARO</t>
  </si>
  <si>
    <t>022470733</t>
  </si>
  <si>
    <t>DIANA RIVAS</t>
  </si>
  <si>
    <t>40101</t>
  </si>
  <si>
    <t>35110.01.01.01</t>
  </si>
  <si>
    <t>35110.02.09.01</t>
  </si>
  <si>
    <t>PINTURAS AMERICA PINTAMER S.A.</t>
  </si>
  <si>
    <t>PINTURAS AMERICA</t>
  </si>
  <si>
    <t>E3E</t>
  </si>
  <si>
    <t>S61-19</t>
  </si>
  <si>
    <t>PSJE. S61C</t>
  </si>
  <si>
    <t>P</t>
  </si>
  <si>
    <t>SECTOR TURUBAMBA</t>
  </si>
  <si>
    <t>JUNTO A NOVACERO</t>
  </si>
  <si>
    <t>024758123</t>
  </si>
  <si>
    <t>GUSTAVO ARMIJOS</t>
  </si>
  <si>
    <t>40113</t>
  </si>
  <si>
    <t>ASEOTOTAL S.A.</t>
  </si>
  <si>
    <t>ASEOTOTAL S A</t>
  </si>
  <si>
    <t>C202311</t>
  </si>
  <si>
    <t>BETHANIA</t>
  </si>
  <si>
    <t>28</t>
  </si>
  <si>
    <t>URB. SAN VICENTE DE PAUL</t>
  </si>
  <si>
    <t>GALPONES</t>
  </si>
  <si>
    <t>ALANGASI</t>
  </si>
  <si>
    <t>A TRES CUADRAS DEL CASTILLO DEL GRINGO LOCO</t>
  </si>
  <si>
    <t>022862276</t>
  </si>
  <si>
    <t>RENE PAUCAR</t>
  </si>
  <si>
    <t>40710</t>
  </si>
  <si>
    <t>35322.01.01.01</t>
  </si>
  <si>
    <t>PROINDUSQUIM S.A.</t>
  </si>
  <si>
    <t>PROINDUSQUIM SA</t>
  </si>
  <si>
    <t>AV. TENIENTE HUGO ORTÍZ</t>
  </si>
  <si>
    <t>S16-85</t>
  </si>
  <si>
    <t>CALLE BALZAR</t>
  </si>
  <si>
    <t>DENTRO DEL CONJUNTO INDUSTRIAL REQUIMEC</t>
  </si>
  <si>
    <t>022671740</t>
  </si>
  <si>
    <t>GERMANIA QUINTANA</t>
  </si>
  <si>
    <t>40130</t>
  </si>
  <si>
    <t>35322.01.02.01</t>
  </si>
  <si>
    <t>35322.01.99.01</t>
  </si>
  <si>
    <t>34240.02.09.01</t>
  </si>
  <si>
    <t>35321.01.03.01</t>
  </si>
  <si>
    <t>FAMESA EXPLOSIVOS ECUADOR FAMEXPLEC S.A.</t>
  </si>
  <si>
    <t>AV. REPUBLICA DEL SALVADOR</t>
  </si>
  <si>
    <t>N35-126</t>
  </si>
  <si>
    <t>PORTUGAL Y SUECIA</t>
  </si>
  <si>
    <t>EDF. ZANTE</t>
  </si>
  <si>
    <t>PISO 4</t>
  </si>
  <si>
    <t>OFC. 406</t>
  </si>
  <si>
    <t>BATAN BAJO</t>
  </si>
  <si>
    <t>FRENTE AL COLEGIO BENALCAZAR</t>
  </si>
  <si>
    <t>022986666</t>
  </si>
  <si>
    <t>CRISOSTOMO VENEGAS JOSE ADRIAN</t>
  </si>
  <si>
    <t>GUAYAS</t>
  </si>
  <si>
    <t xml:space="preserve">DAULE </t>
  </si>
  <si>
    <t>DAULE</t>
  </si>
  <si>
    <t>QUIMICA ARISTON ECUADOR CIA. LTDA.</t>
  </si>
  <si>
    <t>QUIMICA ARISTON ECUADOR CIA LTDA</t>
  </si>
  <si>
    <t>OE1-209</t>
  </si>
  <si>
    <t>FRANCISCO GARCIA</t>
  </si>
  <si>
    <t>6.5</t>
  </si>
  <si>
    <t>QUIMICAS ARISTON</t>
  </si>
  <si>
    <t>A TRES CUADRAS AL OCCIDENTE DE PINTURAS WESCO</t>
  </si>
  <si>
    <t>022470984</t>
  </si>
  <si>
    <t>PABLO ESTEBAN CARRILLO CASTILLO</t>
  </si>
  <si>
    <t>40288</t>
  </si>
  <si>
    <t>35250.08.03.01</t>
  </si>
  <si>
    <t>LIRA LABORATORIOS INDUSTRIALES REPRESENTACIONES Y AGENCIAS S.A.</t>
  </si>
  <si>
    <t>LABORATORIOS LIRA SA</t>
  </si>
  <si>
    <t>JOSÉ VINUEZA</t>
  </si>
  <si>
    <t>E8-152</t>
  </si>
  <si>
    <t>PSJE. B</t>
  </si>
  <si>
    <t>LABORATORIOS LIRA</t>
  </si>
  <si>
    <t>LA MORITA</t>
  </si>
  <si>
    <t>DIAGONAL A LAS PISCINAS DE ALICIA</t>
  </si>
  <si>
    <t>022379285</t>
  </si>
  <si>
    <t>GABRIEL AVILÉS SALINAS</t>
  </si>
  <si>
    <t>40196</t>
  </si>
  <si>
    <t>23620.01.01.01</t>
  </si>
  <si>
    <t>35323.02.99.01</t>
  </si>
  <si>
    <t>HORMIGONES DEL VALLE S.A. HORMIVALLE</t>
  </si>
  <si>
    <t>HORMIVALLE</t>
  </si>
  <si>
    <t>RIO SANTIAGO</t>
  </si>
  <si>
    <t>S4-332</t>
  </si>
  <si>
    <t>RIO PASTAZA</t>
  </si>
  <si>
    <t>SAN GABRIEL</t>
  </si>
  <si>
    <t>NUEVO INTERCAMBIADOR DE LA ARMENIA</t>
  </si>
  <si>
    <t>022861452</t>
  </si>
  <si>
    <t>ECON. ROBERTO ARGUELLO VERA</t>
  </si>
  <si>
    <t>40232</t>
  </si>
  <si>
    <t>EMULSIONES DEL ECUADOR EMULDEC CIA. LTDA</t>
  </si>
  <si>
    <t>EMULDEC CIA LTDA</t>
  </si>
  <si>
    <t>LUIS CALDERON</t>
  </si>
  <si>
    <t>AUTOP. MANUEL CORDOVA GALARZA</t>
  </si>
  <si>
    <t>DIAGONAL JABONERIA WILSON</t>
  </si>
  <si>
    <t>022306489</t>
  </si>
  <si>
    <t>JENNY MORALES</t>
  </si>
  <si>
    <t>40176</t>
  </si>
  <si>
    <t>37940.00.03.01</t>
  </si>
  <si>
    <t>GYPERFIL S.A.</t>
  </si>
  <si>
    <t>GYPERFIL SA</t>
  </si>
  <si>
    <t>C259911</t>
  </si>
  <si>
    <t>PIMAMPIRO</t>
  </si>
  <si>
    <t>S15-124</t>
  </si>
  <si>
    <t>CATARAMA</t>
  </si>
  <si>
    <t>LEONIDAS PROAÑO</t>
  </si>
  <si>
    <t>TRAS EL CUARTEL EPLICACHIMA</t>
  </si>
  <si>
    <t>022678682</t>
  </si>
  <si>
    <t>HUGO DANIEL RODRIGUEZ LASSO</t>
  </si>
  <si>
    <t>40237</t>
  </si>
  <si>
    <t>42931.00.04.01</t>
  </si>
  <si>
    <t>SOGUAR S.A.</t>
  </si>
  <si>
    <t>SOGUAR SA</t>
  </si>
  <si>
    <t>N35-204</t>
  </si>
  <si>
    <t>SUECIA</t>
  </si>
  <si>
    <t>DELTA 890</t>
  </si>
  <si>
    <t>022890005</t>
  </si>
  <si>
    <t>JOSE JACOME</t>
  </si>
  <si>
    <t>COMPAÑIA ECUATORIANA DE PRODUCTOS PARA EL ASEO CEDEPPA CIA. LTDA.</t>
  </si>
  <si>
    <t>CEDEPPA CIA LTDA</t>
  </si>
  <si>
    <t>DE LAS HIGUERAS</t>
  </si>
  <si>
    <t>N65-67</t>
  </si>
  <si>
    <t>SECTOR COLLALOMA</t>
  </si>
  <si>
    <t>AL FRENTE DE EMBUTIDOS DON DIEGO</t>
  </si>
  <si>
    <t>022804368</t>
  </si>
  <si>
    <t>GABRIELA FLORES</t>
  </si>
  <si>
    <t>40265</t>
  </si>
  <si>
    <t>36490.00.99.01</t>
  </si>
  <si>
    <t>PHARMABRAND S.A.</t>
  </si>
  <si>
    <t>AV. GRAL. IGNACIO DE VEINTIMILLA</t>
  </si>
  <si>
    <t>E9-26</t>
  </si>
  <si>
    <t>LEONIDAS PLAZA GUTIERREZ</t>
  </si>
  <si>
    <t>UZIEL</t>
  </si>
  <si>
    <t>7</t>
  </si>
  <si>
    <t>704A</t>
  </si>
  <si>
    <t>SANTA PRISCA</t>
  </si>
  <si>
    <t>JUNTO A LA ADMINISTRACION ZONAL LA MARISCAL</t>
  </si>
  <si>
    <t>023822470</t>
  </si>
  <si>
    <t>JUAN CARLOS TUMIPAMBA</t>
  </si>
  <si>
    <t>5C</t>
  </si>
  <si>
    <t>INDUCALSA INDUSTRIA NACIONAL DE CALZADO S.A.</t>
  </si>
  <si>
    <t>BUNKY</t>
  </si>
  <si>
    <t>QUIMIAG</t>
  </si>
  <si>
    <t>OE2-106</t>
  </si>
  <si>
    <t>GONZOL</t>
  </si>
  <si>
    <t>A TRES CUADRAS AL SUR DEL MERCADO MAYORISTA</t>
  </si>
  <si>
    <t>022673444</t>
  </si>
  <si>
    <t>KATHERINE CAIZA</t>
  </si>
  <si>
    <t>40231</t>
  </si>
  <si>
    <t>JABONERIA WILSON S.A.</t>
  </si>
  <si>
    <t>JABONERIA WILSON SA</t>
  </si>
  <si>
    <t>LUIS CALDERON GALLARDO</t>
  </si>
  <si>
    <t>VIA CALACALI   LA INDEPENDENCIA</t>
  </si>
  <si>
    <t>JABONERIA WILSON</t>
  </si>
  <si>
    <t>CALACALI</t>
  </si>
  <si>
    <t>ENTRADA TERRAFORTE - PARQUE INDUSTRIAL CALACALI (MARGEN IZQUIERDO)</t>
  </si>
  <si>
    <t>022306246</t>
  </si>
  <si>
    <t>MICHELLE OJEDA</t>
  </si>
  <si>
    <t>40140</t>
  </si>
  <si>
    <t>35321.01.01.01</t>
  </si>
  <si>
    <t>35321.01.02.01</t>
  </si>
  <si>
    <t>EDESA SA</t>
  </si>
  <si>
    <t>EDESA</t>
  </si>
  <si>
    <t>C239203</t>
  </si>
  <si>
    <t>AV. MORAN VALVERDE</t>
  </si>
  <si>
    <t>OE3-191</t>
  </si>
  <si>
    <t>AV. TENIENTE HUGO ORTIZ</t>
  </si>
  <si>
    <t>TURUBAMBA BAJO</t>
  </si>
  <si>
    <t>UNA CUADRA AL ESTE DE LA ESTACIÒN MORAN VALVERDE DEL TROLEBUS.</t>
  </si>
  <si>
    <t>023952900</t>
  </si>
  <si>
    <t>FERNANDO JUNIA</t>
  </si>
  <si>
    <t>40768</t>
  </si>
  <si>
    <t>37210.00.06.01</t>
  </si>
  <si>
    <t>42912.03.16.01</t>
  </si>
  <si>
    <t>EXTRACTORA NATURAL ECUADOR S.A. EXTRANATU</t>
  </si>
  <si>
    <t>EXTRANATU</t>
  </si>
  <si>
    <t>VIA A VICHE</t>
  </si>
  <si>
    <t>SN</t>
  </si>
  <si>
    <t>3</t>
  </si>
  <si>
    <t>EXTRANATU S.A.</t>
  </si>
  <si>
    <t>OCHOCIENTOS METROS AL NOROESTE DEL CEMENTERIO DE VICHE</t>
  </si>
  <si>
    <t>026020180</t>
  </si>
  <si>
    <t>SANTIAGO SALAZAR</t>
  </si>
  <si>
    <t>SANTO DOMINGO DE LOS COLORADOS</t>
  </si>
  <si>
    <t>UNION DE PALMEROS UNIPAL S.A.</t>
  </si>
  <si>
    <t>UNIPAL S A</t>
  </si>
  <si>
    <t>VIA SANTO DOMINGO   QUININDE</t>
  </si>
  <si>
    <t>A 1000 METROS AL NORTE DEL RECINTO EL LIMON</t>
  </si>
  <si>
    <t>063040267</t>
  </si>
  <si>
    <t>CAROLINA ROMERO</t>
  </si>
  <si>
    <t>BOPP DEL ECUADOR S.A.</t>
  </si>
  <si>
    <t>BOPP DEL ECUADOR SA</t>
  </si>
  <si>
    <t>C222011</t>
  </si>
  <si>
    <t>E3-37</t>
  </si>
  <si>
    <t>ISIDRO AYORA</t>
  </si>
  <si>
    <t>CARCELEN BAJO</t>
  </si>
  <si>
    <t>FRENTE AL COLEGIO AMERICANO</t>
  </si>
  <si>
    <t>022478610</t>
  </si>
  <si>
    <t>ALEXANDRA MICHO</t>
  </si>
  <si>
    <t>40289</t>
  </si>
  <si>
    <t>36940.01.02.01</t>
  </si>
  <si>
    <t>INDUSTRIAS ALES C. A.</t>
  </si>
  <si>
    <t>ALESCA</t>
  </si>
  <si>
    <t>C104013</t>
  </si>
  <si>
    <t>N51-23</t>
  </si>
  <si>
    <t>CAPITAN RAMÓN BORJA</t>
  </si>
  <si>
    <t>INDUSTRIAS ALES</t>
  </si>
  <si>
    <t>JUNTO A LA EMPRESA BMW ALVAREZ BARBA</t>
  </si>
  <si>
    <t>022215000</t>
  </si>
  <si>
    <t>DAVID MANJARRÉS</t>
  </si>
  <si>
    <t>40382</t>
  </si>
  <si>
    <t>21545.00.00.01</t>
  </si>
  <si>
    <t>21541.00.00.01</t>
  </si>
  <si>
    <t>SUN CHEMICAL ECUADOR S.A.</t>
  </si>
  <si>
    <t>SINCLAIR SUN CHEMICAL ECUADOR</t>
  </si>
  <si>
    <t>BALZAR</t>
  </si>
  <si>
    <t>OE1-337</t>
  </si>
  <si>
    <t>MANGLAR ALTO</t>
  </si>
  <si>
    <t>SAN BARTOLO</t>
  </si>
  <si>
    <t>DETRAS DEL DIARIO EL COMERCIO</t>
  </si>
  <si>
    <t>022670222</t>
  </si>
  <si>
    <t>PAOLA MENA</t>
  </si>
  <si>
    <t>40313</t>
  </si>
  <si>
    <t>35130.00.99.01</t>
  </si>
  <si>
    <t>CONFITECA C.A.</t>
  </si>
  <si>
    <t>CONFITECA CA</t>
  </si>
  <si>
    <t>AV. PEDRO VICENTE MALDONADO</t>
  </si>
  <si>
    <t>S35-60</t>
  </si>
  <si>
    <t>CONDOR ÑAN</t>
  </si>
  <si>
    <t>9.5</t>
  </si>
  <si>
    <t>CONFITECA</t>
  </si>
  <si>
    <t>LA BALBINA</t>
  </si>
  <si>
    <t>FRENTE A ESTACION ECOVIA EL CAPULI</t>
  </si>
  <si>
    <t>022671896</t>
  </si>
  <si>
    <t>CARMEN REGALADO</t>
  </si>
  <si>
    <t>40477</t>
  </si>
  <si>
    <t>23670.01.01.01</t>
  </si>
  <si>
    <t>PRODUCTOS FAMILIA SANCELA DEL ECUADOR S.A</t>
  </si>
  <si>
    <t>PFSE SA</t>
  </si>
  <si>
    <t>TADEO BENITEZ</t>
  </si>
  <si>
    <t>OE1-807</t>
  </si>
  <si>
    <t>GRUPO FAMILIA</t>
  </si>
  <si>
    <t>DIAGONAL A DEFENSORÍA PÚBLICA, CASA DE JUSTICIA CARCELÉN</t>
  </si>
  <si>
    <t>023950300</t>
  </si>
  <si>
    <t>MARÍA FERNANDA MONTENEGRO SANTAMARÍA</t>
  </si>
  <si>
    <t>40292</t>
  </si>
  <si>
    <t>32193.01.02.01</t>
  </si>
  <si>
    <t>NILOTEX TELAS S.C.C.</t>
  </si>
  <si>
    <t>NILOTEX TELAS SCC</t>
  </si>
  <si>
    <t>CHEDIAK</t>
  </si>
  <si>
    <t>11000</t>
  </si>
  <si>
    <t>NILOTEX TELAS</t>
  </si>
  <si>
    <t>400 METROS AL ESTE DE LA EMPRESA INDUVALLAS</t>
  </si>
  <si>
    <t>023460108</t>
  </si>
  <si>
    <t>JENNY ISABEL DIAZ AREVALO</t>
  </si>
  <si>
    <t>40602</t>
  </si>
  <si>
    <t>26630.09.99.01</t>
  </si>
  <si>
    <t>EXPLOCEN C.A.</t>
  </si>
  <si>
    <t>EXPLOCEN CA</t>
  </si>
  <si>
    <t>AV. LA CORUÑA</t>
  </si>
  <si>
    <t>E25-58</t>
  </si>
  <si>
    <t>AV. 12 DE OCTUBRE</t>
  </si>
  <si>
    <t>ALTANA PLAZA</t>
  </si>
  <si>
    <t>FRENTE A UNIVERSIDAD METROPOLITANA</t>
  </si>
  <si>
    <t>023230348</t>
  </si>
  <si>
    <t>FERNANDO MENA</t>
  </si>
  <si>
    <t>VICUNHA ECUADOR S.A.</t>
  </si>
  <si>
    <t>VICUNHA ECUADOR SA</t>
  </si>
  <si>
    <t>LULUMBAMBA</t>
  </si>
  <si>
    <t>1354</t>
  </si>
  <si>
    <t>MISION GEODESICA</t>
  </si>
  <si>
    <t>SAN ANTONIO DE PICHINCHA</t>
  </si>
  <si>
    <t>2 CUADRAS AL ESTE DEL COMPLEJO TURISTICO LLACTA</t>
  </si>
  <si>
    <t>023975800</t>
  </si>
  <si>
    <t>ADRIANA ISABEL TANA PILACUAN</t>
  </si>
  <si>
    <t>40178</t>
  </si>
  <si>
    <t>SYNTEKOCOMPANY S.A</t>
  </si>
  <si>
    <t>SYNTEKO SA</t>
  </si>
  <si>
    <t>DE LOS CIPRESES</t>
  </si>
  <si>
    <t>N65-150</t>
  </si>
  <si>
    <t>DE LOS EUCALIPTOS</t>
  </si>
  <si>
    <t>SYNTEKO</t>
  </si>
  <si>
    <t>COTOCOLLAO</t>
  </si>
  <si>
    <t>DIAGONAL AL SUR DE LA CORPORACIÓN MYL</t>
  </si>
  <si>
    <t>022486520</t>
  </si>
  <si>
    <t>ARACELI LLUMIQUINGA</t>
  </si>
  <si>
    <t>40254</t>
  </si>
  <si>
    <t>35333.00.04.01</t>
  </si>
  <si>
    <t>INGESA S.A.</t>
  </si>
  <si>
    <t>INGESA</t>
  </si>
  <si>
    <t>AV. GENERAL ALBERTO ENRIQUEZ</t>
  </si>
  <si>
    <t>S8-24</t>
  </si>
  <si>
    <t>FRANCISCO BARBA</t>
  </si>
  <si>
    <t>FRENTE A LOS CONDOMINIOS PATRIA</t>
  </si>
  <si>
    <t>022570527</t>
  </si>
  <si>
    <t>CARLOS ROJAS</t>
  </si>
  <si>
    <t>28210.00.00.03</t>
  </si>
  <si>
    <t>FLORASINTESIS FRAGANCIAS Y AROMAS CIA. LTDA.</t>
  </si>
  <si>
    <t>FLORASINTESIS CIA LTDA</t>
  </si>
  <si>
    <t>OE1-189</t>
  </si>
  <si>
    <t>7.5</t>
  </si>
  <si>
    <t>FLORASINTESIS</t>
  </si>
  <si>
    <t>JUNTO A EMPRESA MARCSEAL SA.</t>
  </si>
  <si>
    <t>022479453</t>
  </si>
  <si>
    <t>JENNIFFER SAAVEDRA</t>
  </si>
  <si>
    <t>ACERIA DEL ECUADOR CA ADELCA.</t>
  </si>
  <si>
    <t>ADELCA</t>
  </si>
  <si>
    <t>DEL ESTABLO</t>
  </si>
  <si>
    <t>50</t>
  </si>
  <si>
    <t>DEL CHARRO</t>
  </si>
  <si>
    <t>ALOAG</t>
  </si>
  <si>
    <t>FRENTE AL CENTRO INFANTIL HORAS ALEGRES</t>
  </si>
  <si>
    <t>023968100</t>
  </si>
  <si>
    <t>CABEZAS MARJORIE</t>
  </si>
  <si>
    <t>40163</t>
  </si>
  <si>
    <t>41241.00.01.01</t>
  </si>
  <si>
    <t>42943.00.04.01</t>
  </si>
  <si>
    <t>TECNANDINA S.A.</t>
  </si>
  <si>
    <t>TECNANDINA SA TENSA</t>
  </si>
  <si>
    <t>EL PARAÍSO</t>
  </si>
  <si>
    <t>CUBA</t>
  </si>
  <si>
    <t>GRUNENTHAL ECUATORIANA</t>
  </si>
  <si>
    <t>PUSUQUI</t>
  </si>
  <si>
    <t>UNA CUADRA AL NOROESTE DE LA UNIDAD EDUCATIVA MUNICIPAL EUGENIO ESPEJO</t>
  </si>
  <si>
    <t>022989100</t>
  </si>
  <si>
    <t>VICTOR REGALADO</t>
  </si>
  <si>
    <t>DELLTEX INDUSTRIAL S.A.</t>
  </si>
  <si>
    <t>DELLTEX INDUSTRIAL SA</t>
  </si>
  <si>
    <t>RICARDO CHIRIBOGA</t>
  </si>
  <si>
    <t>E2-168</t>
  </si>
  <si>
    <t>JUAN MONTALVO</t>
  </si>
  <si>
    <t>FRENTE AL COLISEO DE CUMBAYA</t>
  </si>
  <si>
    <t>2891313</t>
  </si>
  <si>
    <t>BELEN BENAVIDES</t>
  </si>
  <si>
    <t>40735</t>
  </si>
  <si>
    <t>27110.01.03.01</t>
  </si>
  <si>
    <t>PROPHAR S.A</t>
  </si>
  <si>
    <t>PROPNAR S.A</t>
  </si>
  <si>
    <t>AV. GENERAL RUMIÑAHUI</t>
  </si>
  <si>
    <t>INCHALILLO</t>
  </si>
  <si>
    <t>FRENTE A LA GASOLINERA EL VIEJO ROBLE</t>
  </si>
  <si>
    <t>022333938</t>
  </si>
  <si>
    <t>CRISTINA FERNANDEZ</t>
  </si>
  <si>
    <t>INDUSTRIAL DANEC S.A.</t>
  </si>
  <si>
    <t>INDUSTRIAL DANEC SA</t>
  </si>
  <si>
    <t>AV. GENERAL ENRIQUEZ</t>
  </si>
  <si>
    <t>1.5</t>
  </si>
  <si>
    <t>SAN NICOLAS</t>
  </si>
  <si>
    <t>FRENTE A LA ENTRADA DE BODEGAS FAVORITA</t>
  </si>
  <si>
    <t>0222459036</t>
  </si>
  <si>
    <t>PAUL FREIRE</t>
  </si>
  <si>
    <t>40128</t>
  </si>
  <si>
    <t>21550.00.02.01</t>
  </si>
  <si>
    <t>35321.01.04.01</t>
  </si>
  <si>
    <t>FOSFORERA ECUATORIANA S.A.</t>
  </si>
  <si>
    <t>FOSFORERA ECUATORIANA</t>
  </si>
  <si>
    <t>S19-175</t>
  </si>
  <si>
    <t>PUEBLO VIEJO</t>
  </si>
  <si>
    <t>100 METROS AL SUR DE TANASA</t>
  </si>
  <si>
    <t>023930850</t>
  </si>
  <si>
    <t>CAROLINA RAZA</t>
  </si>
  <si>
    <t>40311</t>
  </si>
  <si>
    <t>38998.00.00.01</t>
  </si>
  <si>
    <t>RENOVALLANTA S.A.</t>
  </si>
  <si>
    <t>RENOVALLANTA SUPERIOR</t>
  </si>
  <si>
    <t>S60</t>
  </si>
  <si>
    <t>E1 -193</t>
  </si>
  <si>
    <t>GRACIELA ESCUDERO</t>
  </si>
  <si>
    <t>TURUBAMBA</t>
  </si>
  <si>
    <t>UNA CUADRA AL ESTE DE LA ENTRADA AL PARQUE INDUSTRIAL DE GUAMANÍ</t>
  </si>
  <si>
    <t>022690818</t>
  </si>
  <si>
    <t>MARIANA VILLAMARIN</t>
  </si>
  <si>
    <t>40628</t>
  </si>
  <si>
    <t>36120.00.01.01</t>
  </si>
  <si>
    <t>FABRINORTE CIA. LTDA.</t>
  </si>
  <si>
    <t>INDUTEXMA</t>
  </si>
  <si>
    <t>ALEJANDRO CARRION</t>
  </si>
  <si>
    <t>PUNYARO</t>
  </si>
  <si>
    <t>A 300 MTS AL SUROESTE DE LA FUENTE DE PUNYARO (UPC - PUNYARO)</t>
  </si>
  <si>
    <t>062920469</t>
  </si>
  <si>
    <t>MAYRA ANDRADE PARRA</t>
  </si>
  <si>
    <t>40700</t>
  </si>
  <si>
    <t>ESTRUCTURAS DE ACERO ESACERO S.A.</t>
  </si>
  <si>
    <t>ESACERO SA</t>
  </si>
  <si>
    <t>PANAMERICANA NORTE</t>
  </si>
  <si>
    <t>N4-232</t>
  </si>
  <si>
    <t>PSJE. CENEPA</t>
  </si>
  <si>
    <t>CALDERON</t>
  </si>
  <si>
    <t>JUNTO A LAS BODEGAS DE QUIFATEX</t>
  </si>
  <si>
    <t>023921010</t>
  </si>
  <si>
    <t>DAYANNA IZA OCHOA</t>
  </si>
  <si>
    <t>40192</t>
  </si>
  <si>
    <t>42190.02.09.01</t>
  </si>
  <si>
    <t>UMCO S.A.</t>
  </si>
  <si>
    <t>UMCO</t>
  </si>
  <si>
    <t>C259921</t>
  </si>
  <si>
    <t>SINCHOLAGUA</t>
  </si>
  <si>
    <t>OE1-141</t>
  </si>
  <si>
    <t>EDF. UMCO</t>
  </si>
  <si>
    <t>CHIMBACALLE</t>
  </si>
  <si>
    <t>UNA CUADRA AL SUR OCCIDENTE DEL PARQUE DEL MUSEO INTERACTIVO DE CIENCIAS</t>
  </si>
  <si>
    <t>022655720</t>
  </si>
  <si>
    <t>JESSICA GOMEZ</t>
  </si>
  <si>
    <t>40493</t>
  </si>
  <si>
    <t>44821.00.06.01</t>
  </si>
  <si>
    <t>44817.03.07.01</t>
  </si>
  <si>
    <t>S.J. JERSEY ECUATORIANO C.A.</t>
  </si>
  <si>
    <t>SJ JERSEY ECUATORIANO CA</t>
  </si>
  <si>
    <t>DE LOS CEREZOS</t>
  </si>
  <si>
    <t>OE1-321</t>
  </si>
  <si>
    <t>AV. REAL AUDIENCIA</t>
  </si>
  <si>
    <t>UNA CUADRA AL NORTE DEL PARQUE DE LOS RECUERDOS</t>
  </si>
  <si>
    <t>023980500</t>
  </si>
  <si>
    <t>CARLOS  GUAMAN</t>
  </si>
  <si>
    <t>TEXTILES TEXSA SA</t>
  </si>
  <si>
    <t>TEODORO GOMEZ DE LA TORRE</t>
  </si>
  <si>
    <t>S11-840</t>
  </si>
  <si>
    <t>PUJILI</t>
  </si>
  <si>
    <t>EL RECREO</t>
  </si>
  <si>
    <t>ATRAS DEL HOSPITAL DEL IESS QUITO SUR</t>
  </si>
  <si>
    <t>022611138</t>
  </si>
  <si>
    <t>SOLEDAD AMDRADE</t>
  </si>
  <si>
    <t>40742</t>
  </si>
  <si>
    <t>ENERGY &amp; PALMA ENERGYPALMA S.A.</t>
  </si>
  <si>
    <t>ENERGYPALMA SA</t>
  </si>
  <si>
    <t>VÍA SAN LORENZO   ESMERALDAS</t>
  </si>
  <si>
    <t>18</t>
  </si>
  <si>
    <t>400 METROS AL SUR DEL COLISEO DE CARONDELET</t>
  </si>
  <si>
    <t>023828080</t>
  </si>
  <si>
    <t>JOSE MEZA</t>
  </si>
  <si>
    <t>01491.00.01.01</t>
  </si>
  <si>
    <t>INDUSTRIA PIOLERA PONTE SELVA S.A.</t>
  </si>
  <si>
    <t>PONTE SELVA SA</t>
  </si>
  <si>
    <t>DE LOS GUARUMOS</t>
  </si>
  <si>
    <t>E9-77</t>
  </si>
  <si>
    <t>MARIANO CORONEL</t>
  </si>
  <si>
    <t>LA CONCEPCION</t>
  </si>
  <si>
    <t>UNA CUADRA AL ESTE DEL BANCO PICHINCHA DE LA AV. 6 DE DICIEMBRE</t>
  </si>
  <si>
    <t>022460205</t>
  </si>
  <si>
    <t>MARCO CHANGOLUISA</t>
  </si>
  <si>
    <t>40385</t>
  </si>
  <si>
    <t>27310.00.04.01</t>
  </si>
  <si>
    <t>YANBAL ECUADOR S.A.</t>
  </si>
  <si>
    <t>YANBAL</t>
  </si>
  <si>
    <t>MARTIN CARRION</t>
  </si>
  <si>
    <t>E7-61</t>
  </si>
  <si>
    <t>ALPALLANA</t>
  </si>
  <si>
    <t>TITANIUM PLAZA</t>
  </si>
  <si>
    <t>9</t>
  </si>
  <si>
    <t>IÑAQUITO</t>
  </si>
  <si>
    <t>DETRAS DE LA AGENCIA DEL BANCO GENERAL RUMIÑAHUI</t>
  </si>
  <si>
    <t xml:space="preserve">023514080 </t>
  </si>
  <si>
    <t>GÉNESIS RAMIREZ</t>
  </si>
  <si>
    <t>40209</t>
  </si>
  <si>
    <t>35323.01.01.01</t>
  </si>
  <si>
    <t>35323.06.00.01</t>
  </si>
  <si>
    <t>BLENASTOR C.A</t>
  </si>
  <si>
    <t>BLENASTOR CA</t>
  </si>
  <si>
    <t>C202339</t>
  </si>
  <si>
    <t>BENJAMIN CARRION</t>
  </si>
  <si>
    <t>E9-194</t>
  </si>
  <si>
    <t>ALFREDO LUNA TOBAR</t>
  </si>
  <si>
    <t>LA ARMENIA</t>
  </si>
  <si>
    <t>A UNA CUADRA AL NOROESTE DEL CONJUNTO RESIDENCIAL MONTELUZ</t>
  </si>
  <si>
    <t>023949880</t>
  </si>
  <si>
    <t>40127</t>
  </si>
  <si>
    <t>35323.04.01.01</t>
  </si>
  <si>
    <t>35323.04.06.01</t>
  </si>
  <si>
    <t>CONELSA CONDUCTORES ELECTRICOS S.A.</t>
  </si>
  <si>
    <t>CONELSA</t>
  </si>
  <si>
    <t>C273201</t>
  </si>
  <si>
    <t>N69-147</t>
  </si>
  <si>
    <t>FRANCISCO DALMAU</t>
  </si>
  <si>
    <t>PONCIANO</t>
  </si>
  <si>
    <t>FRENTE AL CONSECIONARIO AUTEC S.A.</t>
  </si>
  <si>
    <t>022269058</t>
  </si>
  <si>
    <t>SUSANA SÁNCHEZ TORRES</t>
  </si>
  <si>
    <t>40472</t>
  </si>
  <si>
    <t>46340.02.03.01</t>
  </si>
  <si>
    <t>42942.02.01.01</t>
  </si>
  <si>
    <t>LEVAPAN DEL ECUADOR S.A.</t>
  </si>
  <si>
    <t>LEVAPAN DEL ECUADOR</t>
  </si>
  <si>
    <t>C107991</t>
  </si>
  <si>
    <t>AV. MALDONADO</t>
  </si>
  <si>
    <t>S28-35</t>
  </si>
  <si>
    <t>FRENTE AL BANCO DEL PICHINCHA DE GUAJALO</t>
  </si>
  <si>
    <t>022677010</t>
  </si>
  <si>
    <t>MARCO CHAVEZ</t>
  </si>
  <si>
    <t>40448</t>
  </si>
  <si>
    <t>23220.01.02.01</t>
  </si>
  <si>
    <t>23996.01.99.01</t>
  </si>
  <si>
    <t>23996.03.00.01</t>
  </si>
  <si>
    <t>23999.01.01.01</t>
  </si>
  <si>
    <t>23999.01.04.01</t>
  </si>
  <si>
    <t>CHOVA DEL ECUADOR S.A.</t>
  </si>
  <si>
    <t>CHOVA DEL ECUADOR</t>
  </si>
  <si>
    <t>VIA E 35</t>
  </si>
  <si>
    <t>LOTE 2</t>
  </si>
  <si>
    <t>REINALDO FLOR</t>
  </si>
  <si>
    <t>14</t>
  </si>
  <si>
    <t>JUNTO A LA EMPRESA ENKADOR</t>
  </si>
  <si>
    <t>026003450</t>
  </si>
  <si>
    <t>ELIZABETH FERNANDEZ</t>
  </si>
  <si>
    <t>40260</t>
  </si>
  <si>
    <t>37930.00.03.01</t>
  </si>
  <si>
    <t>15330.01.01.01</t>
  </si>
  <si>
    <t>KUBIEC S.A.</t>
  </si>
  <si>
    <t>KUBIEC SA</t>
  </si>
  <si>
    <t>AV. GUAYANAY ÑAN</t>
  </si>
  <si>
    <t>OE1-476</t>
  </si>
  <si>
    <t>AV. LIRA ÑAN</t>
  </si>
  <si>
    <t>LA ECUATORIANA</t>
  </si>
  <si>
    <t>FRENTE A LA EMPRESA ESMETAL</t>
  </si>
  <si>
    <t>027201700</t>
  </si>
  <si>
    <t>BYRON SIMBA</t>
  </si>
  <si>
    <t>40108</t>
  </si>
  <si>
    <t>42190.02.15.01</t>
  </si>
  <si>
    <t>42190.02.16.01</t>
  </si>
  <si>
    <t>TEXTIL PADILLA E HIJOS TEXPADILLA CIA. LTDA</t>
  </si>
  <si>
    <t>TEXPADILLA</t>
  </si>
  <si>
    <t>PUERTO RICO</t>
  </si>
  <si>
    <t>S2-16</t>
  </si>
  <si>
    <t>ARGENTINA</t>
  </si>
  <si>
    <t>TEXTILES PADILLA</t>
  </si>
  <si>
    <t>SAN CARLOS DE ALANGASI</t>
  </si>
  <si>
    <t>TRAS EL CENTRO DE REPOSO SAN JUAN DE DIOS</t>
  </si>
  <si>
    <t>023931380</t>
  </si>
  <si>
    <t>KARINA SANTILLAN</t>
  </si>
  <si>
    <t>40213</t>
  </si>
  <si>
    <t>COMPAÑIA GRUIMASEL S.A.</t>
  </si>
  <si>
    <t>VIA LAS GOLONDRINAS</t>
  </si>
  <si>
    <t>VIA LA SEXTA   QUININDE</t>
  </si>
  <si>
    <t>COMPAÑÍA GRUIMASEL</t>
  </si>
  <si>
    <t>LA SEXTA</t>
  </si>
  <si>
    <t>FRENTE A RECINTO FERIAL</t>
  </si>
  <si>
    <t>0980583829</t>
  </si>
  <si>
    <t>CAROLINA ELIZABETH ROMERO ITURRALDE</t>
  </si>
  <si>
    <t>Absorbida</t>
  </si>
  <si>
    <t>SINTOFIL C.A.</t>
  </si>
  <si>
    <t>SINTOFIL CA</t>
  </si>
  <si>
    <t>C.C LA DEL ESTABLO</t>
  </si>
  <si>
    <t>LOTE 50</t>
  </si>
  <si>
    <t>CALLE E</t>
  </si>
  <si>
    <t>COMPLEJO DE NEGOCIOS SITE CENTER</t>
  </si>
  <si>
    <t>109</t>
  </si>
  <si>
    <t>FRENTE AL PARQUE SANTA LUCÍA. TORRE 2 ESQUINA</t>
  </si>
  <si>
    <t>023815470</t>
  </si>
  <si>
    <t>HEMERSON RUIZ BORJA</t>
  </si>
  <si>
    <t>40198</t>
  </si>
  <si>
    <t>TEXTIL SAN PEDRO S.A.</t>
  </si>
  <si>
    <t>VIA AMAGUAÑA SANGOLQUI</t>
  </si>
  <si>
    <t>SAMBORONON</t>
  </si>
  <si>
    <t>TEXTILES SAN PEDRO</t>
  </si>
  <si>
    <t>EL CORTIJO</t>
  </si>
  <si>
    <t>DIAGONAL A LOCAL DE GRIFERIA FV.</t>
  </si>
  <si>
    <t>022093999</t>
  </si>
  <si>
    <t>ALEX NEGRETE</t>
  </si>
  <si>
    <t>40764</t>
  </si>
  <si>
    <t>MARCSEAL S.A.</t>
  </si>
  <si>
    <t>MARCSEAL</t>
  </si>
  <si>
    <t>OE1-137</t>
  </si>
  <si>
    <t>ANTONIO FLOR</t>
  </si>
  <si>
    <t>JUNTO A LA EMPRESA FLORASINTESIS</t>
  </si>
  <si>
    <t>022248241</t>
  </si>
  <si>
    <t>EVELIN TULCAN HUERTAS</t>
  </si>
  <si>
    <t>40285</t>
  </si>
  <si>
    <t>23995.01.14.01</t>
  </si>
  <si>
    <t>23995.99.00.01</t>
  </si>
  <si>
    <t>23995.01.01.01</t>
  </si>
  <si>
    <t>ZATOTEK S.A.</t>
  </si>
  <si>
    <t>JOAQUÍN MANCHENO</t>
  </si>
  <si>
    <t>OE1-51</t>
  </si>
  <si>
    <t>WESCO</t>
  </si>
  <si>
    <t>CARCELÉN</t>
  </si>
  <si>
    <t>UNA CUADRA AL SUR DEL TERMINAL DE CARCELÉN</t>
  </si>
  <si>
    <t>022470666</t>
  </si>
  <si>
    <t>LUCÍA PROAÑO</t>
  </si>
  <si>
    <t>40155</t>
  </si>
  <si>
    <t>35110.02.07.01</t>
  </si>
  <si>
    <t>34710.01.03.01</t>
  </si>
  <si>
    <t>ICAPEB S.A.S.</t>
  </si>
  <si>
    <t>ICAPEB</t>
  </si>
  <si>
    <t>AUTACHI DUCHICELA</t>
  </si>
  <si>
    <t>S10-50</t>
  </si>
  <si>
    <t>PURUHA</t>
  </si>
  <si>
    <t>LA MAGDALENA</t>
  </si>
  <si>
    <t>FRENTE AL COLEGIO LAS DOROTEAS</t>
  </si>
  <si>
    <t>022657599</t>
  </si>
  <si>
    <t>JEANETH CESPEDES TERAN</t>
  </si>
  <si>
    <t>FABRICA DE PAPEL HIGIENICO DEL VALLE FAVALLE CIA. LTDA.</t>
  </si>
  <si>
    <t>FAVALLE CIA LTDA</t>
  </si>
  <si>
    <t>CAMINO DE PIEDRA</t>
  </si>
  <si>
    <t>VENCEDORES DE TARQUI</t>
  </si>
  <si>
    <t>VIA AMAGUAÑA</t>
  </si>
  <si>
    <t>LA VICTORIA</t>
  </si>
  <si>
    <t>CUENDINA</t>
  </si>
  <si>
    <t>A 100 METROS AL ESTE DE PLANTA PEPSICO SUYANA</t>
  </si>
  <si>
    <t>022877924</t>
  </si>
  <si>
    <t>AMPARITO VASCONEZ</t>
  </si>
  <si>
    <t>40238</t>
  </si>
  <si>
    <t>LABORATORIO FARMACEUTICO LAMOSAN CIA. LTDA.</t>
  </si>
  <si>
    <t>LABORATORIO LAMOSAN</t>
  </si>
  <si>
    <t>PASEO DEL SOL</t>
  </si>
  <si>
    <t>S6-574</t>
  </si>
  <si>
    <t>DE LOS LUCEROS</t>
  </si>
  <si>
    <t>JOHN F. KENNEDY</t>
  </si>
  <si>
    <t>PLANTA INDUSTRIAL LAMOSAN</t>
  </si>
  <si>
    <t>DOS CUADRAS AL NORTE DE LA ESCUELA SUPERIOR DE POLICIA</t>
  </si>
  <si>
    <t>023430536</t>
  </si>
  <si>
    <t>MONICA RODRIGUEZ</t>
  </si>
  <si>
    <t>40453</t>
  </si>
  <si>
    <t>LABORATORIOS INDUSTRIALES FARMACEUTICOS ECUATORIANOS LIFE C.A.</t>
  </si>
  <si>
    <t>LABORATORIOS LIFE</t>
  </si>
  <si>
    <t>JUAN GALARZA</t>
  </si>
  <si>
    <t>OE2-22</t>
  </si>
  <si>
    <t>FRENTE AL CLUB DE OFICIALES DE LA POLICIA</t>
  </si>
  <si>
    <t>022253805</t>
  </si>
  <si>
    <t>RAMIRO ROMAN</t>
  </si>
  <si>
    <t>40386</t>
  </si>
  <si>
    <t>35260.00.00.01</t>
  </si>
  <si>
    <t>35260.00.00.04</t>
  </si>
  <si>
    <t>35250.32.99.01</t>
  </si>
  <si>
    <t>35260.00.00.19</t>
  </si>
  <si>
    <t>NARANJO LOPEZ CONSTRUCTORES CIA. LTDA.</t>
  </si>
  <si>
    <t>ALONSO DE MERCADILLO</t>
  </si>
  <si>
    <t>OE3-29</t>
  </si>
  <si>
    <t>VERSALLES</t>
  </si>
  <si>
    <t>OVIEDO</t>
  </si>
  <si>
    <t>101</t>
  </si>
  <si>
    <t>SANTA CLARA</t>
  </si>
  <si>
    <t>FRENTE AL COLEGIO SPELLMAN FEMENINO</t>
  </si>
  <si>
    <t>2559196</t>
  </si>
  <si>
    <t>BEATRIZ VALAREZO</t>
  </si>
  <si>
    <t>ZAIMELLA DEL ECUADOR S. A.</t>
  </si>
  <si>
    <t>ZAIMELLA DEL ECUADOR</t>
  </si>
  <si>
    <t>JACINTO JIJÓN Y CAAMAÑO</t>
  </si>
  <si>
    <t>LOTE 1</t>
  </si>
  <si>
    <t>JUAN DE DIOS MORALES</t>
  </si>
  <si>
    <t>LA BALVINA</t>
  </si>
  <si>
    <t>DIAGONAL AL FUERTE MILITAR GRAE. MARCO A. SUBIA</t>
  </si>
  <si>
    <t>023969500</t>
  </si>
  <si>
    <t>SEBASTIAN ACOSTA</t>
  </si>
  <si>
    <t>40657</t>
  </si>
  <si>
    <t>32193.04.03.01</t>
  </si>
  <si>
    <t>32193.04.04.01</t>
  </si>
  <si>
    <t>INTELA INDUSTRIA TEXTIL LATINOAMERICANA CIA. LTDA.</t>
  </si>
  <si>
    <t>INTELA</t>
  </si>
  <si>
    <t>MARIA DUCHICELA</t>
  </si>
  <si>
    <t>N2-150</t>
  </si>
  <si>
    <t>9 DE AGOSTO</t>
  </si>
  <si>
    <t>FRENTE AL ESTADIO DE CALDERON</t>
  </si>
  <si>
    <t>022822337</t>
  </si>
  <si>
    <t>ANGEL FLORES GOMEZ</t>
  </si>
  <si>
    <t>40157</t>
  </si>
  <si>
    <t>OLIOJOYA INDUSTRIA ACEITERA CIA. LTDA.</t>
  </si>
  <si>
    <t>OLIOJOYA CIA LTDA</t>
  </si>
  <si>
    <t>VIA DEL PACIFICO</t>
  </si>
  <si>
    <t>OLIOJOYA</t>
  </si>
  <si>
    <t>700 MTRS. AL SUROESTE DE LA UNIDAD EDUCATIVA FISCOMISIONAL SAN DANIEL COMBONI</t>
  </si>
  <si>
    <t>062757032</t>
  </si>
  <si>
    <t>MARIA ELISA AGUIRRE VILLAVICENCIO</t>
  </si>
  <si>
    <t>40758</t>
  </si>
  <si>
    <t>ENKADOR SA</t>
  </si>
  <si>
    <t>ENKADOR S.A.</t>
  </si>
  <si>
    <t>JUAN DE SALINAS</t>
  </si>
  <si>
    <t>PALORA</t>
  </si>
  <si>
    <t>SELVA ALEGRE</t>
  </si>
  <si>
    <t>ATRÁS DE LA ESCUELA DE EQUITACIÓN HÍPICO CLUB LOS CHILLOS</t>
  </si>
  <si>
    <t>022395926</t>
  </si>
  <si>
    <t>MARIO SIMBA</t>
  </si>
  <si>
    <t>40240</t>
  </si>
  <si>
    <t>26410.02.02.01</t>
  </si>
  <si>
    <t>26410.04.02.01</t>
  </si>
  <si>
    <t>PINTURAS CONDOR SA</t>
  </si>
  <si>
    <t>CUSUBAMBA</t>
  </si>
  <si>
    <t>OE1-365</t>
  </si>
  <si>
    <t>PINTURAS CONDOR</t>
  </si>
  <si>
    <t>GUAJALO</t>
  </si>
  <si>
    <t>UNA CUADRA AL ESTE DE EMPRESA HINO DE MAVESA</t>
  </si>
  <si>
    <t>023985600</t>
  </si>
  <si>
    <t>CARLOS OSWALDO SILVA CASCANTE</t>
  </si>
  <si>
    <t>40488</t>
  </si>
  <si>
    <t>PROYECTOS MECANICOS PROMEC S. C. C.</t>
  </si>
  <si>
    <t>PROYECTOS MECANICOS PROMEC S C C</t>
  </si>
  <si>
    <t>AV. PANAMERICANA NORTE</t>
  </si>
  <si>
    <t>EL ARENAL</t>
  </si>
  <si>
    <t>12.5</t>
  </si>
  <si>
    <t>PARQUE DELTA</t>
  </si>
  <si>
    <t>CARAPUNGO</t>
  </si>
  <si>
    <t>DENTRO DEL COMPLEJO DE BODEGAS PARQUE DELTA</t>
  </si>
  <si>
    <t>022428500</t>
  </si>
  <si>
    <t>EDUARDO ARROYO</t>
  </si>
  <si>
    <t>40193</t>
  </si>
  <si>
    <t>42210.00.04.01</t>
  </si>
  <si>
    <t>EVERFLOR ECUADOR S.A.</t>
  </si>
  <si>
    <t>EVERFLOR ECUADOR SA</t>
  </si>
  <si>
    <t>C202109</t>
  </si>
  <si>
    <t>N73-97</t>
  </si>
  <si>
    <t>JOSE LARREA</t>
  </si>
  <si>
    <t>30 METROS AL NORTE DE EDREDONES ECUADOR</t>
  </si>
  <si>
    <t>022808480</t>
  </si>
  <si>
    <t>JUAN CARLOS FAUTA</t>
  </si>
  <si>
    <t>40296</t>
  </si>
  <si>
    <t>34659.00.99.01</t>
  </si>
  <si>
    <t>ETERNIT ECUATORIANA SA</t>
  </si>
  <si>
    <t>ETERNIT</t>
  </si>
  <si>
    <t>GRACIELA ESCUDERO MOSCOSO</t>
  </si>
  <si>
    <t>S59-495</t>
  </si>
  <si>
    <t>CALLE J</t>
  </si>
  <si>
    <t>GUAMANI</t>
  </si>
  <si>
    <t>JUNTO A IDEAL ALAMBREC BEKAERT</t>
  </si>
  <si>
    <t>022691361</t>
  </si>
  <si>
    <t>JORGE LEANDRO MEDINA GAVIDIA</t>
  </si>
  <si>
    <t>40239</t>
  </si>
  <si>
    <t>37570.00.02.01</t>
  </si>
  <si>
    <t>SYLVERMIEL S.A.</t>
  </si>
  <si>
    <t>SYLVER MIEL SA</t>
  </si>
  <si>
    <t>AUTOP. PANAMERICANA</t>
  </si>
  <si>
    <t>CALLE CARLOS LOPEZ</t>
  </si>
  <si>
    <t>CUSCUNGO</t>
  </si>
  <si>
    <t>EN LA ENTRADA DE LA PANAMERICANA. JUNTO A DINAFLOR</t>
  </si>
  <si>
    <t>022300814</t>
  </si>
  <si>
    <t>SUSANA QUINTEROS</t>
  </si>
  <si>
    <t/>
  </si>
  <si>
    <t>TEXTILES Y SERVICIOS TEXTISERVI S.A.</t>
  </si>
  <si>
    <t>TEXTISERVI</t>
  </si>
  <si>
    <t>VICENTE ROSERO</t>
  </si>
  <si>
    <t>SAN JUAN DE CONOCOTO</t>
  </si>
  <si>
    <t>DENTRO DEL RANCHO SAN CARLOS</t>
  </si>
  <si>
    <t>022924230</t>
  </si>
  <si>
    <t>JACKELINE CHAVEZ</t>
  </si>
  <si>
    <t>HILO DE POLIESTER</t>
  </si>
  <si>
    <t>14.16</t>
  </si>
  <si>
    <t>REYES INDUSTRIA TEXTIL CIA. LTDA</t>
  </si>
  <si>
    <t>RINTEX</t>
  </si>
  <si>
    <t>ALFREDO GANGOTENA</t>
  </si>
  <si>
    <t>E7-117</t>
  </si>
  <si>
    <t>CHARLES DARWIN</t>
  </si>
  <si>
    <t>022345732</t>
  </si>
  <si>
    <t>ANA CRISTINA REYES MERINO</t>
  </si>
  <si>
    <t>NAVELAGRO A.C.P.</t>
  </si>
  <si>
    <t>PANZALEO</t>
  </si>
  <si>
    <t>OE1-299</t>
  </si>
  <si>
    <t>ABDÓN CALDERÓN</t>
  </si>
  <si>
    <t>SAN JOSÉ</t>
  </si>
  <si>
    <t>A DOS CUADRAS COLEGIO LA SALLE</t>
  </si>
  <si>
    <t>022074371</t>
  </si>
  <si>
    <t xml:space="preserve">DARWIN PUNINA </t>
  </si>
  <si>
    <t>ABONO COMPUESTO</t>
  </si>
  <si>
    <t>5.85</t>
  </si>
  <si>
    <t>ANDESCHEMIE CIA.LTDA.</t>
  </si>
  <si>
    <t>NOVAQUIM</t>
  </si>
  <si>
    <t>DEL AMOR</t>
  </si>
  <si>
    <t>E8-131</t>
  </si>
  <si>
    <t>PEDRO FERMIN CEVALLOS</t>
  </si>
  <si>
    <t>LA RIBERA</t>
  </si>
  <si>
    <t>022190269</t>
  </si>
  <si>
    <t>MARIA DEL MAR CHARRO RODRIGUEZ</t>
  </si>
  <si>
    <t>DISTRIBUIDORA LATINOAMERICANA FARMALATINA S.A.</t>
  </si>
  <si>
    <t>AV. ILALO</t>
  </si>
  <si>
    <t>E7-156</t>
  </si>
  <si>
    <t>CALLE MEJIA</t>
  </si>
  <si>
    <t>A TRES CUADRAS DE LA FABRICA FRUIT</t>
  </si>
  <si>
    <t>023822480</t>
  </si>
  <si>
    <t>ALEXANDER DAVALOS</t>
  </si>
  <si>
    <t>MAQUIEMPAQUES CIA. LTDA.</t>
  </si>
  <si>
    <t>CUARTA TRANSVERSAL</t>
  </si>
  <si>
    <t>162</t>
  </si>
  <si>
    <t>ONTANEDA</t>
  </si>
  <si>
    <t>DIAGONAL A LA UNIDAD EDUCATIVA COOPER</t>
  </si>
  <si>
    <t>022340849</t>
  </si>
  <si>
    <t>GUZMAN MIRANDA JUAN PABLO</t>
  </si>
  <si>
    <t>FHOPEC S.A.S.</t>
  </si>
  <si>
    <t>CALLE 2</t>
  </si>
  <si>
    <t>CALLE 6 DE JUNIO</t>
  </si>
  <si>
    <t>MARQUEZA DE SOLANDA</t>
  </si>
  <si>
    <t>CONOCOTO</t>
  </si>
  <si>
    <t>FRUTAS Y CONSERVAS S.A. FRUCONSA</t>
  </si>
  <si>
    <t>FRUCONSA</t>
  </si>
  <si>
    <t>CALLE JAIME ROLDOS AGUILERA</t>
  </si>
  <si>
    <t>LOTE N3-103</t>
  </si>
  <si>
    <t>AV. SIMON BOLIVAR</t>
  </si>
  <si>
    <t>A 1OO METROS DEL INFA</t>
  </si>
  <si>
    <t>022349122</t>
  </si>
  <si>
    <t>Milton Jaramillo</t>
  </si>
  <si>
    <t>21499.99.00.01</t>
  </si>
  <si>
    <t xml:space="preserve">PULPA DE FRUTA </t>
  </si>
  <si>
    <t>PULPA DE FRUTILLA</t>
  </si>
  <si>
    <t>1.37</t>
  </si>
  <si>
    <t>LICORERA ECUATORIANA LIVERZAM CIA. LTDA.</t>
  </si>
  <si>
    <t>LIVERZAM CIA LTDA</t>
  </si>
  <si>
    <t>C110201</t>
  </si>
  <si>
    <t>CALLE MANUEL J CALLE</t>
  </si>
  <si>
    <t>EDF. OE2-30</t>
  </si>
  <si>
    <t>CALLE JOSE MARIA EGAS</t>
  </si>
  <si>
    <t>LIVERZAM LICORERA</t>
  </si>
  <si>
    <t>FRENTE AL PARQUE LA ARMENIA Y ATRAS DEL CLUB SOCIAL SOCAPRES</t>
  </si>
  <si>
    <t>022190194</t>
  </si>
  <si>
    <t>Edison Vergara</t>
  </si>
  <si>
    <t>24131.01.05.01</t>
  </si>
  <si>
    <t>AGUARDIENTE DE CAÑA</t>
  </si>
  <si>
    <t>24131.03.01.01</t>
  </si>
  <si>
    <t>RON</t>
  </si>
  <si>
    <t>24131.04.00.01</t>
  </si>
  <si>
    <t>VODKA</t>
  </si>
  <si>
    <t>24211.01.00.01</t>
  </si>
  <si>
    <t>VINO ESPUMANTE</t>
  </si>
  <si>
    <t>MAGNO ALTAMIRANO LEONARDO AGUSTIN</t>
  </si>
  <si>
    <t>MANTTRA</t>
  </si>
  <si>
    <t>CASA S5-15</t>
  </si>
  <si>
    <t>CALLE TOCTIUCO</t>
  </si>
  <si>
    <t>SAN ANTONIO</t>
  </si>
  <si>
    <t>FRENTE A IMETEL</t>
  </si>
  <si>
    <t>022070761</t>
  </si>
  <si>
    <t>YEPEZ JIJON PABLO SEBASTIAN</t>
  </si>
  <si>
    <t>MACROLAB</t>
  </si>
  <si>
    <t>AUTOP. GENERAL RUMIÑAHUI</t>
  </si>
  <si>
    <t>ORELLANA</t>
  </si>
  <si>
    <t>PUENTE 2 Y 3-AL FRENTE DE LA FABRICA DE MEDIAS ROLAND</t>
  </si>
  <si>
    <t>EMPROSAL S.C.C.</t>
  </si>
  <si>
    <t>C107934</t>
  </si>
  <si>
    <t>N13 SEBASTIAN DE BENALCAZAR</t>
  </si>
  <si>
    <t>TERESA DE CEPEDA</t>
  </si>
  <si>
    <t>PODER JUDICIAL</t>
  </si>
  <si>
    <t>FRENTE AL CONJUTO HARU ARMENIA, GALPON DOS PISOS</t>
  </si>
  <si>
    <t>022070362</t>
  </si>
  <si>
    <t>FARMACID S.A.</t>
  </si>
  <si>
    <t>FARMACID</t>
  </si>
  <si>
    <t>AV. ILALÓ</t>
  </si>
  <si>
    <t>AV. GRIBALDO MIÑO</t>
  </si>
  <si>
    <t>100 MTRS. AL ESTE DE LA ESCUELA DE CONDUCCIÓN ITQ-CONOCOTO</t>
  </si>
  <si>
    <t>023829620</t>
  </si>
  <si>
    <t>MURGUEITIO CASTRO PETRA ELVIRA</t>
  </si>
  <si>
    <t>DR MULLER</t>
  </si>
  <si>
    <t>BOTTICELLI</t>
  </si>
  <si>
    <t>E7-324</t>
  </si>
  <si>
    <t>MIGUEL ANGEL</t>
  </si>
  <si>
    <t>PRIMAVERA 1 A QUINIENTOS METROS DEL PAI DE POLICIA</t>
  </si>
  <si>
    <t>NARANJO PADILLA RAUL MARCELO</t>
  </si>
  <si>
    <t>MODERTEX S.A.</t>
  </si>
  <si>
    <t>MODERTEX SA</t>
  </si>
  <si>
    <t>AV. INTEROCEANICA</t>
  </si>
  <si>
    <t>CALLE SANTA LUCIA</t>
  </si>
  <si>
    <t>CC. "VILLA CUMBAYA</t>
  </si>
  <si>
    <t>CUMBAYA</t>
  </si>
  <si>
    <t>BYPASS CUMBAYA EN EL CENTRO COMERCIAL "VILLA CUMBAYA" UN LOCAL ANTES DEL SUPERMAXI</t>
  </si>
  <si>
    <t>022044601</t>
  </si>
  <si>
    <t>CLAUDIA COLMENARES</t>
  </si>
  <si>
    <t>QUATROAGRO ECUADOR S.A.</t>
  </si>
  <si>
    <t>QUATROAGRO ECUADOR SA</t>
  </si>
  <si>
    <t>AV. SIENA TABLER</t>
  </si>
  <si>
    <t>318</t>
  </si>
  <si>
    <t>CALLE A</t>
  </si>
  <si>
    <t>MEDEX</t>
  </si>
  <si>
    <t>LA PRIMAVERA</t>
  </si>
  <si>
    <t>A MEDIA CUADRA DEL CENTRO COMERCIAL SCALA</t>
  </si>
  <si>
    <t>022040087</t>
  </si>
  <si>
    <t>RIOFRIO BUSTAMANTE CARLOS JOSE</t>
  </si>
  <si>
    <t>BOONKER S.A.</t>
  </si>
  <si>
    <t>BOONKER SA</t>
  </si>
  <si>
    <t>C239501</t>
  </si>
  <si>
    <t>LOS CARDENALES</t>
  </si>
  <si>
    <t>45</t>
  </si>
  <si>
    <t>LOS CONDORES</t>
  </si>
  <si>
    <t>MALLORCA</t>
  </si>
  <si>
    <t>4</t>
  </si>
  <si>
    <t>SAN JUAN BAJO CUMBAYA</t>
  </si>
  <si>
    <t>DENTRO DE URBANIZACION LA CATOLICA</t>
  </si>
  <si>
    <t>026603622</t>
  </si>
  <si>
    <t>OJEDA CAPA GABRIELA STEPHANIE</t>
  </si>
  <si>
    <t>BERKANAFARMA S.A.</t>
  </si>
  <si>
    <t>BERKANAFARMA SA</t>
  </si>
  <si>
    <t>AV. INTEROCEÁNICA</t>
  </si>
  <si>
    <t>AV. MARIA ANGELICA IDROBO</t>
  </si>
  <si>
    <t>CENTRO DE NEGOCIOS PASEO SAN FRANCISCO</t>
  </si>
  <si>
    <t>FRENTE A LA UNIVERSIDAD SAN FRANCISCO</t>
  </si>
  <si>
    <t>023222076</t>
  </si>
  <si>
    <t>LORENA ALTAMIRANO</t>
  </si>
  <si>
    <t>DIDELSA CIA. LTDA.</t>
  </si>
  <si>
    <t>DIDELSA CIA LTDA</t>
  </si>
  <si>
    <t>AV. DE LOS ESTABLOS</t>
  </si>
  <si>
    <t>N60</t>
  </si>
  <si>
    <t>AV. DE LOS CONQUISTADORES</t>
  </si>
  <si>
    <t>CEMACOL</t>
  </si>
  <si>
    <t>SANTA LUCÍA</t>
  </si>
  <si>
    <t>FRENTE A CLUB ECUESTRE EL ESTABLO</t>
  </si>
  <si>
    <t>022896230</t>
  </si>
  <si>
    <t>ERIKA NUÑEZ</t>
  </si>
  <si>
    <t>35323.02.18.01</t>
  </si>
  <si>
    <t>VASELINA</t>
  </si>
  <si>
    <t>COLONIA</t>
  </si>
  <si>
    <t>UNION DE CONCRETERAS UNICON UCUE CIA LTDA</t>
  </si>
  <si>
    <t>UNICON</t>
  </si>
  <si>
    <t>4.5</t>
  </si>
  <si>
    <t>DIAGONAL AL INTERCAMBIADOR DEL CONDOR</t>
  </si>
  <si>
    <t>022898770</t>
  </si>
  <si>
    <t>MARITZA ALEXANDRA MORENO SEMINARIO</t>
  </si>
  <si>
    <t>DRMULLER S.A.S.</t>
  </si>
  <si>
    <t>DE LAS AVESTRUCES</t>
  </si>
  <si>
    <t>BARRIO INGA BAJO PIFO ECUADOR</t>
  </si>
  <si>
    <t>PREFABRICADOS Y EQUIPOS S.A.</t>
  </si>
  <si>
    <t>PREFABRICADOS Y EQUIPOS SA</t>
  </si>
  <si>
    <t>VÍA INTEROCEANICA</t>
  </si>
  <si>
    <t>LOTE 26</t>
  </si>
  <si>
    <t>KM. 24</t>
  </si>
  <si>
    <t>INTERCAMBIADOR DE PIFO</t>
  </si>
  <si>
    <t>022381072</t>
  </si>
  <si>
    <t>MERY ORTIZ</t>
  </si>
  <si>
    <t>SOCIEDAD CIVIL Y COMERCIAL ZICO</t>
  </si>
  <si>
    <t>ZICO SCC</t>
  </si>
  <si>
    <t>VIA SAN ROQUE D PA</t>
  </si>
  <si>
    <t>ENTRADA BALBANERA, FRENTE A LA MINA</t>
  </si>
  <si>
    <t>022380597</t>
  </si>
  <si>
    <t>AGUILAR TELLO FRANKLIN AUGUSTO</t>
  </si>
  <si>
    <t>ASTUDILLO GRIJALVA HUGO DANIEL</t>
  </si>
  <si>
    <t>AA DOBLE A</t>
  </si>
  <si>
    <t>CARRETERA RUTA VIVA</t>
  </si>
  <si>
    <t>KM. 21 1/2</t>
  </si>
  <si>
    <t>PUEMBO / ROSA BLANCA</t>
  </si>
  <si>
    <t>A 1 KM AL NORTE DEL REDONDEL DE LA RUTA VIVA DE PUEMBO DIAGONAL AL ARCHIVO GENERAL DEL ESTADO HACIA EL SUR</t>
  </si>
  <si>
    <t>023895445</t>
  </si>
  <si>
    <t>Hugo Astudillo</t>
  </si>
  <si>
    <t>GIBAGO CIA LTDA</t>
  </si>
  <si>
    <t>GIBAGO</t>
  </si>
  <si>
    <t>CAMINO ANTIGUO A PUEMBO</t>
  </si>
  <si>
    <t>CHICHE</t>
  </si>
  <si>
    <t>200 METROS ANTES DE LLEGAR A LA Y DE PUEMBO</t>
  </si>
  <si>
    <t>023895894</t>
  </si>
  <si>
    <t>NELSON GANDARA</t>
  </si>
  <si>
    <t>MUNDOSIDERAL S.A.</t>
  </si>
  <si>
    <t>PINTURAS EXPRESS</t>
  </si>
  <si>
    <t>E28C</t>
  </si>
  <si>
    <t>ANTONIO VALLEJO</t>
  </si>
  <si>
    <t>DIAGONAL A LOS PRODUCTOS SNOB</t>
  </si>
  <si>
    <t>023895143</t>
  </si>
  <si>
    <t>CELARY CHIRAL</t>
  </si>
  <si>
    <t>NUHOME S.A.</t>
  </si>
  <si>
    <t>LOS MANZANOS</t>
  </si>
  <si>
    <t>E1-271</t>
  </si>
  <si>
    <t>NICOLAS PAILACHO</t>
  </si>
  <si>
    <t>A DOS CUADRAS DEL PARQUE CENTRAL DE OYAMBARILLO</t>
  </si>
  <si>
    <t>022241332</t>
  </si>
  <si>
    <t>CAIZAPANTA GARCES DIEGO DANILO</t>
  </si>
  <si>
    <t>YEPEZ DEL POZO ORMAZA JUAN CARLOS</t>
  </si>
  <si>
    <t>ATFARM</t>
  </si>
  <si>
    <t>SAN MIGUEL</t>
  </si>
  <si>
    <t>FAJARDO</t>
  </si>
  <si>
    <t xml:space="preserve">A UNA CUADRA ANTES DE LLEGAR A LA LIGA DEPORTIVA BARRIAL DE FAJARDO </t>
  </si>
  <si>
    <t>023808241</t>
  </si>
  <si>
    <t>ALMEIDA MACIAS DAVID FRANK</t>
  </si>
  <si>
    <t>PAREDES TERAN CESAR ANTONIO</t>
  </si>
  <si>
    <t>SOLUCIONES INDUSTRIALES PAREDES Y ASOCIADOS</t>
  </si>
  <si>
    <t>C275003</t>
  </si>
  <si>
    <t>AV. ATAHUALPA</t>
  </si>
  <si>
    <t>PAREDES ASOCIADOS</t>
  </si>
  <si>
    <t>03</t>
  </si>
  <si>
    <t>DIAGONAL AL CLUB NAVAL (ENTRADA) "LOS CHILLOS" POR SELVA ALEGRE</t>
  </si>
  <si>
    <t>022332739</t>
  </si>
  <si>
    <t>Cesar Paredes</t>
  </si>
  <si>
    <t>IMPORFACTORY CIA. LTDA.</t>
  </si>
  <si>
    <t>IMPORFACTORY CIA LTDA</t>
  </si>
  <si>
    <t>CASA LOTE 8</t>
  </si>
  <si>
    <t>CALLE TANICUCHI</t>
  </si>
  <si>
    <t>CJTO. DE GALPONES TAITA PEDRO</t>
  </si>
  <si>
    <t>SAN VICENTE</t>
  </si>
  <si>
    <t>ATRAS DE GASOLINERA PRIMAX DEL BARRIO SAN VICENTE</t>
  </si>
  <si>
    <t>022080900</t>
  </si>
  <si>
    <t>Fabiola Calvache</t>
  </si>
  <si>
    <t>RIZZOKNIT CIA. LTDA.</t>
  </si>
  <si>
    <t>RIZZOKNIT CIA LTDA</t>
  </si>
  <si>
    <t>AMBATO</t>
  </si>
  <si>
    <t>15</t>
  </si>
  <si>
    <t>LA PRESIDENCIA</t>
  </si>
  <si>
    <t>JUNTO A LA DISTRIBUIDORA DISENSA</t>
  </si>
  <si>
    <t>023882026</t>
  </si>
  <si>
    <t>DEYSI ENRIQUEZ</t>
  </si>
  <si>
    <t>PROPLANTS-ECUADOR S.A.</t>
  </si>
  <si>
    <t>SECTOR LA Y CAYAMBE, FRENTE A LA GASOLINERA DE PETROLEOS Y SERVICIOS</t>
  </si>
  <si>
    <t>IZA TUQUERRES JOSE LUIS</t>
  </si>
  <si>
    <t>ROMERO DUQUE GUILLERMO</t>
  </si>
  <si>
    <t>MONKEY HIPPY</t>
  </si>
  <si>
    <t>A</t>
  </si>
  <si>
    <t>LOTE 100</t>
  </si>
  <si>
    <t>A CIEN METROS DEL COMPLEJO DE LA PESCA DEPORTIVA</t>
  </si>
  <si>
    <t>022052013</t>
  </si>
  <si>
    <t>ESPINOSA CHIRIBOGA JORGE OSWALDO</t>
  </si>
  <si>
    <t>ROJAS GALLARDO FRANKLIN FILIMON</t>
  </si>
  <si>
    <t>INMUNOMADERA</t>
  </si>
  <si>
    <t>VIA A SANGOLQUI</t>
  </si>
  <si>
    <t>PLANTA HIDRO ELECTRICA EL INGA</t>
  </si>
  <si>
    <t>A 3 CUADRAS DEL ESTADIO EL INGA, BARRIO: INGA , NÚMERO PISO: 1, NÚMERO OFICINA: PB</t>
  </si>
  <si>
    <t>SULCA PENA WILLIAM AURELIO</t>
  </si>
  <si>
    <t>CHECA YANEZ GRACIELA GUADALUPE</t>
  </si>
  <si>
    <t>EDF. E2-188</t>
  </si>
  <si>
    <t>CALLE CARCHI</t>
  </si>
  <si>
    <t>KM. 14 1/2</t>
  </si>
  <si>
    <t>TUMBACO</t>
  </si>
  <si>
    <t>A 2 CUADRAS DEL BANCO DE PICHINCHA</t>
  </si>
  <si>
    <t>022372932</t>
  </si>
  <si>
    <t>MONICA AVILA</t>
  </si>
  <si>
    <t>FERRERO DEL ECUADOR S.A.</t>
  </si>
  <si>
    <t>FERRERO DEL ECUADOR SA</t>
  </si>
  <si>
    <t>PSJE. JOSEFA LOZANO</t>
  </si>
  <si>
    <t>AV. OSWALDO GUAYASAMIN</t>
  </si>
  <si>
    <t>FERRERO</t>
  </si>
  <si>
    <t>FRENTE A LA FÁBRICA MODERTEX. ALTOS DEL MERCADO EL ARENAL</t>
  </si>
  <si>
    <t>022984500</t>
  </si>
  <si>
    <t>PRISCILA VALERIA  HIDALGO  MORALES</t>
  </si>
  <si>
    <t>GOLDERIE TRADING SA</t>
  </si>
  <si>
    <t>GOLDERIE</t>
  </si>
  <si>
    <t>AUTOP. E35</t>
  </si>
  <si>
    <t>PSJE. PANANORTE 2</t>
  </si>
  <si>
    <t>PARQUE INDUSTRIAL LA MANCHA</t>
  </si>
  <si>
    <t>C1</t>
  </si>
  <si>
    <t>OYABARILLO</t>
  </si>
  <si>
    <t>FRENTE A GASOLINERA PRIMAX DE OYAMBARILLO</t>
  </si>
  <si>
    <t>025001001</t>
  </si>
  <si>
    <t>JOSELIN CRISTINA DIAZ MUENALA</t>
  </si>
  <si>
    <t>FLORES GUZMAN PABLO EDMUNDO</t>
  </si>
  <si>
    <t>GASPAR SANGURIMA</t>
  </si>
  <si>
    <t>LOTE 7</t>
  </si>
  <si>
    <t>GARCIA MORENO</t>
  </si>
  <si>
    <t>LLANO GRANDE</t>
  </si>
  <si>
    <t>ENTRADA CALLE DE TIERRA GALPON CON BLOQUE VISTO</t>
  </si>
  <si>
    <t>LOVATO PONCE MARIA GABRIELA</t>
  </si>
  <si>
    <t>TEXTILES FINOS ECUATORIANOS TEXFINO S.A.</t>
  </si>
  <si>
    <t>AV. CARAPUNGO</t>
  </si>
  <si>
    <t>N2560</t>
  </si>
  <si>
    <t>PUENTE DEL NIÑO</t>
  </si>
  <si>
    <t>A DOS CUADRAS DEL MERCADO DE CALDERON</t>
  </si>
  <si>
    <t>022400161</t>
  </si>
  <si>
    <t>ESPIN CHACON MARIO RODRIGO</t>
  </si>
  <si>
    <t>TEXPUNTO</t>
  </si>
  <si>
    <t>M</t>
  </si>
  <si>
    <t>LOTE 229</t>
  </si>
  <si>
    <t>LAS CARRETAS</t>
  </si>
  <si>
    <t>EN LA URBANIZACION URABA</t>
  </si>
  <si>
    <t>022474628</t>
  </si>
  <si>
    <t>TORRES AGUILERA VIVIANA ELIZABETH</t>
  </si>
  <si>
    <t>ESMATEX S.A.</t>
  </si>
  <si>
    <t>ESMATEX SA</t>
  </si>
  <si>
    <t>E15E</t>
  </si>
  <si>
    <t>156</t>
  </si>
  <si>
    <t>PEGRO GUERREO</t>
  </si>
  <si>
    <t>02</t>
  </si>
  <si>
    <t>026038165</t>
  </si>
  <si>
    <t>MARIUXI LOOR</t>
  </si>
  <si>
    <t>MEDIAS PARA ADULTOS</t>
  </si>
  <si>
    <t>MEDIAS DE FÚTBOL</t>
  </si>
  <si>
    <t>SINTESA SINTETICOS TECNICOS S.A.</t>
  </si>
  <si>
    <t>SINTESA SA</t>
  </si>
  <si>
    <t>PANAMERICANA</t>
  </si>
  <si>
    <t>YANEZ SERRANO ERNESTO</t>
  </si>
  <si>
    <t>HEKAPHARMA S.A.</t>
  </si>
  <si>
    <t>SAN MATEO</t>
  </si>
  <si>
    <t>11</t>
  </si>
  <si>
    <t>SAN CAMILO</t>
  </si>
  <si>
    <t>A UNA CUADRA DEL CONJUNTO CATAVIA</t>
  </si>
  <si>
    <t>022445127</t>
  </si>
  <si>
    <t>MEJIA ALBUJA MARCELO FRANCISCO</t>
  </si>
  <si>
    <t>PROCEINPLAST CIA.LTDA.</t>
  </si>
  <si>
    <t>SAN JUAN DE CALDERÓN VÍA SUBES</t>
  </si>
  <si>
    <t>TRANSELECTRIC</t>
  </si>
  <si>
    <t>A UNA CUADRA DE LA SUBESTACIÓN TRANSELECTRIC, BARRIO: LOS ANGELES, NOMBRE EDIFICIO: GALPÓN, NÚMERO PISO: S/N</t>
  </si>
  <si>
    <t>023471117</t>
  </si>
  <si>
    <t>PATIÑO ALMEIDA MARITZA ELIZABETH</t>
  </si>
  <si>
    <t>FRUTEIRO</t>
  </si>
  <si>
    <t>E6A</t>
  </si>
  <si>
    <t>LOTE 161</t>
  </si>
  <si>
    <t>N68A</t>
  </si>
  <si>
    <t>FRENTE A LA FÁBRICA ZINGMETAL</t>
  </si>
  <si>
    <t>2805217</t>
  </si>
  <si>
    <t>SANTIAGO CUMBAL</t>
  </si>
  <si>
    <t>ALDAS GAVILANES EDGAR XAVIER</t>
  </si>
  <si>
    <t>FABRICA SEYANT</t>
  </si>
  <si>
    <t>N64-239</t>
  </si>
  <si>
    <t>MANUEL AMBROSI</t>
  </si>
  <si>
    <t>DIAGONAL A DHL</t>
  </si>
  <si>
    <t>022472425</t>
  </si>
  <si>
    <t>Alexandra Caiza</t>
  </si>
  <si>
    <t>INDUSTRIA TEXTIL LA VIE EN ROSE LAVIENROSE CIA LTDA</t>
  </si>
  <si>
    <t>LA VIE EN ROSE</t>
  </si>
  <si>
    <t>DE LAS CHUQUIRAGUAS</t>
  </si>
  <si>
    <t>OE2-87</t>
  </si>
  <si>
    <t>DE LOS GERANIOS</t>
  </si>
  <si>
    <t>022032572</t>
  </si>
  <si>
    <t>SANDRA TUQUERRES</t>
  </si>
  <si>
    <t>28224.03.01.01</t>
  </si>
  <si>
    <t>CALZONARIA PARA MUJER ALGODÓN</t>
  </si>
  <si>
    <t>28224.04.02.01</t>
  </si>
  <si>
    <t>PIJAMAS DE MUJER SINTÉTICO</t>
  </si>
  <si>
    <t>INSUMOS AGRICOLAS NUEVOAGRO CIA. LTDA</t>
  </si>
  <si>
    <t>NOVAGRO</t>
  </si>
  <si>
    <t>ULPIANO BECERRA</t>
  </si>
  <si>
    <t>N4-168</t>
  </si>
  <si>
    <t>CONCORDIA</t>
  </si>
  <si>
    <t>A 4 CUADRAS DE LA CRUZ ROJA</t>
  </si>
  <si>
    <t>022315779</t>
  </si>
  <si>
    <t>GABRIELA VASQUEZ</t>
  </si>
  <si>
    <t>BIO RESEARCH S.A.</t>
  </si>
  <si>
    <t>BIO RESEARCH SA</t>
  </si>
  <si>
    <t>CALLE SAN ALFONSO</t>
  </si>
  <si>
    <t>OE8-365</t>
  </si>
  <si>
    <t>CALLE SAN CAMILO</t>
  </si>
  <si>
    <t>A UNA CUADRA DE EMPRESA WAY MOBIL</t>
  </si>
  <si>
    <t>022822637</t>
  </si>
  <si>
    <t>PILAR JIMENEZ</t>
  </si>
  <si>
    <t>34661.07.04.01</t>
  </si>
  <si>
    <t>INSECTICIDAS AGRICOLAS</t>
  </si>
  <si>
    <t>INDUSTRIAS TCT SA</t>
  </si>
  <si>
    <t>EASYDRY LAVADO DE AUTOS SIN AGUA</t>
  </si>
  <si>
    <t>CALLE QUITUMBE</t>
  </si>
  <si>
    <t>EDF. N60-130</t>
  </si>
  <si>
    <t>AV. DEL MAESTRO</t>
  </si>
  <si>
    <t>A UNA CUADRA DEL CNT DE LA AV. DEL MAESTRO POR EL PASAJE QUITUMBE</t>
  </si>
  <si>
    <t>026010515</t>
  </si>
  <si>
    <t>MERCEDES YOLANDA CAÑIZARES ROMERO</t>
  </si>
  <si>
    <t>NCH ECUADOR SA</t>
  </si>
  <si>
    <t>NCH</t>
  </si>
  <si>
    <t>C202912</t>
  </si>
  <si>
    <t>CALLE JUAN DE MOLINEROS</t>
  </si>
  <si>
    <t>CASA E9-281</t>
  </si>
  <si>
    <t>COMITE DEL PUEBLO</t>
  </si>
  <si>
    <t>CERCA A SUPERMERCADO SANTA MARIA</t>
  </si>
  <si>
    <t>023464840</t>
  </si>
  <si>
    <t>JAVIER VILLAMARIN GRANDA</t>
  </si>
  <si>
    <t>35321.01.12.01</t>
  </si>
  <si>
    <t>JABON INDUSTRIAL</t>
  </si>
  <si>
    <t>DESGRASANTES</t>
  </si>
  <si>
    <t>ESTRUCTEC ESTRUCTURAS &amp; TECNOLOGIA S.A.</t>
  </si>
  <si>
    <t>ESTRUTEC</t>
  </si>
  <si>
    <t>CALLE MARIANA DE JESUS</t>
  </si>
  <si>
    <t>LOTE E12-174</t>
  </si>
  <si>
    <t>AUTOP. PANAMERICANA NORTE</t>
  </si>
  <si>
    <t>ESTRUCTEC</t>
  </si>
  <si>
    <t>AL FRENTE DE BODEGAS YAMBAL</t>
  </si>
  <si>
    <t>022421596</t>
  </si>
  <si>
    <t>BRYAN MARTINEZ</t>
  </si>
  <si>
    <t>NOPERTI CIA LTDA NC</t>
  </si>
  <si>
    <t>DE LOS MADROÑOS</t>
  </si>
  <si>
    <t>E12-222</t>
  </si>
  <si>
    <t>AV. DE LAS PALMERAS</t>
  </si>
  <si>
    <t>EL INCA</t>
  </si>
  <si>
    <t>FRENTE ALMACEN DE LLANTAS DUNLOP</t>
  </si>
  <si>
    <t>022259746</t>
  </si>
  <si>
    <t>VINICIO JAVIER PUEDMAG NARVAEZ</t>
  </si>
  <si>
    <t>27180.06.00.01</t>
  </si>
  <si>
    <t>EDREDON</t>
  </si>
  <si>
    <t>TEXTIQUIM CIA. LTDA.</t>
  </si>
  <si>
    <t>TEXTIQUIM CIA LTDA</t>
  </si>
  <si>
    <t>VICENTE DUQUE</t>
  </si>
  <si>
    <t>N77-443</t>
  </si>
  <si>
    <t>NUÑEZ ANTONIO</t>
  </si>
  <si>
    <t>TEXTIQUIM</t>
  </si>
  <si>
    <t>FRENTE A LA EMPRESA GERCASA</t>
  </si>
  <si>
    <t>2478062</t>
  </si>
  <si>
    <t>CARMEN OÑA VITERI</t>
  </si>
  <si>
    <t>AUTOMUNDIAL ECUADOR S.A.</t>
  </si>
  <si>
    <t>AUTOMUNDIAL ECUADOR SA</t>
  </si>
  <si>
    <t>JOSE ANDRADE</t>
  </si>
  <si>
    <t>OE1-381</t>
  </si>
  <si>
    <t>JUAN DE SELIS</t>
  </si>
  <si>
    <t>FRENTE A LA EMPRESA FABRIL</t>
  </si>
  <si>
    <t>022482109</t>
  </si>
  <si>
    <t>DAYAN FLORES</t>
  </si>
  <si>
    <t>NEUMÁTICOS REENCAUCHADOS</t>
  </si>
  <si>
    <t>POLIPACK CIA. LTDA.</t>
  </si>
  <si>
    <t>POLIPACK CIA LTDA</t>
  </si>
  <si>
    <t>OE7-407</t>
  </si>
  <si>
    <t>REINALDO CRUZ</t>
  </si>
  <si>
    <t>15.5</t>
  </si>
  <si>
    <t>JUNTO A LA EMPRESA PRINTOPACK</t>
  </si>
  <si>
    <t>022820509</t>
  </si>
  <si>
    <t>ING. PAUL ROSERO</t>
  </si>
  <si>
    <t>LANDPLASTIK CIA. LTDA.</t>
  </si>
  <si>
    <t>LANDPLASTIK CIA LTDA</t>
  </si>
  <si>
    <t>CALLE TADEO BENITEZ</t>
  </si>
  <si>
    <t>CASA OE1-431</t>
  </si>
  <si>
    <t>A UNA CUADRA HACIA ARRIBA DEL INSTITUTO EDUCATIVO THOMAS MALTUS</t>
  </si>
  <si>
    <t>022475521</t>
  </si>
  <si>
    <t>JENNY BELEN ANDRANGO ALBA</t>
  </si>
  <si>
    <t>GALVANORTE CIA. LTDA.</t>
  </si>
  <si>
    <t>GALVANORTE</t>
  </si>
  <si>
    <t>CALLE LOS ARUPOS</t>
  </si>
  <si>
    <t>LOTE E5-83</t>
  </si>
  <si>
    <t>FRENTE A TELCONET</t>
  </si>
  <si>
    <t>022472132</t>
  </si>
  <si>
    <t>PILAR MIRANDA</t>
  </si>
  <si>
    <t>SISTEMAS DE ESTRUCTURAS METALICAS GERMAN VILLALBA VALLEJO CIA. LTDA</t>
  </si>
  <si>
    <t>CISTEC</t>
  </si>
  <si>
    <t>AMALIA URIGUEN</t>
  </si>
  <si>
    <t>E6-179</t>
  </si>
  <si>
    <t>PEDRO CABEZAS</t>
  </si>
  <si>
    <t>022805538</t>
  </si>
  <si>
    <t>ERIKA YUNDA</t>
  </si>
  <si>
    <t>UNILIMPIO S.A.</t>
  </si>
  <si>
    <t>UNILIMPIO SA</t>
  </si>
  <si>
    <t>E1-140</t>
  </si>
  <si>
    <t>PSJE. JUNCOS</t>
  </si>
  <si>
    <t>CRISTIANIA</t>
  </si>
  <si>
    <t>A UNA CUADRA AL ESTE DE LA GASOLINERA DE PETROECUADOR DEL SECTOR PARQUE DE LOS RECUERDOS</t>
  </si>
  <si>
    <t>022479923</t>
  </si>
  <si>
    <t>LAURA ZAVALA</t>
  </si>
  <si>
    <t>HILTEXPOY S.A.</t>
  </si>
  <si>
    <t>HILTEXPOY</t>
  </si>
  <si>
    <t>N6-664</t>
  </si>
  <si>
    <t>GIOVANNI CALLES</t>
  </si>
  <si>
    <t>JUNTO AL CONJUNTO CASALES BUENAVENTURA (EL ARENAL) VIA A MARIANA DE JESUS</t>
  </si>
  <si>
    <t>022820329</t>
  </si>
  <si>
    <t>MARIA JOSE SALAZAR</t>
  </si>
  <si>
    <t>INTERFIBRA S.A.</t>
  </si>
  <si>
    <t>INTERFIBRA</t>
  </si>
  <si>
    <t>JOSE MARIA YBARZ</t>
  </si>
  <si>
    <t>DETRAS DE LAS BODEGAS DE ALMAGRO</t>
  </si>
  <si>
    <t>POLIACRILART PRODUCTOS ACRILICOS CIA. LTDA.</t>
  </si>
  <si>
    <t>POLIACRILART CIA LTDA</t>
  </si>
  <si>
    <t>JUAN DE LA CRUZ VALLE</t>
  </si>
  <si>
    <t>ATRAS DEL CONJUNTO HABITACIONAL LOS ANGELES</t>
  </si>
  <si>
    <t>022820307</t>
  </si>
  <si>
    <t>MARIA ELENA ORBE TERAN</t>
  </si>
  <si>
    <t>RESINA</t>
  </si>
  <si>
    <t>TEXTILES EL RAYO S.A.</t>
  </si>
  <si>
    <t>MEDIAS ROLAND</t>
  </si>
  <si>
    <t>AV. GABRIEL GARCIA MORENO</t>
  </si>
  <si>
    <t>50 M. AL ESTE DE LA ENTRADA DE LLANO GRANDE</t>
  </si>
  <si>
    <t>023930940</t>
  </si>
  <si>
    <t>CARMEN OSORIO</t>
  </si>
  <si>
    <t>GINSBERG ECUADOR S.A.</t>
  </si>
  <si>
    <t>N76-119</t>
  </si>
  <si>
    <t>ANTONIO CASTILLO</t>
  </si>
  <si>
    <t>FRENTE AL CENTRO JUVENIL DANIEL COMBONI</t>
  </si>
  <si>
    <t>022800492</t>
  </si>
  <si>
    <t>MARCO MOROCHO</t>
  </si>
  <si>
    <t>MEJIA RAMIREZ ROSSITA OLIVIA</t>
  </si>
  <si>
    <t>BARMENTS FROZEN FOOD JUGOFACIL</t>
  </si>
  <si>
    <t>ARAUJO</t>
  </si>
  <si>
    <t>E6-171</t>
  </si>
  <si>
    <t>BATODANO</t>
  </si>
  <si>
    <t>JUNTO AL PARQUE LOS NEVADOS</t>
  </si>
  <si>
    <t>RODRIGUEZ CAMPOS EMMANUEL JESUS ALEJANDRO</t>
  </si>
  <si>
    <t>VILAÑA YEPEZ INES BEATRIZ</t>
  </si>
  <si>
    <t>GONZALO GALLO</t>
  </si>
  <si>
    <t>OE7-127</t>
  </si>
  <si>
    <t>RIOBAMBA</t>
  </si>
  <si>
    <t>A DOS CUADRAS DEL IPIALES DEL NORTE</t>
  </si>
  <si>
    <t>022245510</t>
  </si>
  <si>
    <t>PAUCAR MENA DIANA PAOLA</t>
  </si>
  <si>
    <t>SANTAMARIA ALVAREZ SIEGFRIED STEIGER</t>
  </si>
  <si>
    <t>CASA E5-112</t>
  </si>
  <si>
    <t>CRISTIANÍA</t>
  </si>
  <si>
    <t>JUNTO A GALVANORTE</t>
  </si>
  <si>
    <t>022806182</t>
  </si>
  <si>
    <t>Steiger Santamaria</t>
  </si>
  <si>
    <t>ALTEXTIL ALOMIA TEXTIL CIA.LTDA.</t>
  </si>
  <si>
    <t>ALOMIA TEXTIL</t>
  </si>
  <si>
    <t>OE7-106</t>
  </si>
  <si>
    <t>F. ROMERO</t>
  </si>
  <si>
    <t>DIAGONAL AL COLEGIO GRAN COLOMBIA</t>
  </si>
  <si>
    <t>022558949</t>
  </si>
  <si>
    <t>COMPAÑIA DE SERVICIOS EMPRESARIALES BARRERA RECALDE CIA. LTDA.</t>
  </si>
  <si>
    <t>TEJIDOS PINTEX S.A.</t>
  </si>
  <si>
    <t>TEJIDOS PINTEX SA</t>
  </si>
  <si>
    <t>OE5-28</t>
  </si>
  <si>
    <t>PSJE. MANUEL HERRERA</t>
  </si>
  <si>
    <t>PINTEX</t>
  </si>
  <si>
    <t>FRENTE AL COMANDO CONJUNTO</t>
  </si>
  <si>
    <t>022448340</t>
  </si>
  <si>
    <t>CAROL OCHOA</t>
  </si>
  <si>
    <t>DASSUM MURILLO SAMIRA DE LOS ANGELES</t>
  </si>
  <si>
    <t>COLCHATEX</t>
  </si>
  <si>
    <t>EDMUNDO CARVAJAL</t>
  </si>
  <si>
    <t>OE4-150</t>
  </si>
  <si>
    <t>BRASIL</t>
  </si>
  <si>
    <t>A MEDIA CUADRA DE LOS PINCHOS BBQ</t>
  </si>
  <si>
    <t>022254852</t>
  </si>
  <si>
    <t>RON PUMISACHO YESSENIA ELIZABETH</t>
  </si>
  <si>
    <t>GLOBALCOMMERCE S.A.</t>
  </si>
  <si>
    <t>N74C</t>
  </si>
  <si>
    <t>E4-48</t>
  </si>
  <si>
    <t>A UNA CUADRA DEL TERMINAL DE CARCELEN</t>
  </si>
  <si>
    <t>NEOQUIM CIA. LTDA.</t>
  </si>
  <si>
    <t>NEOQUIM</t>
  </si>
  <si>
    <t>LOTE E1-145</t>
  </si>
  <si>
    <t>AV. GALO PLAZA LAZO</t>
  </si>
  <si>
    <t>FRENTE A FABRICALES UN GALPON</t>
  </si>
  <si>
    <t>022473203</t>
  </si>
  <si>
    <t>ANDREA ESTEFANIA PEÑA SILVER</t>
  </si>
  <si>
    <t>PINTURAS WESCO S A</t>
  </si>
  <si>
    <t>022472131</t>
  </si>
  <si>
    <t>SALAZAR CHACON MYRIAN MIROSLAVA</t>
  </si>
  <si>
    <t>PAPELES &amp; PLASTICOS CONTINENTAL P&amp;PC CÍA. LTDA.</t>
  </si>
  <si>
    <t>74-39</t>
  </si>
  <si>
    <t>MARIANO CARDENAL</t>
  </si>
  <si>
    <t>DE TRAS DE IASA</t>
  </si>
  <si>
    <t>022483694</t>
  </si>
  <si>
    <t>MOLINA JIBAJA OSCAR LUCAS</t>
  </si>
  <si>
    <t>CABRERA CABRERA JOSE EUDORO</t>
  </si>
  <si>
    <t>LABORATORIOS LA MELIFERA</t>
  </si>
  <si>
    <t>CALLE DIEGO DE VACAS</t>
  </si>
  <si>
    <t>CASA N77-30</t>
  </si>
  <si>
    <t>AV. CLEMENTE YEROVI</t>
  </si>
  <si>
    <t>JUNTO AL ESTADIO DE ENTRENAMIENTO DEL DEPORTIVO QUITO</t>
  </si>
  <si>
    <t>025101251</t>
  </si>
  <si>
    <t>ECON. EDGAR PASPUEL</t>
  </si>
  <si>
    <t>LABORATORIOS MOLLIE CIA. LTDA.</t>
  </si>
  <si>
    <t>VIA A RAYOCUCHO</t>
  </si>
  <si>
    <t>681</t>
  </si>
  <si>
    <t>CALLE H</t>
  </si>
  <si>
    <t>06</t>
  </si>
  <si>
    <t>022306472</t>
  </si>
  <si>
    <t>PABLO DANILO IVONNE DEL ROCIO</t>
  </si>
  <si>
    <t>35110.01.02.01</t>
  </si>
  <si>
    <t>PINTURA NO A BASE DE AGUA</t>
  </si>
  <si>
    <t>HPS S.A.S.</t>
  </si>
  <si>
    <t>DE LAS AVELLANAS</t>
  </si>
  <si>
    <t>FRENTE A ACINDEC</t>
  </si>
  <si>
    <t>NICOLALDE ARMENDARIZ NELSON GERMAN</t>
  </si>
  <si>
    <t>C275001</t>
  </si>
  <si>
    <t>MANTA</t>
  </si>
  <si>
    <t>OE4-382</t>
  </si>
  <si>
    <t>PSJE. LOS GIRASOLES</t>
  </si>
  <si>
    <t>A UNA CUADRA DE LA PLAZOLETA DE COTOCOLLAO</t>
  </si>
  <si>
    <t>43913.01.04.01</t>
  </si>
  <si>
    <t>FRIGORIFICO</t>
  </si>
  <si>
    <t>44811.01.01.01</t>
  </si>
  <si>
    <t>REFRIGERADORA DOS PUERTAS</t>
  </si>
  <si>
    <t>COCINETA DE GAS</t>
  </si>
  <si>
    <t>44821.00.07.01</t>
  </si>
  <si>
    <t>COCINA DE GAS</t>
  </si>
  <si>
    <t>44821.00.10.01</t>
  </si>
  <si>
    <t>HORNOS A GAS</t>
  </si>
  <si>
    <t>FABRICANDO MANUFACT S.A.</t>
  </si>
  <si>
    <t>AV. DE LAS AVELLANAS</t>
  </si>
  <si>
    <t>LOTE 9</t>
  </si>
  <si>
    <t>BARRIO CRISTIANIA</t>
  </si>
  <si>
    <t>TRAS DE VITRINAS CORONA</t>
  </si>
  <si>
    <t>022550476</t>
  </si>
  <si>
    <t>INDUSTRIA-INTERNACIONAL DE ACEITES DEL PACIFICO S.A.</t>
  </si>
  <si>
    <t>VÍA QUININDÉ</t>
  </si>
  <si>
    <t>LA FLOREANA</t>
  </si>
  <si>
    <t>A 3KM ANTES DEL RÍO INGA</t>
  </si>
  <si>
    <t>GRANILLO LOPEZ JOHANNA JACQUELINE</t>
  </si>
  <si>
    <t>MIÑO LARA ANDREA CAROLINA</t>
  </si>
  <si>
    <t>DELENCANTO</t>
  </si>
  <si>
    <t>GABRIEL GARCIA MORENO</t>
  </si>
  <si>
    <t>284</t>
  </si>
  <si>
    <t>ORIENTE</t>
  </si>
  <si>
    <t>DETRAS DEL ESTADIO DE CALACALÍ</t>
  </si>
  <si>
    <t>0992752650</t>
  </si>
  <si>
    <t>HERRERA CAMPAÑA DIEGO JOSELO</t>
  </si>
  <si>
    <t>PRODUCTORA Y COMERCIALIZADORA DE ALIMENTOS SEMPREBENE S.A.</t>
  </si>
  <si>
    <t>PRODUCTORA Y COMERCIALIZADORA DE ALIMENTOS SEMPREBENE SA</t>
  </si>
  <si>
    <t>EUCALIPTOS</t>
  </si>
  <si>
    <t>E8-15</t>
  </si>
  <si>
    <t>E8</t>
  </si>
  <si>
    <t>FABRICA SEMPREBENE S.A</t>
  </si>
  <si>
    <t>FRENTE A LA FABRICA KORES DEL ECUADOR A UNA CUADRA  DE LA PLANTA ELECTRICA</t>
  </si>
  <si>
    <t>022800196</t>
  </si>
  <si>
    <t>SONIA ESPERANZA GAONA CUEVA</t>
  </si>
  <si>
    <t>SHUGULI GUACHAMIN MARIA JOSEFINA</t>
  </si>
  <si>
    <t>SERVI SACHETS</t>
  </si>
  <si>
    <t>PRIMERO DE MAYO</t>
  </si>
  <si>
    <t>TRANSITO AMAGUAÑA</t>
  </si>
  <si>
    <t>A 5 CUADRAS DE PETROECUADOR</t>
  </si>
  <si>
    <t>PILAQUINGA SANCHEZ JAIME OSWALDO</t>
  </si>
  <si>
    <t>HILOCENTRO INSUMOS TEXTILES S A</t>
  </si>
  <si>
    <t>E2-74</t>
  </si>
  <si>
    <t>EL JUNCAL</t>
  </si>
  <si>
    <t>FRENTE BODEGAS LAS AVELLANAS</t>
  </si>
  <si>
    <t>022802020</t>
  </si>
  <si>
    <t>MADRUNERO TITO VERONICA ALEXANDRA</t>
  </si>
  <si>
    <t>TEXTILES LA ESCALA S.A.</t>
  </si>
  <si>
    <t>TEXTILES LA ESCALA SA</t>
  </si>
  <si>
    <t>GUALAQUIZA</t>
  </si>
  <si>
    <t>N63-66</t>
  </si>
  <si>
    <t>SABANILLA</t>
  </si>
  <si>
    <t>TRAS LA GASOLINERA CATAR</t>
  </si>
  <si>
    <t>022294138</t>
  </si>
  <si>
    <t>MARGOTH JAGUACO</t>
  </si>
  <si>
    <t>MIRMAG</t>
  </si>
  <si>
    <t>N68-100</t>
  </si>
  <si>
    <t>AVELLANEDA</t>
  </si>
  <si>
    <t>A UNA CUADRA GASOLINERA P.D.V</t>
  </si>
  <si>
    <t>DIEGO DIAZ</t>
  </si>
  <si>
    <t>AMAQUIM CIA. LTDA.</t>
  </si>
  <si>
    <t>EL CONDOR</t>
  </si>
  <si>
    <t>OE-481</t>
  </si>
  <si>
    <t>AV. BRASIL</t>
  </si>
  <si>
    <t>LA FAE</t>
  </si>
  <si>
    <t>A DOS CUADRAS DEL CENTRO COMERCIAL EL BOSQUE</t>
  </si>
  <si>
    <t>022454372</t>
  </si>
  <si>
    <t>PATIÑO ZAPATA JUAN CARLOS</t>
  </si>
  <si>
    <t>FOLIGRIN S.A.</t>
  </si>
  <si>
    <t>FOLIGRIN</t>
  </si>
  <si>
    <t>ZAMORA</t>
  </si>
  <si>
    <t>OE3-252</t>
  </si>
  <si>
    <t>CONCEPCION</t>
  </si>
  <si>
    <t>EN  CRUCE DE LA ZAMORA Y BRASIL</t>
  </si>
  <si>
    <t>022433421</t>
  </si>
  <si>
    <t>HILLER BERNAL CHRISTIAN ALFONS</t>
  </si>
  <si>
    <t>PINTURAS LIDER PINLID CIA. LTDA.</t>
  </si>
  <si>
    <t>PINTURAS LIDER</t>
  </si>
  <si>
    <t>MARIANO CARDENAL N73-75 P.1 S/N JOSE LARREA</t>
  </si>
  <si>
    <t>022483631</t>
  </si>
  <si>
    <t>DENISSE QUEZADA</t>
  </si>
  <si>
    <t>SMART CHEMISTRY SMACH S.A.</t>
  </si>
  <si>
    <t>SMACH</t>
  </si>
  <si>
    <t>DE LA PRENSA</t>
  </si>
  <si>
    <t>N70-121</t>
  </si>
  <si>
    <t>PABLO PICASO</t>
  </si>
  <si>
    <t>21Z</t>
  </si>
  <si>
    <t>022294322</t>
  </si>
  <si>
    <t>CECILIA AVALOS</t>
  </si>
  <si>
    <t>VALENZUELA DIAZ JULIO CESAR</t>
  </si>
  <si>
    <t>HORMIGONERA RC3</t>
  </si>
  <si>
    <t>JORGE VALENZUELA</t>
  </si>
  <si>
    <t>RAFAEL AULESTIA</t>
  </si>
  <si>
    <t>A TRES CUADRAS DEL BANCO DEL PICHINCHA</t>
  </si>
  <si>
    <t>CASTELLANOS BOLAÑOS LUIS MIGUEL</t>
  </si>
  <si>
    <t>DIDACTICOS Y TECNOLOGICOS WILDANTEC CIA LTDA</t>
  </si>
  <si>
    <t>DITEC</t>
  </si>
  <si>
    <t>LA JOYA</t>
  </si>
  <si>
    <t>45A</t>
  </si>
  <si>
    <t>INDEPENDENCIA</t>
  </si>
  <si>
    <t>URB. LA JOYA</t>
  </si>
  <si>
    <t>A UNA CUADRA DEL PARQUE DE LA URBANIZACION LA JOYA</t>
  </si>
  <si>
    <t>022351435</t>
  </si>
  <si>
    <t>MUÑOZ PATIÑO ESTEBAN AGUSTIN</t>
  </si>
  <si>
    <t>GUEVARA MERIZALDE ROMMEL MAURICIO</t>
  </si>
  <si>
    <t>LOTE 180</t>
  </si>
  <si>
    <t>ELOY ALFARO</t>
  </si>
  <si>
    <t>DIAGONAL A LA EMPRESA ICC DISTRICUIDORA CASTRO</t>
  </si>
  <si>
    <t>022803754</t>
  </si>
  <si>
    <t>MAYRA ZAMORA</t>
  </si>
  <si>
    <t>PLASTICOS Y BROCHAS - WILSON S.A</t>
  </si>
  <si>
    <t>CALLE DE LAS AVELLANAS</t>
  </si>
  <si>
    <t>EDF. E5-107</t>
  </si>
  <si>
    <t>TRAS INDUSTRIAS CORONA</t>
  </si>
  <si>
    <t>022482858</t>
  </si>
  <si>
    <t>PATRICIA SERRANO</t>
  </si>
  <si>
    <t>ECUATORIANA DE GOLOSINAS ECUAGOLOSINAS CIA. LTDA.</t>
  </si>
  <si>
    <t>ECUAGOLOSINAS</t>
  </si>
  <si>
    <t>LOS EUCALIPTOS</t>
  </si>
  <si>
    <t>E1-189</t>
  </si>
  <si>
    <t>GALO PLAZA LASSO</t>
  </si>
  <si>
    <t>JUNTO AL PARQUE LOS RECUERDOS</t>
  </si>
  <si>
    <t>022477916</t>
  </si>
  <si>
    <t>MARIO SARMIENTO</t>
  </si>
  <si>
    <t>INDUSTRIAL TEXTILANA S.A.</t>
  </si>
  <si>
    <t>CAPITAN RAFAEL RAMOS</t>
  </si>
  <si>
    <t>EL MORLAN</t>
  </si>
  <si>
    <t>022412313</t>
  </si>
  <si>
    <t>LIGIA PIEDAD RUIZ HARO</t>
  </si>
  <si>
    <t>TEXTILES-SONNYTEX S.A.</t>
  </si>
  <si>
    <t>AV. VIRGILIO CORRAL</t>
  </si>
  <si>
    <t>LOTE N54-14</t>
  </si>
  <si>
    <t>CALLE JORGE PIEDRA</t>
  </si>
  <si>
    <t>SONNY TEX SA</t>
  </si>
  <si>
    <t>LA PULIDA</t>
  </si>
  <si>
    <t>JUNTO A CONJUNTO PATMOS IV</t>
  </si>
  <si>
    <t>023401109</t>
  </si>
  <si>
    <t>MAYRA SAMANIEGO</t>
  </si>
  <si>
    <t>GLOBALCHEM QUIMICOS INDUSTRIALES Y AGRICOLAS CIA. LTDA.</t>
  </si>
  <si>
    <t>GLOBALCHEM CIA LTDA QUIMICOS INDUSTRIALES AG</t>
  </si>
  <si>
    <t>CALLE N74C</t>
  </si>
  <si>
    <t>E4-62</t>
  </si>
  <si>
    <t>DETRAS DEL TERMINAL TERRESTRE DE CARCELEN</t>
  </si>
  <si>
    <t>022802326</t>
  </si>
  <si>
    <t>FRANCISCO FLORES</t>
  </si>
  <si>
    <t>BETAPHARMA S.A.</t>
  </si>
  <si>
    <t>BETAPHARMA SA</t>
  </si>
  <si>
    <t>PSJE. LA ESPERANZA</t>
  </si>
  <si>
    <t>OE4-175</t>
  </si>
  <si>
    <t>AV. MANUEL CORDOVA GALARZA</t>
  </si>
  <si>
    <t>EL CONDADO</t>
  </si>
  <si>
    <t>FRENTE A LA EMPRESA PFIZER</t>
  </si>
  <si>
    <t>022491658</t>
  </si>
  <si>
    <t>CANO HERAS YADIRA DE LOS ANGELES</t>
  </si>
  <si>
    <t>LABORATORIO PHYTOCHEMIE CIA.LTDA.</t>
  </si>
  <si>
    <t>LIZARAZU</t>
  </si>
  <si>
    <t>N26-71</t>
  </si>
  <si>
    <t>LUIS MENA</t>
  </si>
  <si>
    <t>023211395</t>
  </si>
  <si>
    <t>BEATRIZ REASCOS</t>
  </si>
  <si>
    <t>PHYTOPHARMA CIA. LTDA.</t>
  </si>
  <si>
    <t>OE8-669</t>
  </si>
  <si>
    <t>DE LAS AMAPOLAS</t>
  </si>
  <si>
    <t>PHYTOPHARMA</t>
  </si>
  <si>
    <t>FRENTE AL CONJUNTO LA MARCA</t>
  </si>
  <si>
    <t>022397700</t>
  </si>
  <si>
    <t>VINCES CHUQUIMARCA SEGUNDO MOISES</t>
  </si>
  <si>
    <t>VALENZUELA ITURRALDE RENATA JAEL</t>
  </si>
  <si>
    <t>GRUPO HORMIGONERAS JCV</t>
  </si>
  <si>
    <t>CASITAGUA</t>
  </si>
  <si>
    <t>OE1-201</t>
  </si>
  <si>
    <t>SEÑOR DEL ARBOL</t>
  </si>
  <si>
    <t>A DOS CUADRAS DEL COLEGIO POMASQUI</t>
  </si>
  <si>
    <t>FABRI CABLES S. A.</t>
  </si>
  <si>
    <t>FABRI-CABLES S A</t>
  </si>
  <si>
    <t>E2-116</t>
  </si>
  <si>
    <t>ALONSO DONOSO</t>
  </si>
  <si>
    <t>JUNTO A SUPERMERCADO MAGDA</t>
  </si>
  <si>
    <t>022419747</t>
  </si>
  <si>
    <t>ROBERTH CARDENAS</t>
  </si>
  <si>
    <t>AGROPLASTICOS CIA LTDA</t>
  </si>
  <si>
    <t>AGROPLASTICOS</t>
  </si>
  <si>
    <t>AV. MANUEL CORDOVA GALARZA,</t>
  </si>
  <si>
    <t>OE5-116</t>
  </si>
  <si>
    <t>EL VERGEL</t>
  </si>
  <si>
    <t>JUNTO A GASOLINERA MAS GAS</t>
  </si>
  <si>
    <t>023430655</t>
  </si>
  <si>
    <t>CARMITA CECIBEL ARMIJOS  CARRANCO</t>
  </si>
  <si>
    <t>CHAMPION TECHNOLOGIES DEL ECUADOR CIA. LTDA. CHAMPIONTECH</t>
  </si>
  <si>
    <t>CHAMPION TECHNOLOGIES DEL ECUADOR S.A.</t>
  </si>
  <si>
    <t>SEBASTIAN MORENO</t>
  </si>
  <si>
    <t>OE1-195</t>
  </si>
  <si>
    <t>DIAGONAL A REPUESTOS GM</t>
  </si>
  <si>
    <t>022477528</t>
  </si>
  <si>
    <t>BYRON AYALA</t>
  </si>
  <si>
    <t>LABORATORIOS BIOGENET SCC</t>
  </si>
  <si>
    <t>ACEITUNAS</t>
  </si>
  <si>
    <t>E5162</t>
  </si>
  <si>
    <t>JUNTO A LA EMPRESA TELCONET, BARRIO: ANANSAYAS</t>
  </si>
  <si>
    <t>CARRION ALVARADO GUIDO ROBERTO</t>
  </si>
  <si>
    <t>LAVIC CIA. LTDA.</t>
  </si>
  <si>
    <t>OE3D</t>
  </si>
  <si>
    <t>S36-401</t>
  </si>
  <si>
    <t>S37C</t>
  </si>
  <si>
    <t>A DOS CUADRAS DE LAS CANCHAS DE VOLLEY TERRANOVA, BARRIO: TERRANOVA</t>
  </si>
  <si>
    <t>ESCUDERO VALLEJO KARLA YESSENIA</t>
  </si>
  <si>
    <t>EMPROFRUT EMPRESA PROCESADORA DE FRUTAS S.A.</t>
  </si>
  <si>
    <t>C106113</t>
  </si>
  <si>
    <t>DE LOS COPALES</t>
  </si>
  <si>
    <t>OE1-245</t>
  </si>
  <si>
    <t>CALLE SUCRE</t>
  </si>
  <si>
    <t>COOP. LA FLORESTA</t>
  </si>
  <si>
    <t>LA COCHA</t>
  </si>
  <si>
    <t>LAS RETAMAS</t>
  </si>
  <si>
    <t>41</t>
  </si>
  <si>
    <t>UNA CUADRA PASANDO LOS TANQUES DE LA EMAP DE ENTRADA A LAS RETAMAS DESDE ALANGASI VIA E35</t>
  </si>
  <si>
    <t>022410760</t>
  </si>
  <si>
    <t>FUENTES CEVALLOS ANDRES EDUARDO</t>
  </si>
  <si>
    <t>21499.06.05.01</t>
  </si>
  <si>
    <t>1.52</t>
  </si>
  <si>
    <t>PULPA DE FRUTAS</t>
  </si>
  <si>
    <t>2.30</t>
  </si>
  <si>
    <t>2.02</t>
  </si>
  <si>
    <t>1.73</t>
  </si>
  <si>
    <t>CANDYMELOWS CANDYSA S A</t>
  </si>
  <si>
    <t>AV. SHIRYS</t>
  </si>
  <si>
    <t>LT 9-2</t>
  </si>
  <si>
    <t>PSJE. S/N</t>
  </si>
  <si>
    <t>JUNTO A LA GASOLINERA EL OSO, VÍA AMAGUAÑA, VÍA AMAGUAÑA, VÍA AMAGUAÑA</t>
  </si>
  <si>
    <t>CHICAIZA COLA FANNY DE LOS ANGELES</t>
  </si>
  <si>
    <t>CROINFI CIA. LTDA.</t>
  </si>
  <si>
    <t>CROINFI CIA LTDA</t>
  </si>
  <si>
    <t>CARLOS BRITO</t>
  </si>
  <si>
    <t>1020</t>
  </si>
  <si>
    <t>CAYAMBE</t>
  </si>
  <si>
    <t>022404159</t>
  </si>
  <si>
    <t>JACOME PITA SANTIAGO EFREN</t>
  </si>
  <si>
    <t>23995.01.13.01</t>
  </si>
  <si>
    <t>SALSA DE AJÍ</t>
  </si>
  <si>
    <t>0.35</t>
  </si>
  <si>
    <t>SALSA DE SOYA</t>
  </si>
  <si>
    <t>0.30</t>
  </si>
  <si>
    <t>SOCIEDAD CIVIL Y COMERCIAL TEXTIL PADILLA E HIJOS</t>
  </si>
  <si>
    <t>S-216</t>
  </si>
  <si>
    <t>AV.ARGENTINA</t>
  </si>
  <si>
    <t>SAN CARLOS</t>
  </si>
  <si>
    <t>AD OS CUADRAS DEL CENTRO DE REPOSO SAN JUAN DE DIOS</t>
  </si>
  <si>
    <t>022864649</t>
  </si>
  <si>
    <t>TELA DE PUNTO POLIESTER</t>
  </si>
  <si>
    <t>6.93</t>
  </si>
  <si>
    <t>ASOCIACION EN CUENTAS DE PARTICIPACION FIBRAS QUITO</t>
  </si>
  <si>
    <t>S25B</t>
  </si>
  <si>
    <t>OE5-61</t>
  </si>
  <si>
    <t>CARDENAL DE LA TORRE</t>
  </si>
  <si>
    <t>JUNTO AL PARQUE LINEAL SOLANDA</t>
  </si>
  <si>
    <t>022683192</t>
  </si>
  <si>
    <t>TOVAR HERRERA DAYANA ALEJANDRA</t>
  </si>
  <si>
    <t>COBIJA DE POLIESTER</t>
  </si>
  <si>
    <t>SERVICIOS DE TRABAJOS INDUSTRIALES SERTRAIN S.A.S.</t>
  </si>
  <si>
    <t>CALLE QUIMIAC</t>
  </si>
  <si>
    <t>CALLE GONZOL</t>
  </si>
  <si>
    <t>024524876</t>
  </si>
  <si>
    <t>UQUILLAS NIETO MARCO IVAN</t>
  </si>
  <si>
    <t>FADECROM</t>
  </si>
  <si>
    <t>S48-102</t>
  </si>
  <si>
    <t>FENICIO ANGULO</t>
  </si>
  <si>
    <t>022691641</t>
  </si>
  <si>
    <t>MARCIA CECILIA FUSTILLOS JIMENEZ</t>
  </si>
  <si>
    <t>38140.02.01.01</t>
  </si>
  <si>
    <t>CAMA DE MADERA</t>
  </si>
  <si>
    <t>72.25</t>
  </si>
  <si>
    <t>SIMBAÑA USHIÑA MANUEL ARTURO</t>
  </si>
  <si>
    <t>PEDRO PINTO</t>
  </si>
  <si>
    <t>S6-131</t>
  </si>
  <si>
    <t>LAS PRINCESAS</t>
  </si>
  <si>
    <t>A TRES CUADRAS DE LAS PASTEURIZADORA QUITO</t>
  </si>
  <si>
    <t>VASCONEZ SANCHEZ SANTIAGO ANIBAL</t>
  </si>
  <si>
    <t>8</t>
  </si>
  <si>
    <t>LOTE L</t>
  </si>
  <si>
    <t>PARQUE INDUSTRIAL</t>
  </si>
  <si>
    <t>JUNTO A LAS BODEGAS DE FAMILIA SANCELA</t>
  </si>
  <si>
    <t>022695056</t>
  </si>
  <si>
    <t>FSYT&amp;AUDIT CIA LTDA</t>
  </si>
  <si>
    <t>INDUSTRIAS SISAILLA DEL ECUADOR SISAILLA CIA.LTDA.</t>
  </si>
  <si>
    <t>SISAILLA</t>
  </si>
  <si>
    <t>CALLE RIO FRIO</t>
  </si>
  <si>
    <t>EDF. 967</t>
  </si>
  <si>
    <t>CALLE ALTAR</t>
  </si>
  <si>
    <t>BARRIO SANTA ROSA</t>
  </si>
  <si>
    <t>022336093</t>
  </si>
  <si>
    <t>MEZA BUELE REINALDO NAPOLEON</t>
  </si>
  <si>
    <t>35331.00.03.01</t>
  </si>
  <si>
    <t>DESODORANTE AMBIENTAL</t>
  </si>
  <si>
    <t>CLORO LIQUIDO</t>
  </si>
  <si>
    <t>DETERGENTE DE ROPA</t>
  </si>
  <si>
    <t>EDETER PININA C.L.</t>
  </si>
  <si>
    <t>LA ARGELIA</t>
  </si>
  <si>
    <t>TRAS EL CUARTEL EPICLACHIMA</t>
  </si>
  <si>
    <t>022678683</t>
  </si>
  <si>
    <t>INGENIERIA Y MEZCLA IMEZCLA CIA. LTDA.</t>
  </si>
  <si>
    <t>HORMIGONERA METRHORM</t>
  </si>
  <si>
    <t>EDF. S62-59</t>
  </si>
  <si>
    <t>PSJE. F</t>
  </si>
  <si>
    <t>FRENTE A LA FERRETERÍA PALACIOS</t>
  </si>
  <si>
    <t>022699719</t>
  </si>
  <si>
    <t>SANDRA ALMENDARIS</t>
  </si>
  <si>
    <t>HORMIGÓN PRÉ-MEZCLADO</t>
  </si>
  <si>
    <t>81.9</t>
  </si>
  <si>
    <t>ROSALES YELA ALIRIO</t>
  </si>
  <si>
    <t>INDARLO</t>
  </si>
  <si>
    <t>E1C</t>
  </si>
  <si>
    <t>S49-187</t>
  </si>
  <si>
    <t>S49B</t>
  </si>
  <si>
    <t>026901780</t>
  </si>
  <si>
    <t>ALICIA ALEXANDRA YEPEZ CASTILLO</t>
  </si>
  <si>
    <t>SEGURA TOAPANTA OTTO SEBASTIAN</t>
  </si>
  <si>
    <t>AV. EL SOL</t>
  </si>
  <si>
    <t>OE13-32</t>
  </si>
  <si>
    <t>MERCURIO</t>
  </si>
  <si>
    <t>A TRES CUADRAS DEL BALNEARIO EL TINGO</t>
  </si>
  <si>
    <t>022861076</t>
  </si>
  <si>
    <t>ESTRELLA ESTRELLA ERIKA ALEXANDRA</t>
  </si>
  <si>
    <t>SANCHEZ DEFAZ LUIS FERNANDO</t>
  </si>
  <si>
    <t>CALLE 5</t>
  </si>
  <si>
    <t>LOTE 185</t>
  </si>
  <si>
    <t>SUSANA LETOR</t>
  </si>
  <si>
    <t>FRENTE DE LA DISTRIBUIDORA DE LECHE TANILAC</t>
  </si>
  <si>
    <t>MEDINA TAPIA GENARO OSWALDO</t>
  </si>
  <si>
    <t>INDUSTRIAS PERLA FOODS INPERFOODS CIA. LTDA.</t>
  </si>
  <si>
    <t>AV. DE LOS SHIRYS</t>
  </si>
  <si>
    <t>VILLA 1</t>
  </si>
  <si>
    <t>VÍA AMAGUAÑA</t>
  </si>
  <si>
    <t>INDUSTRIAS PERLA FOODS</t>
  </si>
  <si>
    <t>JUNTO A ESTACIÓN DE SERVICIO "EL OSO" LOTE 9</t>
  </si>
  <si>
    <t>022094010</t>
  </si>
  <si>
    <t>FANNY DE LOS ANGELES CHICAIZA COLA</t>
  </si>
  <si>
    <t>BONAMADERA CIA. LTDA.</t>
  </si>
  <si>
    <t>AV. MARISCAL SUCRE</t>
  </si>
  <si>
    <t>S22-48</t>
  </si>
  <si>
    <t>LAS PAMPAS</t>
  </si>
  <si>
    <t>FRENTE A LA COOP DAQUILEMA</t>
  </si>
  <si>
    <t>0983386626</t>
  </si>
  <si>
    <t>LOZA DELGADO LILIANA MARITZA</t>
  </si>
  <si>
    <t>INJECTPLAST S.A.</t>
  </si>
  <si>
    <t>PANAMERICANA SUR</t>
  </si>
  <si>
    <t>LOTE 20</t>
  </si>
  <si>
    <t>ENTRADA A TAHUACHI</t>
  </si>
  <si>
    <t>FRENTE A LA PLANTA INDUSTRIAL EL ORDEÑO</t>
  </si>
  <si>
    <t>023824230</t>
  </si>
  <si>
    <t>CHANGOLUISA GUALLICHICO CRISTHIAN DIONICIO</t>
  </si>
  <si>
    <t>PLASTIAZUL CIA LTDA</t>
  </si>
  <si>
    <t>VIA CONDE JTO MAPRES</t>
  </si>
  <si>
    <t>LINEA FERRIA</t>
  </si>
  <si>
    <t>ANIN</t>
  </si>
  <si>
    <t>FRENTE A LAS CANCHAS LIGA PANAMERICANA SUR</t>
  </si>
  <si>
    <t>022694239</t>
  </si>
  <si>
    <t>MARCO DIAZ</t>
  </si>
  <si>
    <t>36990.00.02.01</t>
  </si>
  <si>
    <t>CARPETA PLÁSTICA/FORROS PLASTICOS</t>
  </si>
  <si>
    <t>55.5</t>
  </si>
  <si>
    <t>32700.00.12.01</t>
  </si>
  <si>
    <t>CARPETAS DE CARTÓN</t>
  </si>
  <si>
    <t>ECUATORIANA DE ARTEFACTOS S.A. ECASA</t>
  </si>
  <si>
    <t>ECASA</t>
  </si>
  <si>
    <t>10-343</t>
  </si>
  <si>
    <t>FRENTE A PINTURAS EL CONDOR</t>
  </si>
  <si>
    <t>072807390</t>
  </si>
  <si>
    <t>FRANCISCO RODRIGUEZ MORA</t>
  </si>
  <si>
    <t>INDUSTRIAS BORJA VELA ASOCIADOS CIA. LTDA.</t>
  </si>
  <si>
    <t>INDUSTRIAS BORJA VELA ASOCIADOS CIA LTDA</t>
  </si>
  <si>
    <t>SL. 9</t>
  </si>
  <si>
    <t>SECTOR INDUSTRIAL DE SANGOLQUI</t>
  </si>
  <si>
    <t>A LADO DE LA EMPRESA DE RECICLAJE INTERCIA</t>
  </si>
  <si>
    <t>022093699</t>
  </si>
  <si>
    <t>ELENA ISABEL FLORES GUEVARA</t>
  </si>
  <si>
    <t>TEXTILES DEL VALLE SA TEXVALLE</t>
  </si>
  <si>
    <t>TEXVALLE</t>
  </si>
  <si>
    <t>AUTOP. VIA A AMAGUAÑA</t>
  </si>
  <si>
    <t>SAMBORONDON</t>
  </si>
  <si>
    <t>3,5</t>
  </si>
  <si>
    <t>UNA CUADRA DE LA GASOLINERA EL OSO</t>
  </si>
  <si>
    <t>023941200</t>
  </si>
  <si>
    <t>MANUEL CHUICO</t>
  </si>
  <si>
    <t>JARAVITEX CIA LTDA</t>
  </si>
  <si>
    <t>GLP 6</t>
  </si>
  <si>
    <t>LOTE 3</t>
  </si>
  <si>
    <t>JUNTO A ACEROCENTER LA JUGOSA</t>
  </si>
  <si>
    <t>022090511</t>
  </si>
  <si>
    <t>VERONICA PAREDES</t>
  </si>
  <si>
    <t>PINTURAS PRODUTEKN CIA. LTDA.</t>
  </si>
  <si>
    <t>AV. TURUBAMBA</t>
  </si>
  <si>
    <t>EN EL PARQUE INDUSTRIAL DEL SUR FRENTE A BODEGAS SANTA LUCIA</t>
  </si>
  <si>
    <t>KATIA MOPOSITA</t>
  </si>
  <si>
    <t>PMEC INGENIERIA Y CONSTRUCCION METALMECANICA ECUATORIANA S.A.</t>
  </si>
  <si>
    <t>PMEC SA</t>
  </si>
  <si>
    <t>LAS MAGNOLIAS</t>
  </si>
  <si>
    <t>BARRIO CUENDINA</t>
  </si>
  <si>
    <t>ATRAS DEL PARADERO LOS 3 GUABOS</t>
  </si>
  <si>
    <t>022480976</t>
  </si>
  <si>
    <t>VILLAMARIN PAVON OSWALDO VINICIO</t>
  </si>
  <si>
    <t>CARLITA SNACKS CARLISNACKS S.A.S.</t>
  </si>
  <si>
    <t>CARLISNACKS CIA LTDA</t>
  </si>
  <si>
    <t>DE LAS ALONDRAS</t>
  </si>
  <si>
    <t>OE12-169</t>
  </si>
  <si>
    <t>MIRASIERRA</t>
  </si>
  <si>
    <t>EL TINGO</t>
  </si>
  <si>
    <t>A LADO DE LA EMPRESA ECUAQUIMICA</t>
  </si>
  <si>
    <t>023809070</t>
  </si>
  <si>
    <t>MAYRA MAZA</t>
  </si>
  <si>
    <t>CONFECCIONES JUVENILES CONFEJSA SOCIEDAD ANONIMA</t>
  </si>
  <si>
    <t>TEXTILES RECALEX</t>
  </si>
  <si>
    <t>SAMBORONDÓN</t>
  </si>
  <si>
    <t>JUNTO A GASOLINERA EL OSO</t>
  </si>
  <si>
    <t>SEDEMI SOLUCIONES PARA PROYECTOS DE INFRAESTRUCTURA SEDEMI-SOLUTIONS S.A.</t>
  </si>
  <si>
    <t>SEDEMI</t>
  </si>
  <si>
    <t>PINTOYACU</t>
  </si>
  <si>
    <t>DIAGONAL NORTE A LA EMPRESA DE GRIFERÍA FV (FRANZ VIEGENER)</t>
  </si>
  <si>
    <t>022093922</t>
  </si>
  <si>
    <t>ANDRES MARTINEZ</t>
  </si>
  <si>
    <t>ABSORPELSA PAPELES ABSORVENTES S.A.</t>
  </si>
  <si>
    <t>ABSORPELSA</t>
  </si>
  <si>
    <t>S26-183</t>
  </si>
  <si>
    <t>21 DE AGOSTO</t>
  </si>
  <si>
    <t>LUCHA DE LOS POBRES</t>
  </si>
  <si>
    <t>TRAS LA FABRICA INCASA</t>
  </si>
  <si>
    <t>022671900</t>
  </si>
  <si>
    <t>DIEGO OCAMPO</t>
  </si>
  <si>
    <t>ADHINFLEX S.A.</t>
  </si>
  <si>
    <t>ADHINFLEX SA</t>
  </si>
  <si>
    <t>AV. RÍO AMAZONAS</t>
  </si>
  <si>
    <t>911</t>
  </si>
  <si>
    <t>RÍO SANTIAGO</t>
  </si>
  <si>
    <t>EL COLEGIO</t>
  </si>
  <si>
    <t>DOS CUADRAS AL NOROESTE DE LA IGLESIA CATOLICA SAN GABRIEL DE LOS CHILLOS</t>
  </si>
  <si>
    <t>022861668</t>
  </si>
  <si>
    <t>VERONICA LLUMIQUINGA</t>
  </si>
  <si>
    <t>DURALLANTA S.A.</t>
  </si>
  <si>
    <t>DURALLANTA SA</t>
  </si>
  <si>
    <t>CALLE E 1E</t>
  </si>
  <si>
    <t>S43-41</t>
  </si>
  <si>
    <t>EL BLANQUEADO</t>
  </si>
  <si>
    <t>ATRAS DEL SANTA MARIA GUAMANI</t>
  </si>
  <si>
    <t>2691130</t>
  </si>
  <si>
    <t>OSWALDO SANTAMARÍA</t>
  </si>
  <si>
    <t>ESPAGROTEC ESPECIALIDADES AGRICOLAS CIA. LTDA.</t>
  </si>
  <si>
    <t>ESPAGROTEC</t>
  </si>
  <si>
    <t>LOTE 8</t>
  </si>
  <si>
    <t>CONJUNTO INDUSTRIAL TAITA PEDRO</t>
  </si>
  <si>
    <t>ESPAGROPTEC</t>
  </si>
  <si>
    <t>COTOGCHOA</t>
  </si>
  <si>
    <t>UNA CUADRA AL NOROESTE DEL CENTRO DE REVISION VEHICULAR DE RUMIÑAHUI</t>
  </si>
  <si>
    <t>022082068</t>
  </si>
  <si>
    <t>JANETT MONTERO</t>
  </si>
  <si>
    <t>1890109183001</t>
  </si>
  <si>
    <t>PLANTA HORTIFRUTICOLA AMBATO COMPANIA ANONIMA PLANHOFA C.A.</t>
  </si>
  <si>
    <t>PLANHOFA CA</t>
  </si>
  <si>
    <t>AV. EL CONDOR</t>
  </si>
  <si>
    <t>AV. BOLIVARIANA</t>
  </si>
  <si>
    <t>MERCADO MAYORISTA</t>
  </si>
  <si>
    <t>ALADO DEL GRAN AKI JUNTO AL MERCADO MAYORISTA</t>
  </si>
  <si>
    <t>032408047</t>
  </si>
  <si>
    <t>PATRICIA GAVILANEZ</t>
  </si>
  <si>
    <t>30158</t>
  </si>
  <si>
    <t>24410.00.01.01</t>
  </si>
  <si>
    <t>AGUA NATURAL</t>
  </si>
  <si>
    <t>21494.01.01.01</t>
  </si>
  <si>
    <t>MERMELADA DE PIÑA</t>
  </si>
  <si>
    <t>0590045594001</t>
  </si>
  <si>
    <t>MOLINOS OROBLANCO CIA. LTDA.</t>
  </si>
  <si>
    <t>05</t>
  </si>
  <si>
    <t>GENERAL VICTOR PROAÑO</t>
  </si>
  <si>
    <t>28-3222</t>
  </si>
  <si>
    <t>LA PINTA</t>
  </si>
  <si>
    <t>A UNA CUADRA DEL CUARTEL DE POLICIA</t>
  </si>
  <si>
    <t>032813074</t>
  </si>
  <si>
    <t>SORAYA PEÑAHERRERA</t>
  </si>
  <si>
    <t>30066</t>
  </si>
  <si>
    <t>23110.00.02.01</t>
  </si>
  <si>
    <t>HARINA DE TRIGO</t>
  </si>
  <si>
    <t>1890109795001</t>
  </si>
  <si>
    <t>ORGANIZACION COMERCIAL E INDUSTRIAL DONGUIDO S. A.</t>
  </si>
  <si>
    <t>RAFAEL DARQUEA</t>
  </si>
  <si>
    <t>AUGUSTO NARANJO</t>
  </si>
  <si>
    <t>ATRAS DEL COLEGIO GALO MIÑO</t>
  </si>
  <si>
    <t>032527852</t>
  </si>
  <si>
    <t>VERÓNICA SANCHEZ</t>
  </si>
  <si>
    <t>30392</t>
  </si>
  <si>
    <t>24131.02.01.01</t>
  </si>
  <si>
    <t>WHISKY</t>
  </si>
  <si>
    <t>1691720558001</t>
  </si>
  <si>
    <t>ASOCIACION DE PRODUCCION TEXTIL INDIGENAS DE PASTAZA ASOTEXINPAS</t>
  </si>
  <si>
    <t>16</t>
  </si>
  <si>
    <t>LAS BUGAMBILLAS</t>
  </si>
  <si>
    <t>SIN NUMERO</t>
  </si>
  <si>
    <t>LOS ANDURIOS</t>
  </si>
  <si>
    <t>JUNTO A LA CARPINTERIA</t>
  </si>
  <si>
    <t>28221.03.02.01</t>
  </si>
  <si>
    <t>CONJUNTO PARA HOMBRE</t>
  </si>
  <si>
    <t>28233.02.05.01</t>
  </si>
  <si>
    <t>CONJUNTO PARA MUJER SINTETICO(CPC 28233.02.06.01 )</t>
  </si>
  <si>
    <t>28224.01.02.01</t>
  </si>
  <si>
    <t>CAMISETA DE  MUJER POLIESTER</t>
  </si>
  <si>
    <t>1802205250001</t>
  </si>
  <si>
    <t>LARA LARA MARIO OSWALDO</t>
  </si>
  <si>
    <t>DCHRISTIAN MARYURI</t>
  </si>
  <si>
    <t>CALLE SN</t>
  </si>
  <si>
    <t>BERNARDINO ECHEVERRIA</t>
  </si>
  <si>
    <t>SAN JOSE</t>
  </si>
  <si>
    <t>JUNTO A ECUAMATRIZ</t>
  </si>
  <si>
    <t>033700450</t>
  </si>
  <si>
    <t>JORGE AUCANSHALA</t>
  </si>
  <si>
    <t>30428</t>
  </si>
  <si>
    <t>28225.01.02.01</t>
  </si>
  <si>
    <t>BIVIDÍ</t>
  </si>
  <si>
    <t>28234.01.99.01</t>
  </si>
  <si>
    <t>BLUSA PARA MUJER</t>
  </si>
  <si>
    <t>28222.01.02.01</t>
  </si>
  <si>
    <t>CAMISETA DEPORTIVA DE HOMBRE</t>
  </si>
  <si>
    <t>28225.01.01.01</t>
  </si>
  <si>
    <t>CAMISETA DE HOMBRE DE ALGODÓN</t>
  </si>
  <si>
    <t>1802835221001</t>
  </si>
  <si>
    <t>CASTILLO VINUEZA GLADYS ROCIO</t>
  </si>
  <si>
    <t>CALLE ENRIQUE ALBORNOZ</t>
  </si>
  <si>
    <t>CALLE PABLO ARTURO SUAREZ</t>
  </si>
  <si>
    <t>CACHAPAMBA</t>
  </si>
  <si>
    <t>JUNTO A RESTAUTANTE SU CASA</t>
  </si>
  <si>
    <t>28222.03.01.01</t>
  </si>
  <si>
    <t>CALZONCILLO PARA HOMBRE ALGODÓN</t>
  </si>
  <si>
    <t>1800401166001</t>
  </si>
  <si>
    <t>BUENAÑO LLERENA CESAR HUMBERTO</t>
  </si>
  <si>
    <t>TEXTIDOR</t>
  </si>
  <si>
    <t>CALLE SEGUNDO GRANJA</t>
  </si>
  <si>
    <t>CASA 45</t>
  </si>
  <si>
    <t>CALLE RIO COSANGA</t>
  </si>
  <si>
    <t>HUACHI CHICO</t>
  </si>
  <si>
    <t>JUNTO AL COLEGIO FRANCISCO FLOR</t>
  </si>
  <si>
    <t>032406035</t>
  </si>
  <si>
    <t>SONIA JIMENA BUENAÑO PROAÑO</t>
  </si>
  <si>
    <t>1801405968001</t>
  </si>
  <si>
    <t>HIDALGO POVEDA GUILLERMO FABIAN</t>
  </si>
  <si>
    <t>CURTIDURIA HIDALGO</t>
  </si>
  <si>
    <t>C151101</t>
  </si>
  <si>
    <t>AUGUSTO SALAZAR</t>
  </si>
  <si>
    <t>FRANCISCO BECERRA</t>
  </si>
  <si>
    <t>PISQUE BAJO</t>
  </si>
  <si>
    <t>A 200METROS DE LA GASOLINERA EL COLOMBIANO</t>
  </si>
  <si>
    <t>032854999</t>
  </si>
  <si>
    <t>MARIA GABRIELA HIDALGO RUIZ</t>
  </si>
  <si>
    <t>30397</t>
  </si>
  <si>
    <t>29120.02.02.01</t>
  </si>
  <si>
    <t>CUERO DIVIDIDO</t>
  </si>
  <si>
    <t>1891745318001</t>
  </si>
  <si>
    <t>TENERIA DIAZ COMPAÑIA LIMITADA</t>
  </si>
  <si>
    <t>TENERIA DIAZ CIA LTDA</t>
  </si>
  <si>
    <t>ENTRADA A MACASTO</t>
  </si>
  <si>
    <t>KM. 7/5</t>
  </si>
  <si>
    <t>DIAGONAL A FABRICA ESPECTRUMBRAN</t>
  </si>
  <si>
    <t>032436443</t>
  </si>
  <si>
    <t>MONICA QUINATOA</t>
  </si>
  <si>
    <t>30256</t>
  </si>
  <si>
    <t>21151.00.99.01</t>
  </si>
  <si>
    <t>CARNAZA</t>
  </si>
  <si>
    <t>0600098560001</t>
  </si>
  <si>
    <t>BOSMEDIANO BONIFAZ CRISTOBAL HUMBERTO</t>
  </si>
  <si>
    <t>CRIBOS IND</t>
  </si>
  <si>
    <t>BOLIVAR BONILLA</t>
  </si>
  <si>
    <t>4-5</t>
  </si>
  <si>
    <t>BARRIO PARQUE INDUSTRIAL MANZANA H, JUNTO A AGRIPAC</t>
  </si>
  <si>
    <t>032378740</t>
  </si>
  <si>
    <t>BOSMEDIANO BONIFAZ CRISTOBAL HUMBER</t>
  </si>
  <si>
    <t>1891727395001</t>
  </si>
  <si>
    <t>INDIQUIMICA S.A.</t>
  </si>
  <si>
    <t>GONZALEZ SUAREZ</t>
  </si>
  <si>
    <t>032755074</t>
  </si>
  <si>
    <t>LIGIA ULLOA</t>
  </si>
  <si>
    <t>30154</t>
  </si>
  <si>
    <t>JABÓN LÍQUIDO</t>
  </si>
  <si>
    <t>SUAVIZANTE DE ROPA</t>
  </si>
  <si>
    <t>1891707947001</t>
  </si>
  <si>
    <t>PLASTISEL</t>
  </si>
  <si>
    <t>LOTE 111A</t>
  </si>
  <si>
    <t>032434118</t>
  </si>
  <si>
    <t>NUÑEZ LAMIÑA MYRIAM MARIBEL</t>
  </si>
  <si>
    <t>36490.00.05.01</t>
  </si>
  <si>
    <t>TAPAS PLÁSTICAS</t>
  </si>
  <si>
    <t>0603224148001</t>
  </si>
  <si>
    <t>QUISNIA TIERRA KLEVER ALFREDO</t>
  </si>
  <si>
    <t>VÍA A LA LAGUNA</t>
  </si>
  <si>
    <t>148</t>
  </si>
  <si>
    <t>BARRIO JESUS DEL GRAN PODER</t>
  </si>
  <si>
    <t>A DOSCIENTOS METROS DE LA CANCHA</t>
  </si>
  <si>
    <t>032221166</t>
  </si>
  <si>
    <t>NELLY AUQUILLAS</t>
  </si>
  <si>
    <t>CABOS SINTÉTICOS</t>
  </si>
  <si>
    <t>36320.02.02.01</t>
  </si>
  <si>
    <t>TUBO DE ALCANTARILLADO</t>
  </si>
  <si>
    <t>1802038594001</t>
  </si>
  <si>
    <t>SANCHEZ ALDAS MIRIAM NARCISA DEL ROCIO</t>
  </si>
  <si>
    <t>PRISMA CRISTAL</t>
  </si>
  <si>
    <t>CALLE FEBRES CORDERO</t>
  </si>
  <si>
    <t>CASA 03-132</t>
  </si>
  <si>
    <t>CALLE TRES CARAVELAS</t>
  </si>
  <si>
    <t>JARDIN COLONIAL</t>
  </si>
  <si>
    <t>ATRAS DE LA PISTA ATLETICA</t>
  </si>
  <si>
    <t>032408987</t>
  </si>
  <si>
    <t>PATRCIA ELIZABETH LLERENA VITERI</t>
  </si>
  <si>
    <t>37114.00.99.01</t>
  </si>
  <si>
    <t>VIDRIO LAMINADO</t>
  </si>
  <si>
    <t>1716343544001</t>
  </si>
  <si>
    <t>GUANOPATIN CHILUISA SILVIA VERONICA</t>
  </si>
  <si>
    <t>HORMIDECOR</t>
  </si>
  <si>
    <t>SAN ISIDRO</t>
  </si>
  <si>
    <t>FRENTE A LA PLAZA ELOY ALFARO</t>
  </si>
  <si>
    <t>SILVIA GUANOPATIN</t>
  </si>
  <si>
    <t>30201</t>
  </si>
  <si>
    <t>37690.00.01.01</t>
  </si>
  <si>
    <t>ADOQUINES</t>
  </si>
  <si>
    <t>37540.00.07.01</t>
  </si>
  <si>
    <t>TUBOS DE HORMIGÓN</t>
  </si>
  <si>
    <t>37540.00.05.01</t>
  </si>
  <si>
    <t>PILOTES DE HORMIGÓN</t>
  </si>
  <si>
    <t>0992668008001</t>
  </si>
  <si>
    <t>ECUHOUSE S.A.</t>
  </si>
  <si>
    <t>PANAMERICANA NORTE KM 4 VIA LATACUNGA A QUITO</t>
  </si>
  <si>
    <t>EN EL PARQUE INDUSTRIAL, ATRÁS DE LA GASOLINERA ALBAN</t>
  </si>
  <si>
    <t>GUTIÉRREZ MARTÍNEZ YISENIA KATHERIN</t>
  </si>
  <si>
    <t>30095</t>
  </si>
  <si>
    <t>42190.02.01.01</t>
  </si>
  <si>
    <t>PASAMANOS DE ACERO</t>
  </si>
  <si>
    <t>0600588594001</t>
  </si>
  <si>
    <t>VACA SUAREZ ELIZABETH DEL ROSARIO</t>
  </si>
  <si>
    <t>HORNOS ANDINO-ANDIFIBRAS</t>
  </si>
  <si>
    <t>LIZARZABURU(PANAMERICANA NORTE)</t>
  </si>
  <si>
    <t>AV. SULTANA DE LOS ANDES</t>
  </si>
  <si>
    <t>LOS ALAMOS</t>
  </si>
  <si>
    <t>JUNTO AL AKI</t>
  </si>
  <si>
    <t>032604604</t>
  </si>
  <si>
    <t>HEREDIA VELOZ JULIA EDITH</t>
  </si>
  <si>
    <t>30362</t>
  </si>
  <si>
    <t>1802732733001</t>
  </si>
  <si>
    <t>CASTRO NARVAEZ NATALIA DEL LOURDES</t>
  </si>
  <si>
    <t>TIERRA LINDA</t>
  </si>
  <si>
    <t>AV. LAS MANZANAS</t>
  </si>
  <si>
    <t>CALLE MIRABELES</t>
  </si>
  <si>
    <t>LAS FRUTALES</t>
  </si>
  <si>
    <t>A UNA CUADRA DEL CENTRO EDUCATIVO JORGE ALVAREZ</t>
  </si>
  <si>
    <t>032874118</t>
  </si>
  <si>
    <t>ALEXANDRA MARIBAL TENELEMA ASES</t>
  </si>
  <si>
    <t>30002</t>
  </si>
  <si>
    <t>1891783554001</t>
  </si>
  <si>
    <t>INDUSTRIAL WOOM S.A.</t>
  </si>
  <si>
    <t>LAS NUECES</t>
  </si>
  <si>
    <t>1-22</t>
  </si>
  <si>
    <t>LOS TAXOS</t>
  </si>
  <si>
    <t>A UNA CUADRA DE LA QUINTA LOREN</t>
  </si>
  <si>
    <t>032753023</t>
  </si>
  <si>
    <t>LOGROÑO RIOFRIO LILIAN DOLORES</t>
  </si>
  <si>
    <t>30415</t>
  </si>
  <si>
    <t>24490.00.01.01</t>
  </si>
  <si>
    <t>GASEOSA</t>
  </si>
  <si>
    <t>1890153654001</t>
  </si>
  <si>
    <t>ELPERAL CIA. LTDA.</t>
  </si>
  <si>
    <t>ELPERAL CIA. LTDA</t>
  </si>
  <si>
    <t>EDF. 33-E</t>
  </si>
  <si>
    <t>CALLE 8</t>
  </si>
  <si>
    <t>EL PERAL</t>
  </si>
  <si>
    <t>A UNA CUADRA DE LA CONTADURIA TUNGURAHUA</t>
  </si>
  <si>
    <t>032434148</t>
  </si>
  <si>
    <t xml:space="preserve">DOC KARINA BARRIGAS </t>
  </si>
  <si>
    <t>HILO DE POLIÉSTER PARA TELA</t>
  </si>
  <si>
    <t>1891732070001</t>
  </si>
  <si>
    <t>TEXTIL SANTA ROSA TEXSARO C.A.</t>
  </si>
  <si>
    <t>TEXTIL SANTA ROSA</t>
  </si>
  <si>
    <t>GONZALES SUAREZ</t>
  </si>
  <si>
    <t>SECTOR CHILCALOMA</t>
  </si>
  <si>
    <t>A CIEN METROS DE TEIMSA</t>
  </si>
  <si>
    <t>032754895</t>
  </si>
  <si>
    <t>NARANJO LALAMA LUIS FERNANDO</t>
  </si>
  <si>
    <t>TOALLAS DE BAÑO DE ALGODÓN</t>
  </si>
  <si>
    <t>1801001031001</t>
  </si>
  <si>
    <t>CALLEJAS BARONA MAURICIO FRANCISCO</t>
  </si>
  <si>
    <t>TEXMODA</t>
  </si>
  <si>
    <t>ALEMANIA</t>
  </si>
  <si>
    <t>SUIZA</t>
  </si>
  <si>
    <t>SECTOR INGAHURCO BAJO</t>
  </si>
  <si>
    <t>TRAS DE ILA</t>
  </si>
  <si>
    <t>032521605</t>
  </si>
  <si>
    <t>MALDONADO VARELA WILSON HOMERO</t>
  </si>
  <si>
    <t>1800406488001</t>
  </si>
  <si>
    <t>BUENAÑO LLERENA CARLOS ERNESTO</t>
  </si>
  <si>
    <t>TEXTILES BUENAÑO</t>
  </si>
  <si>
    <t>CALLE 4</t>
  </si>
  <si>
    <t>AVENIDAD S</t>
  </si>
  <si>
    <t>PAR. IND. DE AMBATO</t>
  </si>
  <si>
    <t>FRENTE A IMVAB</t>
  </si>
  <si>
    <t>032434236</t>
  </si>
  <si>
    <t>DIANA VARELA</t>
  </si>
  <si>
    <t>30269</t>
  </si>
  <si>
    <t>TELA POLIESTER</t>
  </si>
  <si>
    <t>1891708862001</t>
  </si>
  <si>
    <t>PROMEPELL S.A.</t>
  </si>
  <si>
    <t>AV. IV</t>
  </si>
  <si>
    <t>ENTRE D Y F</t>
  </si>
  <si>
    <t>A 50 METROS DEL CAMAL</t>
  </si>
  <si>
    <t>032434271</t>
  </si>
  <si>
    <t>DRA. SOFIA NARCISA CISNEROS CAICEDO</t>
  </si>
  <si>
    <t>30389</t>
  </si>
  <si>
    <t>1890053676001</t>
  </si>
  <si>
    <t>TENERIA SAN JOSE C LTDA</t>
  </si>
  <si>
    <t>TENERIA SAN JOSE CIA LTDA</t>
  </si>
  <si>
    <t>AV. INDOAMERICA</t>
  </si>
  <si>
    <t>JUTICALPA</t>
  </si>
  <si>
    <t>KM. 4/5</t>
  </si>
  <si>
    <t>CDLA. LA VICTORÍA</t>
  </si>
  <si>
    <t>SECTOR SAN DIEGO</t>
  </si>
  <si>
    <t>FRENTE A EQUICAM CIA LTDA (EQUIPO CAMINERO)</t>
  </si>
  <si>
    <t>032854996</t>
  </si>
  <si>
    <t>SILVIA ZURITA</t>
  </si>
  <si>
    <t>30278</t>
  </si>
  <si>
    <t>1801251966001</t>
  </si>
  <si>
    <t>ALDAS ALDAS JOSE LAUREANO</t>
  </si>
  <si>
    <t>CURTIEMBRE ALDAS</t>
  </si>
  <si>
    <t>VÍA A CEVALLOS</t>
  </si>
  <si>
    <t>CALLE 15 DE AGOSTO</t>
  </si>
  <si>
    <t>PALAHUA</t>
  </si>
  <si>
    <t>A DOS CUADRAS DEL CENTRO DE SALUD DE TOTORAS</t>
  </si>
  <si>
    <t>032748211</t>
  </si>
  <si>
    <t>PATRICIA LOPEZ</t>
  </si>
  <si>
    <t>1891753019001</t>
  </si>
  <si>
    <t>INJECTSOLE CIA. LTDA.</t>
  </si>
  <si>
    <t>VÍA PANAMERICANA NORTE (VÍA AL BARRIO BELLAVISTA)</t>
  </si>
  <si>
    <t>CALLE AMBATO</t>
  </si>
  <si>
    <t>BELLAVISTA</t>
  </si>
  <si>
    <t>DIAGONAL AL MERCADO DE SANTA ROSA</t>
  </si>
  <si>
    <t>032407208</t>
  </si>
  <si>
    <t>DIANA ALTAMIRANO</t>
  </si>
  <si>
    <t>29340.01.02.01</t>
  </si>
  <si>
    <t>SANDALIA PARA MUJER</t>
  </si>
  <si>
    <t>1891741657001</t>
  </si>
  <si>
    <t>PIEFLEX S.A.</t>
  </si>
  <si>
    <t>AV. BERNANRDINO ECHEVERRIA SECTOR SANTA ROSA</t>
  </si>
  <si>
    <t>A MEDIA CUADRA DEL ESTADIO EL GLOBO 8 CUADRAS SEMINARIO MAYOR, SECTOR SANTA ROSA</t>
  </si>
  <si>
    <t>032754372</t>
  </si>
  <si>
    <t>MYRIAN ACOSTA</t>
  </si>
  <si>
    <t>30153</t>
  </si>
  <si>
    <t>CALZADO DE LONA</t>
  </si>
  <si>
    <t>1890152623001</t>
  </si>
  <si>
    <t>LABORATORIO GENESIS LABGENESIS CIA. LTDA.</t>
  </si>
  <si>
    <t>LABGENESIS</t>
  </si>
  <si>
    <t>AV. LOS SHYRIS</t>
  </si>
  <si>
    <t>EDF. 6-23</t>
  </si>
  <si>
    <t>AV. QUIZ QUIZ</t>
  </si>
  <si>
    <t>BARRIO SAN ANTONIO</t>
  </si>
  <si>
    <t>032822015</t>
  </si>
  <si>
    <t>MAYRA TELENCHANA</t>
  </si>
  <si>
    <t>35250.07.03.01</t>
  </si>
  <si>
    <t>ÁCIDO FOLICO</t>
  </si>
  <si>
    <t>35260.00.00.21</t>
  </si>
  <si>
    <t>MULTIVITAMINICO</t>
  </si>
  <si>
    <t>GEL ANTIBACTERIAL</t>
  </si>
  <si>
    <t>0501412373001</t>
  </si>
  <si>
    <t>MARTINEZ TIRADO MARIA ERNESTINA</t>
  </si>
  <si>
    <t>IMBABURA</t>
  </si>
  <si>
    <t>PULLUPAXI</t>
  </si>
  <si>
    <t>BARRIO KENNEDY, A DOS CUADRAS AL OESTE DE LA ESCUELA REPUBLICA DE COLOMBIA</t>
  </si>
  <si>
    <t>RAZO JIMENEZ VERONICA ELIZABETH</t>
  </si>
  <si>
    <t>23120.02.00.01</t>
  </si>
  <si>
    <t>HARINA DE MAIZ</t>
  </si>
  <si>
    <t>23120.03.01.01</t>
  </si>
  <si>
    <t>HARINA DE CEBADA</t>
  </si>
  <si>
    <t>23170.00.03.01</t>
  </si>
  <si>
    <t>HARINA DE PLÁTANO</t>
  </si>
  <si>
    <t>1891770886001</t>
  </si>
  <si>
    <t>FRUSEMAVAL CIA.LTDA.</t>
  </si>
  <si>
    <t>CALLE F</t>
  </si>
  <si>
    <t>SL. LOTE 2-E</t>
  </si>
  <si>
    <t>CALLE 3</t>
  </si>
  <si>
    <t>FRESEMAVAL CIA.LTDA</t>
  </si>
  <si>
    <t>DIAGONAL A ESPROIN</t>
  </si>
  <si>
    <t>032434259</t>
  </si>
  <si>
    <t xml:space="preserve">LORENA PERALTA </t>
  </si>
  <si>
    <t>21179.01.07.01</t>
  </si>
  <si>
    <t>SNACK A BASE DE CUERO DE CERDO (CRONQUIS)</t>
  </si>
  <si>
    <t>0591731785001</t>
  </si>
  <si>
    <t>TEXTILES COTOPAXI XPOTEXTIL CIA. LTDA.</t>
  </si>
  <si>
    <t>TEXTILES COTOPAXI XPOTEXTIL CIA LTDA</t>
  </si>
  <si>
    <t>CAMINO VIA PRINCIPAL</t>
  </si>
  <si>
    <t>VIA ALAQUEZ</t>
  </si>
  <si>
    <t>UMATAMBO</t>
  </si>
  <si>
    <t>AGUA CLARA</t>
  </si>
  <si>
    <t>A DOS CUADRAS AL SUR DE LA EMPRESA ECOFROZ S.A</t>
  </si>
  <si>
    <t>0987556542</t>
  </si>
  <si>
    <t>LUIS NARVAEZ</t>
  </si>
  <si>
    <t>30067</t>
  </si>
  <si>
    <t>1803430956001</t>
  </si>
  <si>
    <t>PAZMIÑO ROMERO CESAR RICARDO</t>
  </si>
  <si>
    <t>TEXPAZ</t>
  </si>
  <si>
    <t>MILANESIO</t>
  </si>
  <si>
    <t>NIETO POLO DEL AGUILA</t>
  </si>
  <si>
    <t>A UNA CUADRA PARQUE DE PINLLO</t>
  </si>
  <si>
    <t>032466532</t>
  </si>
  <si>
    <t>PEÑAHERRERA PEÑAHERRERA MYRIAM FRANCISCA</t>
  </si>
  <si>
    <t>30423</t>
  </si>
  <si>
    <t>1801848167001</t>
  </si>
  <si>
    <t>LOPEZ MORA PEPE RAMIRO</t>
  </si>
  <si>
    <t>CONFECCIONES RALOM TEX</t>
  </si>
  <si>
    <t>EDMUNDO MARTINEZ</t>
  </si>
  <si>
    <t>A UN KILÓMETRO Y MEDIO DEL HOSPITAL DEL IESS</t>
  </si>
  <si>
    <t>032827805</t>
  </si>
  <si>
    <t>30419</t>
  </si>
  <si>
    <t>1891724760001</t>
  </si>
  <si>
    <t>TEXTILES GUTIERREZ GUTMAN CIA. LTDA.</t>
  </si>
  <si>
    <t>TEXTILES GUTIERREZ GUTMAN</t>
  </si>
  <si>
    <t>PACHATCUZA</t>
  </si>
  <si>
    <t>AV. 22 DE ENERO</t>
  </si>
  <si>
    <t>DIAGONAL A LA ESCUELA LOS NOGALES</t>
  </si>
  <si>
    <t>032451176</t>
  </si>
  <si>
    <t>ALEX ALTAMIRANO</t>
  </si>
  <si>
    <t>30282</t>
  </si>
  <si>
    <t>MEDIAS DE NIÑO</t>
  </si>
  <si>
    <t>1801635812001</t>
  </si>
  <si>
    <t>CHERREZ PILLALAZA JORGE PATRICIO</t>
  </si>
  <si>
    <t>CALZADO MARCIA</t>
  </si>
  <si>
    <t>GERTRUDIS ESPARZA</t>
  </si>
  <si>
    <t>SECTOR LETAMENDI BAJA</t>
  </si>
  <si>
    <t>TRAS LAS EX BODEGAS DE CURTIDURIA</t>
  </si>
  <si>
    <t>032400016</t>
  </si>
  <si>
    <t>ALEJANDRA CINALÍN</t>
  </si>
  <si>
    <t>30504</t>
  </si>
  <si>
    <t>29320.99.02.01</t>
  </si>
  <si>
    <t>CALZADO CON PUNTA METALIZADA</t>
  </si>
  <si>
    <t>0591739204001</t>
  </si>
  <si>
    <t>FABRICACION, COMERCIALIZACION DE POSTES DE HORMIGON ARMADO O&amp;M DISPOSTES CIA. LTDA.</t>
  </si>
  <si>
    <t>DISPOSTES CIA LTDA</t>
  </si>
  <si>
    <t>CALLE SAN FRANCISCO DE ASIS</t>
  </si>
  <si>
    <t>VÍA A MONJAS</t>
  </si>
  <si>
    <t>BARRIO CHILE</t>
  </si>
  <si>
    <t>ATRÁS DEL SUBCENTRO DE SALUD</t>
  </si>
  <si>
    <t>032297180</t>
  </si>
  <si>
    <t>HERRERA CARDENAS MONICA ALEXANDRA</t>
  </si>
  <si>
    <t>18/10/204</t>
  </si>
  <si>
    <t>0500534474001</t>
  </si>
  <si>
    <t>CULQUI TERAN JOSE ANIBAL</t>
  </si>
  <si>
    <t>IMC INDUSTRIA METALICA COTOPAXI</t>
  </si>
  <si>
    <t>AV. MIGUEL ITURRALDE</t>
  </si>
  <si>
    <t>VÍA MULALO</t>
  </si>
  <si>
    <t>DIAGONAL AL COMPLEJO SIERRA TROPICAL</t>
  </si>
  <si>
    <t>LORENA PANALUISA</t>
  </si>
  <si>
    <t>1801242700001</t>
  </si>
  <si>
    <t>GUTIERREZ PEREZ MIGUEL ANGEL</t>
  </si>
  <si>
    <t>CALZADO GAMO'S</t>
  </si>
  <si>
    <t>PSJE. FRANCISCO CAMPOS</t>
  </si>
  <si>
    <t>LA FLORESTA</t>
  </si>
  <si>
    <t>A CUATRO CUADRAS DEL MALL DE LOS ANDES</t>
  </si>
  <si>
    <t>033700400</t>
  </si>
  <si>
    <t>ANA MORALES</t>
  </si>
  <si>
    <t>30431</t>
  </si>
  <si>
    <t>BOTINES DE CUERO</t>
  </si>
  <si>
    <t>ZAPATOS DE CUERO PARA HOMBRE Y MUJER</t>
  </si>
  <si>
    <t>1891718086001</t>
  </si>
  <si>
    <t>BALDORE CIA. LTDA.</t>
  </si>
  <si>
    <t>BALDORE CIA LTDA</t>
  </si>
  <si>
    <t>VIA A PATATE VIEJO</t>
  </si>
  <si>
    <t>QUINTA BALDORE</t>
  </si>
  <si>
    <t>SECTOR PITULA</t>
  </si>
  <si>
    <t>JUNTO A LA PROPIEDAD DEL SEÑOR PATRICIO MONTALVO</t>
  </si>
  <si>
    <t>032870096</t>
  </si>
  <si>
    <t>ALBA ZUÑIGA</t>
  </si>
  <si>
    <t>30014</t>
  </si>
  <si>
    <t>24131.05.99.01</t>
  </si>
  <si>
    <t>LICORES</t>
  </si>
  <si>
    <t>1891747299001</t>
  </si>
  <si>
    <t>PRODUTEXTI CIA. LTDA.</t>
  </si>
  <si>
    <t>CALLE UNO</t>
  </si>
  <si>
    <t>14E</t>
  </si>
  <si>
    <t>CALLE D</t>
  </si>
  <si>
    <t>PRODUTEXTI 3 GALPONES</t>
  </si>
  <si>
    <t>IV ETAPA</t>
  </si>
  <si>
    <t>DIAGONAL A PLASTICAUCHO Y JUNTO A BIOALIMENTAR</t>
  </si>
  <si>
    <t>032434043</t>
  </si>
  <si>
    <t>JAVIER PAZMIÑO</t>
  </si>
  <si>
    <t>30263</t>
  </si>
  <si>
    <t>1890074703001</t>
  </si>
  <si>
    <t>CURTIDURIA TUNGURAHUA S.A.</t>
  </si>
  <si>
    <t>CURTIDURIA TUNGURAHUA</t>
  </si>
  <si>
    <t>PAR. IND. CALLE 8</t>
  </si>
  <si>
    <t>TERCERA ETAPA</t>
  </si>
  <si>
    <t>PAR. IND. DIAGONAL AL CAMAL MUNICIPAL</t>
  </si>
  <si>
    <t>032434141</t>
  </si>
  <si>
    <t>MONICA ELIZABETH LOPEZ JEREZ</t>
  </si>
  <si>
    <t>1891736270001</t>
  </si>
  <si>
    <t>LABORATORIO NEO FARMACO DEL ECUADOR NEOFARMACO CIA. LTDA.</t>
  </si>
  <si>
    <t>NEOFARMACO</t>
  </si>
  <si>
    <t>NOBOA CAAMAÑO</t>
  </si>
  <si>
    <t>SECTOR HUACHI CHICO</t>
  </si>
  <si>
    <t>DIAGONAL AL ESTADIO DE HUACHI CHICO</t>
  </si>
  <si>
    <t>032846468</t>
  </si>
  <si>
    <t>MARÍA FLORES</t>
  </si>
  <si>
    <t>30434</t>
  </si>
  <si>
    <t>35260.00.00.08</t>
  </si>
  <si>
    <t>ANTIÁCIDOS (A02A)</t>
  </si>
  <si>
    <t>35260.00.00.05</t>
  </si>
  <si>
    <t>PARACETAMOL</t>
  </si>
  <si>
    <t>35260.00.00.14</t>
  </si>
  <si>
    <t>METRONIDAZOL</t>
  </si>
  <si>
    <t>35260.00.00.15</t>
  </si>
  <si>
    <t>SECNIDAZOL</t>
  </si>
  <si>
    <t>35260.00.00.07</t>
  </si>
  <si>
    <t>ANTIGRIPALES</t>
  </si>
  <si>
    <t>1802459857001</t>
  </si>
  <si>
    <t>ARCOS MIRANDA LIDIA MARLENE</t>
  </si>
  <si>
    <t>TEXTILES JHONATEX</t>
  </si>
  <si>
    <t>LEONARDO PAEZ</t>
  </si>
  <si>
    <t>01-90</t>
  </si>
  <si>
    <t>HOMERO HIDROVO</t>
  </si>
  <si>
    <t>HUACHI EL BELEN</t>
  </si>
  <si>
    <t>A DOS CUADRAS DE LA IGLESIA DE HUACHI EL BELEN, CASA DE DOS PISOS, COLORES BLANCO Y CAFE</t>
  </si>
  <si>
    <t>032434315</t>
  </si>
  <si>
    <t>ABIGAIL POAQUIZA</t>
  </si>
  <si>
    <t>30178</t>
  </si>
  <si>
    <t>1890010667001</t>
  </si>
  <si>
    <t>PLASTICAUCHO INDUSTRIAL S.A.</t>
  </si>
  <si>
    <t>PLASTICAUCHO INDUSTRIAL S A</t>
  </si>
  <si>
    <t>AV. UNO</t>
  </si>
  <si>
    <t>PLASTICAUCHO</t>
  </si>
  <si>
    <t>PAR. IND. IV ETAPA</t>
  </si>
  <si>
    <t>SECTOR EL PISQUE</t>
  </si>
  <si>
    <t>A 100 METROS DE LA SUB ESTACIÓN ELÉCTRICA</t>
  </si>
  <si>
    <t>035003000</t>
  </si>
  <si>
    <t>TATIANA JANETH ALVAREZ ORTEGA</t>
  </si>
  <si>
    <t>30400</t>
  </si>
  <si>
    <t>29320.99.99.01</t>
  </si>
  <si>
    <t>ZAPATOS PARA MUJER</t>
  </si>
  <si>
    <t>29310.00.02.01</t>
  </si>
  <si>
    <t>BOTAS DE CAUCHO</t>
  </si>
  <si>
    <t>1891809443001</t>
  </si>
  <si>
    <t>D-CHRISTIAN MARYURI CIA.LTDA.</t>
  </si>
  <si>
    <t>JUSTO ALCIDES VALENCIA</t>
  </si>
  <si>
    <t>1890135001001</t>
  </si>
  <si>
    <t>TEXTILES INDUSTRIALES AMBATEÑOS S.A. TEIMSA</t>
  </si>
  <si>
    <t>TEIMSA</t>
  </si>
  <si>
    <t>PAR. IND. SANTA ROSA</t>
  </si>
  <si>
    <t>032754054</t>
  </si>
  <si>
    <t>ESTHER RIVADENEIRA</t>
  </si>
  <si>
    <t>30427</t>
  </si>
  <si>
    <t>TELA DE ALGODÓN CON FIBRA SINTÉTICA</t>
  </si>
  <si>
    <t>QUIMICALZEN CIA. LTDA.</t>
  </si>
  <si>
    <t>JUAN STROBEL</t>
  </si>
  <si>
    <t>25 DE MARZO</t>
  </si>
  <si>
    <t>LOS CIPRESES</t>
  </si>
  <si>
    <t>FRENTE A CBV NUESTRO HOGAR</t>
  </si>
  <si>
    <t>074092344</t>
  </si>
  <si>
    <t>MELIDA ORTIZ</t>
  </si>
  <si>
    <t>INDUSTRIAS AXCLORO CIA LTDA.</t>
  </si>
  <si>
    <t>AXCLORO</t>
  </si>
  <si>
    <t>SIN NOMBRE</t>
  </si>
  <si>
    <t>L-27</t>
  </si>
  <si>
    <t>PAR. IND. CHAULLAYACU</t>
  </si>
  <si>
    <t>A CIEN METROS DE NOVACERO</t>
  </si>
  <si>
    <t>074079201</t>
  </si>
  <si>
    <t>BUENO QUILAMBAQUI MARIO RAUL</t>
  </si>
  <si>
    <t>QUIMNEXO CIA. LTDA.</t>
  </si>
  <si>
    <t>LOS HORNOS</t>
  </si>
  <si>
    <t>AV. DEL TEJAR</t>
  </si>
  <si>
    <t>CONDOMINO LA GRANADA 2, A OCHOCIENTOS METROS DE LA CANCHA DE USO MÚLTIPLE</t>
  </si>
  <si>
    <t>FAICAN ZARI ANA FABIOLA</t>
  </si>
  <si>
    <t>EZCHEM LATIN AMERICA CIA. LTDA.</t>
  </si>
  <si>
    <t>EZCHEM</t>
  </si>
  <si>
    <t>FRENTE A LA IGLESIA VIRGEN DE BRONCE, 4364,FEDERICO PROAÑO,DURAPOWER,1,DIAGONAL A LA IGLESIA VIRGEN DE BRONCE</t>
  </si>
  <si>
    <t>ROBERT LOUIS CAPALDI</t>
  </si>
  <si>
    <t>VOLADURAS ROMO EXPLOBLAST S.A.</t>
  </si>
  <si>
    <t>07</t>
  </si>
  <si>
    <t>SANTA ROSA</t>
  </si>
  <si>
    <t>15-10</t>
  </si>
  <si>
    <t>BOAYACA</t>
  </si>
  <si>
    <t>S/N, S/N</t>
  </si>
  <si>
    <t>ALADO DE DISENSA</t>
  </si>
  <si>
    <t>RODRIGUEZ CORDOVA ANGELA LUCIA</t>
  </si>
  <si>
    <t>No produce</t>
  </si>
  <si>
    <t>CREVIGO S.A.</t>
  </si>
  <si>
    <t>CREVIGO</t>
  </si>
  <si>
    <t>AV. 8 DE DICIEMBRE</t>
  </si>
  <si>
    <t>LOTE 291 - 231</t>
  </si>
  <si>
    <t>CALLE CHANTACO Y EDUARDO PALACIOS</t>
  </si>
  <si>
    <t>MOTUPE</t>
  </si>
  <si>
    <t>DENTRO DE LAS INSTALACIONES DE ILE</t>
  </si>
  <si>
    <t>072540643</t>
  </si>
  <si>
    <t>YONI ALVAREZ</t>
  </si>
  <si>
    <t>37191.00.03.01</t>
  </si>
  <si>
    <t>0.21</t>
  </si>
  <si>
    <t>0.2261</t>
  </si>
  <si>
    <t>MARTINEZ CALLE GENARO AURELIO</t>
  </si>
  <si>
    <t>JOSE DE CARDENAS</t>
  </si>
  <si>
    <t>ABELARDO J. ANDRADE</t>
  </si>
  <si>
    <t>A DOSCIENTOS METROS DEL PAI DEL CEBOLLAR</t>
  </si>
  <si>
    <t>074074497</t>
  </si>
  <si>
    <t>ENTECSUR ENSAMBLADORA TECNOLOGICA DEL SUR S.A.</t>
  </si>
  <si>
    <t>ENTECSUR</t>
  </si>
  <si>
    <t>CIRCUNVALACION SUR</t>
  </si>
  <si>
    <t>PEDRO GOMEZ</t>
  </si>
  <si>
    <t>A CIEN METROS ANTES DEL REDONDEL DE TURI</t>
  </si>
  <si>
    <t>072887083</t>
  </si>
  <si>
    <t>RODRIGUEZ MARQUEZ GLORIA CATALINA</t>
  </si>
  <si>
    <t>PRAIVE S.A.</t>
  </si>
  <si>
    <t>PACCHA</t>
  </si>
  <si>
    <t>16 DE JULIO</t>
  </si>
  <si>
    <t>072998019</t>
  </si>
  <si>
    <t>ERAS CANDO JIMNSON JESUS</t>
  </si>
  <si>
    <t>TALLERES INDUSTRIALES AUSTROFORJA CIA. LTDA.</t>
  </si>
  <si>
    <t>AUSTROFORJA</t>
  </si>
  <si>
    <t>AV. CARLOS TOSI</t>
  </si>
  <si>
    <t>EDF. 3-51</t>
  </si>
  <si>
    <t>CALLE PRIMERA TRANSVERSAL</t>
  </si>
  <si>
    <t>NAVE 351</t>
  </si>
  <si>
    <t>SECTOR PARQUE INDUSTRIAL</t>
  </si>
  <si>
    <t>072806926</t>
  </si>
  <si>
    <t>MARIBEL DEL ROCIO GONZALEZ PERALTA</t>
  </si>
  <si>
    <t>INDUSTRIAS EDMUNDO ROMULO BONILLA ERBOINDUSTRIAS CIA. LTDA.</t>
  </si>
  <si>
    <t>ERBOINDUSTRIAS</t>
  </si>
  <si>
    <t>CALLE CAMINO A MISICATA</t>
  </si>
  <si>
    <t>LOTE 3-90</t>
  </si>
  <si>
    <t>CALLE CAÑUELAS</t>
  </si>
  <si>
    <t>SECTOR YANUNCAY</t>
  </si>
  <si>
    <t>A 2 CUADRAS DEL EDIFICIO ALTAVISTA INGRESANDO A MANO DERECHA POR UNA CALLE DE TIERRA SIN RETORNO</t>
  </si>
  <si>
    <t>072853583</t>
  </si>
  <si>
    <t>ING. FABIAN BONILLA</t>
  </si>
  <si>
    <t>60269</t>
  </si>
  <si>
    <t>PEÑAHERRERA RIVERA CARLOS JAVIER</t>
  </si>
  <si>
    <t>ALIMENTOS NATURALS</t>
  </si>
  <si>
    <t>VIA A PATAMARCA</t>
  </si>
  <si>
    <t>SECTOR OCHOA LEON, A CUATROCIENTOS METROS DEL SUBCENTRO DE SALUD</t>
  </si>
  <si>
    <t>60101</t>
  </si>
  <si>
    <t>23140.03.00.01</t>
  </si>
  <si>
    <t>FAEDEN CIA.LTDA.</t>
  </si>
  <si>
    <t>FABRICA EDEN</t>
  </si>
  <si>
    <t>FRANCISCO ASCAZUBI</t>
  </si>
  <si>
    <t>MANUEL QUIROGA</t>
  </si>
  <si>
    <t>A DOS CUADRA DEL MERCURIO</t>
  </si>
  <si>
    <t>074054001</t>
  </si>
  <si>
    <t>LEON HERNANDEZ MIGUEL ALEJANDRO</t>
  </si>
  <si>
    <t>60308</t>
  </si>
  <si>
    <t>04/10/202</t>
  </si>
  <si>
    <t>CAJAMARCA MOROCHO SILVIO RODRIGO</t>
  </si>
  <si>
    <t>SOL CUERO</t>
  </si>
  <si>
    <t>CALLE MARISCAL SUCRE</t>
  </si>
  <si>
    <t>CASA 11-63</t>
  </si>
  <si>
    <t>CALLE TARQUI</t>
  </si>
  <si>
    <t>PISO 1-2-3</t>
  </si>
  <si>
    <t>SECTOR EL SAGRARIO</t>
  </si>
  <si>
    <t>DIAGONAL AL CENTRO DE ESPECIALIDADES ODONTOLOGICAS</t>
  </si>
  <si>
    <t>072835342</t>
  </si>
  <si>
    <t>SILVIO RODRIGUEZ CAJAMARCA</t>
  </si>
  <si>
    <t>MOSCOSO TINOCO ESTEVAN LEONARDO</t>
  </si>
  <si>
    <t>INGENIERIA EN FIBRA</t>
  </si>
  <si>
    <t>VIA AL TABLON KM 1</t>
  </si>
  <si>
    <t>JUNTO A PLASTICOS RIVAL</t>
  </si>
  <si>
    <t>072475925</t>
  </si>
  <si>
    <t>MARIA JOSE ALVARDO</t>
  </si>
  <si>
    <t>ECUACONDUCTOS C LTDA</t>
  </si>
  <si>
    <t>AV. FERROVIARIA</t>
  </si>
  <si>
    <t>JUNTO AL TERMINAL TERRESTRE DE MACHALA</t>
  </si>
  <si>
    <t>0958990085</t>
  </si>
  <si>
    <t>LUIS OCTAVIO SEÑALIN JAER</t>
  </si>
  <si>
    <t>60311</t>
  </si>
  <si>
    <t xml:space="preserve">Tubos de Hormigón </t>
  </si>
  <si>
    <t>INMOBILIARIA BLUEPROGRESS CIA. LTDA.</t>
  </si>
  <si>
    <t>2 1/2</t>
  </si>
  <si>
    <t>BP</t>
  </si>
  <si>
    <t>A UN KILÓMETRO DE LA GASOLINERA BAÑOS</t>
  </si>
  <si>
    <t>072387298</t>
  </si>
  <si>
    <t>CISNEROS SANCHEZ DOLORES MARIANA</t>
  </si>
  <si>
    <t>PERALTA VELEZ FABIAN ALEXANDER</t>
  </si>
  <si>
    <t>EQUIFRIGO</t>
  </si>
  <si>
    <t>JOSE MARIA LONDA Y RODRIGUEZ</t>
  </si>
  <si>
    <t>VIA OCHOA LEONCHECA</t>
  </si>
  <si>
    <t>074068562</t>
  </si>
  <si>
    <t>ANGEL FERNANDO QUEZADA CONZA</t>
  </si>
  <si>
    <t>ECUAJJLI CIA.LTDA.</t>
  </si>
  <si>
    <t>EXPORTADORA DE MARISCOS ECUAJJLI CIA. LTDA.</t>
  </si>
  <si>
    <t>C102001</t>
  </si>
  <si>
    <t>AV. MANUEL SERRANO</t>
  </si>
  <si>
    <t>935</t>
  </si>
  <si>
    <t>JUNIN</t>
  </si>
  <si>
    <t>FRENTE A ESCUELA CIUDAD DE MACHALA</t>
  </si>
  <si>
    <t>BALCAZAR AÑAZCO RAQUEL ELIZABETH</t>
  </si>
  <si>
    <t>KONFORTHOGAR CIA. LTDA.</t>
  </si>
  <si>
    <t>KALIDO</t>
  </si>
  <si>
    <t>AV. GIL RAMIREZ DAVILA</t>
  </si>
  <si>
    <t>4-35</t>
  </si>
  <si>
    <t>FRANCISCO PIZARRO</t>
  </si>
  <si>
    <t>A LADO DEL BANCO DEL PERNO</t>
  </si>
  <si>
    <t>072812626</t>
  </si>
  <si>
    <t>ING. CRISTINA VALLADARES</t>
  </si>
  <si>
    <t>60473</t>
  </si>
  <si>
    <t>AÑAZCO ROMERO DIEGO GERARDO</t>
  </si>
  <si>
    <t>CARRETERA ANTIGUA LINEA FERREA</t>
  </si>
  <si>
    <t>VÍA BALOSA</t>
  </si>
  <si>
    <t>ASERRÍO EL ARBOLITO</t>
  </si>
  <si>
    <t>SECTOR EL ROSARIO</t>
  </si>
  <si>
    <t>DIAGONAL AL CEMENTERIO MUNICIPAL</t>
  </si>
  <si>
    <t>072785025</t>
  </si>
  <si>
    <t>DIEGO AÑAZCO</t>
  </si>
  <si>
    <t>MORTEROS-PEGACER S.A.</t>
  </si>
  <si>
    <t>PEGACER</t>
  </si>
  <si>
    <t>8.5</t>
  </si>
  <si>
    <t>BARRIO SIDCAY</t>
  </si>
  <si>
    <t>CERAMICA RIALTO S.A. - ENTRE EL CENTRO DE REVISIÓN TÉCNICA VEHICULAR Y EL CIRCULO MILITAR</t>
  </si>
  <si>
    <t>072875421</t>
  </si>
  <si>
    <t>GONZALEZ GONZALEZ FANNY MERCEDES</t>
  </si>
  <si>
    <t>35490.10.03.01</t>
  </si>
  <si>
    <t>35490.10.99.01</t>
  </si>
  <si>
    <t>COMERCIALIZADORA E IMPORTADORA NACIONAL DE EXPLOSIVOS Y ACCESORIOS COMINEXPA S.A.</t>
  </si>
  <si>
    <t>AV. COLÓN</t>
  </si>
  <si>
    <t>TINOCO</t>
  </si>
  <si>
    <t>MULTINEGOCIOS VICENTE CAMPOVERDE, NÚMERO PISO: S/N</t>
  </si>
  <si>
    <t>BUCHELI BORBOR FLOR MARIA</t>
  </si>
  <si>
    <t>INSUMOS ESQUINEROS ARTEAGA &amp; PERALTA INESARPE S A</t>
  </si>
  <si>
    <t>VIA PASAJE MACHALA</t>
  </si>
  <si>
    <t>LAS MERCEDES</t>
  </si>
  <si>
    <t>A CIEN METROS DE LA CANCHA DE FUTBOL HEREDEROS MINUCHE</t>
  </si>
  <si>
    <t>072162127</t>
  </si>
  <si>
    <t>FEIJOO GONZALEZ ENA MARITZA</t>
  </si>
  <si>
    <t>36310.00.01.01</t>
  </si>
  <si>
    <t>HORMI CENTER CIA. LTDA.</t>
  </si>
  <si>
    <t>VÍA RAPIDA AZOGUESCEUNCA</t>
  </si>
  <si>
    <t>KM. 8</t>
  </si>
  <si>
    <t>HORMICENTER</t>
  </si>
  <si>
    <t>SECTOR EL CISNE</t>
  </si>
  <si>
    <t>ENTRADA DEL TALLER VERDUGO</t>
  </si>
  <si>
    <t>072244987</t>
  </si>
  <si>
    <t>PAULO ORMAZA</t>
  </si>
  <si>
    <t>GALVANICA CIA. LTDA.</t>
  </si>
  <si>
    <t>VÍA MONAY BAGUANCHI</t>
  </si>
  <si>
    <t>EL AGUACATE</t>
  </si>
  <si>
    <t>A 1.5 KM DEL REDONDEL DEL IESS</t>
  </si>
  <si>
    <t>074126794</t>
  </si>
  <si>
    <t>ARIANA MOSCOSO</t>
  </si>
  <si>
    <t>INDUSTRIAPC CIA.LTDA</t>
  </si>
  <si>
    <t>LUIS A QUINTUÑA</t>
  </si>
  <si>
    <t>VIA MONAY BAGUANCHI</t>
  </si>
  <si>
    <t>CONSTRUCTORA PC</t>
  </si>
  <si>
    <t>MONAY</t>
  </si>
  <si>
    <t>DIAGONAL A LA SUBESTACION ELÉCTRICA CELEC EN EL SECTOR RAYOLOMA</t>
  </si>
  <si>
    <t>CARMEN AGUSTINA ZAPATA MENDEZ</t>
  </si>
  <si>
    <t>60368</t>
  </si>
  <si>
    <t>42190.02.04.01</t>
  </si>
  <si>
    <t>FIBROACERO S.A.</t>
  </si>
  <si>
    <t>FIBRO ACERO</t>
  </si>
  <si>
    <t>OCTAVIO CHACON</t>
  </si>
  <si>
    <t>2-141</t>
  </si>
  <si>
    <t>MIGUEL ANGEL NARVAEZ</t>
  </si>
  <si>
    <t>FIBROACERO</t>
  </si>
  <si>
    <t>FRENTE A COLINEAL</t>
  </si>
  <si>
    <t>072806828</t>
  </si>
  <si>
    <t>LEONARDO XAVIER ANDRADE RODRIGUEZ</t>
  </si>
  <si>
    <t>60019</t>
  </si>
  <si>
    <t>42220.00.02.01</t>
  </si>
  <si>
    <t>ADHEPLAST S.A.</t>
  </si>
  <si>
    <t>ADHEPLAST</t>
  </si>
  <si>
    <t>CARLOS TOSSI SIRI</t>
  </si>
  <si>
    <t>2-04</t>
  </si>
  <si>
    <t>PRIMERA TRANSVERSAL</t>
  </si>
  <si>
    <t>ATRAS DE COCA COLA</t>
  </si>
  <si>
    <t>074134600</t>
  </si>
  <si>
    <t>WILLAM ALEXANDER VELEZ VANEGAS</t>
  </si>
  <si>
    <t>60003</t>
  </si>
  <si>
    <t>33500.10.02.01</t>
  </si>
  <si>
    <t>BARNIZ</t>
  </si>
  <si>
    <t>HORMIGONES Y PISOS HORMIPISOS CIA. LTDA.</t>
  </si>
  <si>
    <t>HORMIPISOS</t>
  </si>
  <si>
    <t>VIA LLACAO</t>
  </si>
  <si>
    <t>DETRAS DE LAS BODEGAS DE HIDROPAUTE</t>
  </si>
  <si>
    <t>072884222</t>
  </si>
  <si>
    <t>DANIELA ARAUJO</t>
  </si>
  <si>
    <t>60042</t>
  </si>
  <si>
    <t>37540.00.01.01</t>
  </si>
  <si>
    <t>EXORBAN S.A.</t>
  </si>
  <si>
    <t>EXORBAN S A</t>
  </si>
  <si>
    <t>VIA PANAMERICANA SUR</t>
  </si>
  <si>
    <t>EXORBAN</t>
  </si>
  <si>
    <t>MIGUEL CONCHA ALVAREZ</t>
  </si>
  <si>
    <t>FRENTE A CEMENTERIO JARDINES DE SANTA ROSA</t>
  </si>
  <si>
    <t>GUAMAN CHAMBA EDILCIA MARITZA</t>
  </si>
  <si>
    <t>GUAYAQUIL</t>
  </si>
  <si>
    <t>COSMICA CIA LTDA</t>
  </si>
  <si>
    <t>CMA</t>
  </si>
  <si>
    <t>SUBIDA A LLACAO</t>
  </si>
  <si>
    <t>FRENTE A CELEC EP</t>
  </si>
  <si>
    <t>072875368</t>
  </si>
  <si>
    <t>MARIA AUGUSTA CASTILLO</t>
  </si>
  <si>
    <t>60040</t>
  </si>
  <si>
    <t>3,345</t>
  </si>
  <si>
    <t>ZITROIN S.A.</t>
  </si>
  <si>
    <t>ZITROIN</t>
  </si>
  <si>
    <t>CRISTOBAL COLÓN</t>
  </si>
  <si>
    <t>AUTOMOTORES  ELCAMER</t>
  </si>
  <si>
    <t>DIAGONAL A LA GASOLINERA PRIMAX</t>
  </si>
  <si>
    <t>072860498</t>
  </si>
  <si>
    <t>ROCIO ALVARADO</t>
  </si>
  <si>
    <t>MARISCOS DEL ECUADOR MARECUADOR CIA LTDA</t>
  </si>
  <si>
    <t>MARECUADOR CIA LTDA</t>
  </si>
  <si>
    <t>AV. PANAMERICANA</t>
  </si>
  <si>
    <t>VIA MACHALA   GUAYAQUIL</t>
  </si>
  <si>
    <t>MAR ECUADOR</t>
  </si>
  <si>
    <t>EL CAMBIO</t>
  </si>
  <si>
    <t>A 100 METROS DEL PARQUE CENTRAL</t>
  </si>
  <si>
    <t>072992458</t>
  </si>
  <si>
    <t>ERIKA ESTEFANIA GRACIA PALADINES</t>
  </si>
  <si>
    <t>INDUSTRIA LOJANA DE ESPECERIAS ILE C A</t>
  </si>
  <si>
    <t>ILE CA</t>
  </si>
  <si>
    <t>MAIQUETIA</t>
  </si>
  <si>
    <t>BRASILIA</t>
  </si>
  <si>
    <t>ILE C.A.</t>
  </si>
  <si>
    <t>CONSACOLA</t>
  </si>
  <si>
    <t>FRENTA A LA ESTACION DE SERVICIO ABENDAÑO</t>
  </si>
  <si>
    <t>072663170</t>
  </si>
  <si>
    <t>CINDY ARMIJOS</t>
  </si>
  <si>
    <t>60110</t>
  </si>
  <si>
    <t>23999.03.01.01</t>
  </si>
  <si>
    <t>23999.03.05.01</t>
  </si>
  <si>
    <t>23999.03.02.01</t>
  </si>
  <si>
    <t>23913.01.01.01</t>
  </si>
  <si>
    <t>INDUSTRIAS BORJA INBORJA S A</t>
  </si>
  <si>
    <t>VIA BARBONES SANTA CRUZ</t>
  </si>
  <si>
    <t>2.5</t>
  </si>
  <si>
    <t>INDUSTRIAS BORJA INBORJA</t>
  </si>
  <si>
    <t>KM 2.5 VIA BARBONES - SANTA CRUZ JUNTO A HACIENDA LA VICTORIA SECTOR BARBONES</t>
  </si>
  <si>
    <t>073704000</t>
  </si>
  <si>
    <t>VANESSA CORREA</t>
  </si>
  <si>
    <t>COSTURAS INTERNACIONALES CIA. LTDA.</t>
  </si>
  <si>
    <t>COSTURAS INTERNACIONALES</t>
  </si>
  <si>
    <t>4-54</t>
  </si>
  <si>
    <t>CORNELIO VINTIMILLA</t>
  </si>
  <si>
    <t>CONSUPLAST</t>
  </si>
  <si>
    <t>FRENTE A LA ITALIANA</t>
  </si>
  <si>
    <t>60007</t>
  </si>
  <si>
    <t>ESCAVI CIA LTDA</t>
  </si>
  <si>
    <t>8-01</t>
  </si>
  <si>
    <t>AV. DR.PEDRO MARIDUEÑAVILLENA Y AVENIDA 10MA SUR</t>
  </si>
  <si>
    <t>COELLO ORTIZ</t>
  </si>
  <si>
    <t>JUNTO A PESQUERA EL BRAVITO</t>
  </si>
  <si>
    <t>072935080</t>
  </si>
  <si>
    <t>MARTHA EUGENIA COELLO AGUILAR</t>
  </si>
  <si>
    <t>60310</t>
  </si>
  <si>
    <t>04210.03.02.01</t>
  </si>
  <si>
    <t>4,30</t>
  </si>
  <si>
    <t>EXPORTADORA DE PRODUCTOS DEL OCEANO OCEANPRODUCT CIA  LTDA</t>
  </si>
  <si>
    <t>OCEANPRODUCT</t>
  </si>
  <si>
    <t>OCEANPRODUCTO</t>
  </si>
  <si>
    <t>LAS BRISAS</t>
  </si>
  <si>
    <t>A 500 METROS DEL HOSPITAL DE ARENILLAS</t>
  </si>
  <si>
    <t>072909677</t>
  </si>
  <si>
    <t>MARIA JOSE MASECHE</t>
  </si>
  <si>
    <t xml:space="preserve">Guayas </t>
  </si>
  <si>
    <t>Duran</t>
  </si>
  <si>
    <t>INDUGLOB S A</t>
  </si>
  <si>
    <t>INDUGLOB</t>
  </si>
  <si>
    <t>AV. DON BOSCO</t>
  </si>
  <si>
    <t>AV. DE LAS AMERICAS</t>
  </si>
  <si>
    <t>INDURAMA</t>
  </si>
  <si>
    <t>A MEDIA CUADRA DE LA MEGATIENDA DEL SUR</t>
  </si>
  <si>
    <t xml:space="preserve">072882900	</t>
  </si>
  <si>
    <t>DIANA ORDOÑEZ</t>
  </si>
  <si>
    <t>60118</t>
  </si>
  <si>
    <t>SINTECUERO S.A.</t>
  </si>
  <si>
    <t>SINTECUERO</t>
  </si>
  <si>
    <t>PASEO RIO MACHANGARA</t>
  </si>
  <si>
    <t>JUNTO A PROLACEM</t>
  </si>
  <si>
    <t>WILLIAM ALEXANDER VELEZ VANEGAS</t>
  </si>
  <si>
    <t>PLASTIAZUAY S A</t>
  </si>
  <si>
    <t>PLASTIAZUAY</t>
  </si>
  <si>
    <t>VIA OCHOA LEON</t>
  </si>
  <si>
    <t>HERMANO MIGUEL</t>
  </si>
  <si>
    <t>SECTOR PATAMARCA / A DOS KILOMETROS DEL HOSPITAL DEL NIÑO Y LA MUJER</t>
  </si>
  <si>
    <t>072898785</t>
  </si>
  <si>
    <t>GABRIELA MEJIA MORALES</t>
  </si>
  <si>
    <t>PROCESADORA DE MARISCOS DE EL ORO PROMAORO S A</t>
  </si>
  <si>
    <t>PROMAORO SA</t>
  </si>
  <si>
    <t>VIA A PUERTO JELI (AV. EUGENIO CAJAMARCA)</t>
  </si>
  <si>
    <t>PROMAORO</t>
  </si>
  <si>
    <t>A 200 MTS DE LA PICANTERIA EL ARENAL</t>
  </si>
  <si>
    <t>072161112</t>
  </si>
  <si>
    <t>CARMEN VALDIVIEZO REYES</t>
  </si>
  <si>
    <t>60385</t>
  </si>
  <si>
    <t>21250.01.01.02</t>
  </si>
  <si>
    <t>21250.01.01.01</t>
  </si>
  <si>
    <t>ALIMENTOS ECUATORIANOS LOS ANDES S.A. AECDESA</t>
  </si>
  <si>
    <t>LOS ANDES</t>
  </si>
  <si>
    <t>ALIMENTOS ECUATORIANOS LOS ANDES</t>
  </si>
  <si>
    <t>JUNTO A CERAMICA HYPOO</t>
  </si>
  <si>
    <t>072385666</t>
  </si>
  <si>
    <t>FERNANDO CANTOS</t>
  </si>
  <si>
    <t>60082</t>
  </si>
  <si>
    <t>23995.03.00.01</t>
  </si>
  <si>
    <t>INDUSTRIA DE SOLDADURAS Y METALES INSOMET CIA LTDA</t>
  </si>
  <si>
    <t>INSOMET</t>
  </si>
  <si>
    <t>MIGUEL NARVAEZ</t>
  </si>
  <si>
    <t>FRENTE A LA FABRICA FIBROACERO</t>
  </si>
  <si>
    <t>60021</t>
  </si>
  <si>
    <t>PCC CONGELADOS &amp; FRESCOS S.A.</t>
  </si>
  <si>
    <t>PCC CONGELADOS FRESCOS S A</t>
  </si>
  <si>
    <t>VIA PANAMERICANA ENTRADA HUAQUILLAS,</t>
  </si>
  <si>
    <t>FERNANDO DAQUILEMA</t>
  </si>
  <si>
    <t>PCC CONGELADOS</t>
  </si>
  <si>
    <t>UN COSTADO (IZQUIERDO) ANTES DE INGRESAR AL PEAJE</t>
  </si>
  <si>
    <t>072970783</t>
  </si>
  <si>
    <t>MELVA DEL ROCIO IÑIGUEZ JIMENEZ</t>
  </si>
  <si>
    <t>60350</t>
  </si>
  <si>
    <t>HORMIGONES DEL AZUAY CIA. LTDA.</t>
  </si>
  <si>
    <t>HORMIGONES DEL AZUAY</t>
  </si>
  <si>
    <t>DIAGONAL A LA LAVANDERIA TOMEBAMBA</t>
  </si>
  <si>
    <t>WILLIAM ALEXANDER VELEZ</t>
  </si>
  <si>
    <t>60077</t>
  </si>
  <si>
    <t>CONTINENTAL TIRE ANDINA S.A.</t>
  </si>
  <si>
    <t>ERCO</t>
  </si>
  <si>
    <t>2.8</t>
  </si>
  <si>
    <t>CONTINENTAL TIRE ANDINA</t>
  </si>
  <si>
    <t>JUNTO A GRAIMAN</t>
  </si>
  <si>
    <t>073700535</t>
  </si>
  <si>
    <t>DANIELA MALDONADO</t>
  </si>
  <si>
    <t>INDALUM INDUSTRIAL DE ALUMINIO SA</t>
  </si>
  <si>
    <t>INDALUM</t>
  </si>
  <si>
    <t>GIL RAMIREZ DAVALOS</t>
  </si>
  <si>
    <t>4-18</t>
  </si>
  <si>
    <t>SECTOR AEROPUERTO-JUNTO A LA GASOLINERA MIRAFLORES</t>
  </si>
  <si>
    <t>072862545</t>
  </si>
  <si>
    <t>PATRICIA PERALTA</t>
  </si>
  <si>
    <t>60039</t>
  </si>
  <si>
    <t>42912.03.21.01</t>
  </si>
  <si>
    <t>EXPORTADORA MAREST C A</t>
  </si>
  <si>
    <t>ONCEAVA NORTE</t>
  </si>
  <si>
    <t>ESTERO HUAYLA Y JUNIN</t>
  </si>
  <si>
    <t>1 DE ABRIL</t>
  </si>
  <si>
    <t>FRENTE A LA BODEGA CNT</t>
  </si>
  <si>
    <t>072929961</t>
  </si>
  <si>
    <t>VANESSA ARCENTALES</t>
  </si>
  <si>
    <t>PESANTEZ GARCIA PABLO TEODORO</t>
  </si>
  <si>
    <t>ESPECIES Y CONDIMENTOS IBEROAMERICANOS</t>
  </si>
  <si>
    <t>AV. ORDÓÑEZ LAZO</t>
  </si>
  <si>
    <t>SECTOR SAN MIGUEL DE SAYAUSI, JUNTO A LA ESCUELA DE PATINAJE PESANTEZ BISANTI</t>
  </si>
  <si>
    <t>074189102</t>
  </si>
  <si>
    <t>CAMBISACA CASTRO ANGEL BOLIVAR</t>
  </si>
  <si>
    <t>60037</t>
  </si>
  <si>
    <t>23925.00.01.01</t>
  </si>
  <si>
    <t>13,75</t>
  </si>
  <si>
    <t>INDUSTRIAS SARA PANGA TOMEHR COMPAÑIA DE RESPONSABILIDAD LIMITADA</t>
  </si>
  <si>
    <t>CARIGAN</t>
  </si>
  <si>
    <t>A DOSCIENTOS METROS DE LA REDONDEL DE CARIGAN</t>
  </si>
  <si>
    <t>072588083</t>
  </si>
  <si>
    <t>HERRERA RAMIREZ SAIDA ELENA</t>
  </si>
  <si>
    <t>60452</t>
  </si>
  <si>
    <t>BRICEÑO-COMERCIALIZADORA CIA.LTDA.</t>
  </si>
  <si>
    <t>REPUBLICA DE VENEZUELA</t>
  </si>
  <si>
    <t>AMAZONAS 1</t>
  </si>
  <si>
    <t>072850361</t>
  </si>
  <si>
    <t>CALDAS VAZQUEZ PABLO FERNANDO</t>
  </si>
  <si>
    <t>PAÑALESA</t>
  </si>
  <si>
    <t>MIGUEL ULLAURI</t>
  </si>
  <si>
    <t>CALLE LARGA</t>
  </si>
  <si>
    <t>MERCADO 10 DE AGOSTO</t>
  </si>
  <si>
    <t>249</t>
  </si>
  <si>
    <t>JUNTO AL MERCADO 10 DE AGOSTO</t>
  </si>
  <si>
    <t>QUIZHPI BARBECHO ROSARIO DEL CISNE</t>
  </si>
  <si>
    <t>ERAS ROGEL ANGEL OSWALDO</t>
  </si>
  <si>
    <t>AV. 18 DE NOVIEMBRE</t>
  </si>
  <si>
    <t>VIA A ZAPOTILLO</t>
  </si>
  <si>
    <t>FRENTE A LA ESCUELA LUIS URDANETA</t>
  </si>
  <si>
    <t>RIOFRIO JARAMILLO LILIANA MABEL</t>
  </si>
  <si>
    <t>BLACK RIVER BANAPROTEKT CIA LTDA</t>
  </si>
  <si>
    <t>VIA A PASAJE</t>
  </si>
  <si>
    <t>6-34</t>
  </si>
  <si>
    <t>CIUDAD VERDE</t>
  </si>
  <si>
    <t>JUNTO AL CENTRO COMERCIAL ORO PLAZA</t>
  </si>
  <si>
    <t>GONZALEZ RODRIGUEZ ERIKA ELIZABETH</t>
  </si>
  <si>
    <t>PEÑA TORRES LULIEN BRIGITTE</t>
  </si>
  <si>
    <t>ADHESIVOS PEGAMENTOS PINTURAS Y AFINES</t>
  </si>
  <si>
    <t>CALLE PRIMERA</t>
  </si>
  <si>
    <t>DIAGONAL A GRAIMAN</t>
  </si>
  <si>
    <t>KUEN S.A.</t>
  </si>
  <si>
    <t>KUEN</t>
  </si>
  <si>
    <t>TURUHUAICO,S/N,AV. ESPAÑA,1</t>
  </si>
  <si>
    <t>FRENTE A EMBOTELLADORA AZUAY</t>
  </si>
  <si>
    <t>074098246</t>
  </si>
  <si>
    <t>CISNEROS TOLEDO AIDA TATIANA</t>
  </si>
  <si>
    <t>CANELA</t>
  </si>
  <si>
    <t>ALIÑOS PREPARADOS</t>
  </si>
  <si>
    <t>COMINO EN POLVO</t>
  </si>
  <si>
    <t>SELLANTE</t>
  </si>
  <si>
    <t>ENVASE DE VIDRIO PEQUEÑO</t>
  </si>
  <si>
    <t>GRANOLA</t>
  </si>
  <si>
    <t>MORTERO</t>
  </si>
  <si>
    <t>EMPASTE</t>
  </si>
  <si>
    <t>ESQUINEROS (ANGULOS PLASTICOS)</t>
  </si>
  <si>
    <t>ESTRUCTURAS METÁLICAS</t>
  </si>
  <si>
    <t>HORNO ELECTRICO</t>
  </si>
  <si>
    <t>ENVASES METÁLICO</t>
  </si>
  <si>
    <t>CEMENTO DE CONTACTO</t>
  </si>
  <si>
    <t>PINTURA</t>
  </si>
  <si>
    <t>BLOQUES</t>
  </si>
  <si>
    <t>TÉ DE CEDRÓN</t>
  </si>
  <si>
    <t>TÉ DE HIERBA LUISA</t>
  </si>
  <si>
    <t>TÉ DE MANZANILLA</t>
  </si>
  <si>
    <t>TÉ VERDE</t>
  </si>
  <si>
    <t>CAMARÓN FRESCO</t>
  </si>
  <si>
    <t>CAMARÓN CONGELADO DE EXPORTACIÓN</t>
  </si>
  <si>
    <t>CAMARÓN CONGELADO</t>
  </si>
  <si>
    <t>SALSA DE TOMATE</t>
  </si>
  <si>
    <t>MAYONESA</t>
  </si>
  <si>
    <t>PASTA DE TOMATE</t>
  </si>
  <si>
    <t>MOSTAZA</t>
  </si>
  <si>
    <t>OLLA DE METAL</t>
  </si>
  <si>
    <t>Zonal</t>
  </si>
  <si>
    <t>id_empresa</t>
  </si>
  <si>
    <t>ruc_principal</t>
  </si>
  <si>
    <t>INDUSTRIAS ALEN EVELIZA</t>
  </si>
  <si>
    <t>7-B</t>
  </si>
  <si>
    <t>AV. D</t>
  </si>
  <si>
    <t>SECTOR PUERTO ARTURO</t>
  </si>
  <si>
    <t>FRENTE AL CALZADO VECACHI</t>
  </si>
  <si>
    <t>032434063</t>
  </si>
  <si>
    <t>PORTERO MEJIA MARIA MARGARITA</t>
  </si>
  <si>
    <t>AREVALO GARCES LOURDES DEL ROCIO</t>
  </si>
  <si>
    <t>CREACIONES DANIELA'S</t>
  </si>
  <si>
    <t>CALLE NICOLAS MARTINEZ</t>
  </si>
  <si>
    <t>AV. RODRIGO PACHANO</t>
  </si>
  <si>
    <t>CREACIONES DANIELA</t>
  </si>
  <si>
    <t>LAQUIGO</t>
  </si>
  <si>
    <t>A MEDIO KILOMETRO DEL HOSPITAL DE IESS AMBATO</t>
  </si>
  <si>
    <t>LOURDES AREVALO</t>
  </si>
  <si>
    <t>Fusionada</t>
  </si>
  <si>
    <t>SERVICUEROS S.A.</t>
  </si>
  <si>
    <t>BOLIVARIANA</t>
  </si>
  <si>
    <t>7-47</t>
  </si>
  <si>
    <t>ISIDRO VITERI</t>
  </si>
  <si>
    <t>JUNTO A LA GASOLINERA LO JUSTO</t>
  </si>
  <si>
    <t>032841953</t>
  </si>
  <si>
    <t>VERÓNICA VINUEZA</t>
  </si>
  <si>
    <t>COLLANTES HERVAS ALEX TEMISTOCLES</t>
  </si>
  <si>
    <t>DOME SPORTS</t>
  </si>
  <si>
    <t>LIZARDO RUIZ</t>
  </si>
  <si>
    <t>02-64</t>
  </si>
  <si>
    <t>MALDONADO</t>
  </si>
  <si>
    <t>A DOS CUADRAS DEL COLEGIO AMBATO</t>
  </si>
  <si>
    <t>NARVAEZ ALMEIDA ALEXANDRA JACKELINE</t>
  </si>
  <si>
    <t>NANOMADERAS S A</t>
  </si>
  <si>
    <t>SECTOR 11 DE NOVIEMBRE, A DOSCIENTOS METROS DE LA Y</t>
  </si>
  <si>
    <t>NORA MALDONADO</t>
  </si>
  <si>
    <t>BASANTES PEREZ LUIS RODRIGO</t>
  </si>
  <si>
    <t>FERRETERIA GRUPO SANTA ELENA</t>
  </si>
  <si>
    <t>GALO PLAZA</t>
  </si>
  <si>
    <t>DARIO GUEVARA</t>
  </si>
  <si>
    <t>FRENTE AL ESTADIO, CASA DE UN PISO, COLOR BEIGE</t>
  </si>
  <si>
    <t>TOAINGA VILLARROEL ALICIA ELIZABETH</t>
  </si>
  <si>
    <t>ERGOFORMA SAS</t>
  </si>
  <si>
    <t>SERGIO GUARDERAS</t>
  </si>
  <si>
    <t>NICOLAS GORIBAR</t>
  </si>
  <si>
    <t>DISEÑO, MANTENIMIENTO, CONSTRUCCIONES ELECTROMECANICAS Y CIVILES DICONSMA CIA. LTDA.</t>
  </si>
  <si>
    <t>DICONSMA CIA LTDA</t>
  </si>
  <si>
    <t>VÍA A LAGO AGRIO</t>
  </si>
  <si>
    <t>SECTOR SIMÓN BOLIVAR</t>
  </si>
  <si>
    <t>DIAGONAL AL REDONDEL DE INGRESO AL PROYECTO COCADOSINCLAIR</t>
  </si>
  <si>
    <t>063020159</t>
  </si>
  <si>
    <t>PEÑALOZA PEÑALOZA MAXIMO ALBERTO</t>
  </si>
  <si>
    <t>SUCUMBIOS</t>
  </si>
  <si>
    <t>GONZALO PIZARRO</t>
  </si>
  <si>
    <t>EL REVENTADOR</t>
  </si>
  <si>
    <t>GALLEGOS ESQUIVEL EDWIN ISRAEL</t>
  </si>
  <si>
    <t>VÍA A PILLARO</t>
  </si>
  <si>
    <t>IZAMBA</t>
  </si>
  <si>
    <t>DETRAS DEL COLEGIO SANTO DOMINGO</t>
  </si>
  <si>
    <t>032856275</t>
  </si>
  <si>
    <t>JESSICA IBETH GALLEGOS ESQUIVEL</t>
  </si>
  <si>
    <t>GALLEGOS ESQUIVEL JESSICA IBETH</t>
  </si>
  <si>
    <t>VIA A PILLARO</t>
  </si>
  <si>
    <t>FRENTE A LA ESCUELA HEROES DEL 95</t>
  </si>
  <si>
    <t>JAMI LOURDES DEL ROCIO</t>
  </si>
  <si>
    <t>QUINATOA PILA MARCIA IBETH</t>
  </si>
  <si>
    <t>LA CASA DE LA LIMPIEZA</t>
  </si>
  <si>
    <t>AV. LOS CHASQUIS</t>
  </si>
  <si>
    <t>21-87</t>
  </si>
  <si>
    <t>A MEDIA CUADRA DE LAS CANCHAS DEL BARRIO EL ARBOLITO</t>
  </si>
  <si>
    <t>LLERENA VITERI PATRICIA ELIZABETH</t>
  </si>
  <si>
    <t>TRUJILLO ORTIZ DANIEL ALEJANDRO</t>
  </si>
  <si>
    <t>TEXTREN</t>
  </si>
  <si>
    <t>CALLE CUATRO</t>
  </si>
  <si>
    <t>AV. PEDRO VASCONEZ</t>
  </si>
  <si>
    <t>TEXTEEN</t>
  </si>
  <si>
    <t>CERCA A LA COMUNIDAD MERCEDERIA TIRSO DE MOLINO</t>
  </si>
  <si>
    <t>032840677</t>
  </si>
  <si>
    <t>DANIEL TRUJILLO</t>
  </si>
  <si>
    <t>QUILLIGANA CADENA JOSE PATRICIO</t>
  </si>
  <si>
    <t>JP CONFECCIONES</t>
  </si>
  <si>
    <t>MERCADO AMERICA</t>
  </si>
  <si>
    <t>FRENTE A LA BODEGA DE LAS UNIVERSIDADES</t>
  </si>
  <si>
    <t>032853846</t>
  </si>
  <si>
    <t>GLADYS MAGDALENA BUSTOS ORTIZ</t>
  </si>
  <si>
    <t>MORGROUP CIA. LTDA.</t>
  </si>
  <si>
    <t>118</t>
  </si>
  <si>
    <t>MANUELA CAÑIZARES</t>
  </si>
  <si>
    <t>CENTRO</t>
  </si>
  <si>
    <t>A DOS CUADRAS DE LA PLAZA PRIMERO DE MAYO, CASA DE TRES PISOS, COLORES NARANJA Y BLANCO</t>
  </si>
  <si>
    <t>032421738</t>
  </si>
  <si>
    <t>NIETO MORA XAVIER ALEJANDRO</t>
  </si>
  <si>
    <t>RUBBERSHOES INDUSTRIAL CIA. LTDA.</t>
  </si>
  <si>
    <t>ECUARUBBER</t>
  </si>
  <si>
    <t>SL. 8-C</t>
  </si>
  <si>
    <t>ENTRADA DEL PARQUE INDUSTRIAL A LA DERECHA</t>
  </si>
  <si>
    <t>032434027</t>
  </si>
  <si>
    <t>OSCAR MAURICIO VILLACIS TOAPANTA</t>
  </si>
  <si>
    <t>SHELVES ECUADOR S.A.S.</t>
  </si>
  <si>
    <t>CARRETERA TENA BAEZA</t>
  </si>
  <si>
    <t>TRUJILLO ORTIZ PAUL FERNANDO</t>
  </si>
  <si>
    <t>RIO YANAYACU</t>
  </si>
  <si>
    <t>I06</t>
  </si>
  <si>
    <t>RIO GUAPANTE</t>
  </si>
  <si>
    <t>CDLA. NUEVO AMBATO, ATRAS DE LOS TANQUES DE PETROCOMERCIAL</t>
  </si>
  <si>
    <t>INSERMADERA S.A.</t>
  </si>
  <si>
    <t>INDUSTRIA Y SERVICIOS MADERA SA</t>
  </si>
  <si>
    <t>PSJE. MANIL</t>
  </si>
  <si>
    <t>DIAGONAL A LA SECRETARIA NACIONAL DE RIESGOS</t>
  </si>
  <si>
    <t>032967849</t>
  </si>
  <si>
    <t>JEAN HARO</t>
  </si>
  <si>
    <t>EMPRESA MERCANTIL AGROVETERINARIA EMAGROVET CIA. LTDA.</t>
  </si>
  <si>
    <t>AV. CEVALLOS</t>
  </si>
  <si>
    <t>15-67</t>
  </si>
  <si>
    <t>MERA</t>
  </si>
  <si>
    <t>EDF. ASOCIACION DE EMPLEADOS</t>
  </si>
  <si>
    <t>PISO 5</t>
  </si>
  <si>
    <t>SAN FRANCISCO</t>
  </si>
  <si>
    <t>A MEDIA CUADRA DE LA IGLESIA SANTO DOMINGO</t>
  </si>
  <si>
    <t>032829272</t>
  </si>
  <si>
    <t>LOPEZ MORALES RAFAEL DAVID</t>
  </si>
  <si>
    <t>PANELES Y CONSTRUCCIONES PANECONS S.A</t>
  </si>
  <si>
    <t>PANECONS SA</t>
  </si>
  <si>
    <t>LUIS MIDEROS</t>
  </si>
  <si>
    <t>NUEVA VIDA</t>
  </si>
  <si>
    <t>DETRÁS DEL AEROPUERTO DE LATACUNGA</t>
  </si>
  <si>
    <t>022231441</t>
  </si>
  <si>
    <t>GEOVANNA TAPIA</t>
  </si>
  <si>
    <t>ECUATORIANA DE TEJIDOS ECUATEJIDOS CIA. LTDA</t>
  </si>
  <si>
    <t>PRINCIPAL</t>
  </si>
  <si>
    <t>A UNA CUADRA DE ECOFROZZ</t>
  </si>
  <si>
    <t>CRESPO RUIZ JESUS FRANCISCO</t>
  </si>
  <si>
    <t xml:space="preserve">AC CAMPO </t>
  </si>
  <si>
    <t>13660771080</t>
  </si>
  <si>
    <t>0891710887001</t>
  </si>
  <si>
    <t>42523858178</t>
  </si>
  <si>
    <t>14829035171</t>
  </si>
  <si>
    <t>1790841553001</t>
  </si>
  <si>
    <t>49663901175</t>
  </si>
  <si>
    <t>44471371171</t>
  </si>
  <si>
    <t>1792390443001</t>
  </si>
  <si>
    <t>13720540104</t>
  </si>
  <si>
    <t>1090110264001</t>
  </si>
  <si>
    <t>44333098170</t>
  </si>
  <si>
    <t>1708520489001</t>
  </si>
  <si>
    <t>13717374104</t>
  </si>
  <si>
    <t>1002079281001</t>
  </si>
  <si>
    <t>14863554170</t>
  </si>
  <si>
    <t>1790013847001</t>
  </si>
  <si>
    <t>42108863107</t>
  </si>
  <si>
    <t>1002635561001</t>
  </si>
  <si>
    <t>42026849106</t>
  </si>
  <si>
    <t>1002832077001</t>
  </si>
  <si>
    <t>49450230102</t>
  </si>
  <si>
    <t>1091789287001</t>
  </si>
  <si>
    <t>13712770109</t>
  </si>
  <si>
    <t>1000700276001</t>
  </si>
  <si>
    <t>14843127101</t>
  </si>
  <si>
    <t>1002118527001</t>
  </si>
  <si>
    <t>13825028174</t>
  </si>
  <si>
    <t>1790550370001</t>
  </si>
  <si>
    <t>44322259171</t>
  </si>
  <si>
    <t>47560163173</t>
  </si>
  <si>
    <t>14799227178</t>
  </si>
  <si>
    <t>1791754220001</t>
  </si>
  <si>
    <t>49664424214</t>
  </si>
  <si>
    <t>2191772442001</t>
  </si>
  <si>
    <t>13830773171</t>
  </si>
  <si>
    <t>1792179297001</t>
  </si>
  <si>
    <t>47027798175</t>
  </si>
  <si>
    <t>47065989171</t>
  </si>
  <si>
    <t>1792599008001</t>
  </si>
  <si>
    <t>44432715105</t>
  </si>
  <si>
    <t>1091737198001</t>
  </si>
  <si>
    <t>13831227171</t>
  </si>
  <si>
    <t>49168160177</t>
  </si>
  <si>
    <t>1793014992001</t>
  </si>
  <si>
    <t>47031579178</t>
  </si>
  <si>
    <t>1792560845001</t>
  </si>
  <si>
    <t>14732425102</t>
  </si>
  <si>
    <t>1001773223001</t>
  </si>
  <si>
    <t>49460396173</t>
  </si>
  <si>
    <t>47785175171</t>
  </si>
  <si>
    <t>46870081219</t>
  </si>
  <si>
    <t>2191730022001</t>
  </si>
  <si>
    <t>46630555175</t>
  </si>
  <si>
    <t>1792447208001</t>
  </si>
  <si>
    <t>14669899174</t>
  </si>
  <si>
    <t>13828923174</t>
  </si>
  <si>
    <t>22316826176</t>
  </si>
  <si>
    <t>1792082382001</t>
  </si>
  <si>
    <t>14626739084</t>
  </si>
  <si>
    <t>0891701624001</t>
  </si>
  <si>
    <t>14691533175</t>
  </si>
  <si>
    <t>1790955745001</t>
  </si>
  <si>
    <t>46839752172</t>
  </si>
  <si>
    <t>1792483093001</t>
  </si>
  <si>
    <t>14863728178</t>
  </si>
  <si>
    <t>1790030105001</t>
  </si>
  <si>
    <t>47559489081</t>
  </si>
  <si>
    <t>0891757328001</t>
  </si>
  <si>
    <t>44548817177</t>
  </si>
  <si>
    <t>1792402883001</t>
  </si>
  <si>
    <t>49651850176</t>
  </si>
  <si>
    <t>46625211174</t>
  </si>
  <si>
    <t>1792433304001</t>
  </si>
  <si>
    <t>48276902175</t>
  </si>
  <si>
    <t>1792933609001</t>
  </si>
  <si>
    <t>47561348177</t>
  </si>
  <si>
    <t>1792818982001</t>
  </si>
  <si>
    <t>13826260178</t>
  </si>
  <si>
    <t>1791323025001</t>
  </si>
  <si>
    <t>14790700172</t>
  </si>
  <si>
    <t>47336199081</t>
  </si>
  <si>
    <t>0891751842001</t>
  </si>
  <si>
    <t>13824797174</t>
  </si>
  <si>
    <t>1790326772001</t>
  </si>
  <si>
    <t>13824974173</t>
  </si>
  <si>
    <t>1790506886001</t>
  </si>
  <si>
    <t>13826050173</t>
  </si>
  <si>
    <t>1791288246001</t>
  </si>
  <si>
    <t>13825594170</t>
  </si>
  <si>
    <t>1791082052001</t>
  </si>
  <si>
    <t>13824493175</t>
  </si>
  <si>
    <t>1790015718001</t>
  </si>
  <si>
    <t>13826583171</t>
  </si>
  <si>
    <t>1791395379001</t>
  </si>
  <si>
    <t>13824479172</t>
  </si>
  <si>
    <t>1790012298001</t>
  </si>
  <si>
    <t>14877535178</t>
  </si>
  <si>
    <t>1790469395001</t>
  </si>
  <si>
    <t>13720490107</t>
  </si>
  <si>
    <t>1090087203001</t>
  </si>
  <si>
    <t>14665759173</t>
  </si>
  <si>
    <t>1708525678001</t>
  </si>
  <si>
    <t>14807415175</t>
  </si>
  <si>
    <t>1790554295001</t>
  </si>
  <si>
    <t>13830908174</t>
  </si>
  <si>
    <t>1792190371001</t>
  </si>
  <si>
    <t>13825575175</t>
  </si>
  <si>
    <t>1791063406001</t>
  </si>
  <si>
    <t>14660947176</t>
  </si>
  <si>
    <t>1791344316001</t>
  </si>
  <si>
    <t>14793136171</t>
  </si>
  <si>
    <t>1792018420001</t>
  </si>
  <si>
    <t>13824992171</t>
  </si>
  <si>
    <t>1790524868001</t>
  </si>
  <si>
    <t>46785857178</t>
  </si>
  <si>
    <t>1792546567001</t>
  </si>
  <si>
    <t>13824578171</t>
  </si>
  <si>
    <t>1790074889001</t>
  </si>
  <si>
    <t>14870089172</t>
  </si>
  <si>
    <t>1790336352001</t>
  </si>
  <si>
    <t>13830255171</t>
  </si>
  <si>
    <t>1792124867001</t>
  </si>
  <si>
    <t>14620855171</t>
  </si>
  <si>
    <t>1791773268001</t>
  </si>
  <si>
    <t>14688037175</t>
  </si>
  <si>
    <t>1791399927001</t>
  </si>
  <si>
    <t>14789853178</t>
  </si>
  <si>
    <t>22316721170</t>
  </si>
  <si>
    <t>1790263061001</t>
  </si>
  <si>
    <t>13826483177</t>
  </si>
  <si>
    <t>13824662171</t>
  </si>
  <si>
    <t>1790163776001</t>
  </si>
  <si>
    <t>13824657178</t>
  </si>
  <si>
    <t>1790160793001</t>
  </si>
  <si>
    <t>13824656171</t>
  </si>
  <si>
    <t>1790160653001</t>
  </si>
  <si>
    <t>46885614086</t>
  </si>
  <si>
    <t>0891742622001</t>
  </si>
  <si>
    <t>22315118178</t>
  </si>
  <si>
    <t>1791166507001</t>
  </si>
  <si>
    <t>14774884174</t>
  </si>
  <si>
    <t>1790663671001</t>
  </si>
  <si>
    <t>13763376138</t>
  </si>
  <si>
    <t>1390000991001</t>
  </si>
  <si>
    <t>13824526171</t>
  </si>
  <si>
    <t>1790024857001</t>
  </si>
  <si>
    <t>13824590171</t>
  </si>
  <si>
    <t>1790084604001</t>
  </si>
  <si>
    <t>14829916178</t>
  </si>
  <si>
    <t>1791314379001</t>
  </si>
  <si>
    <t>14719610171</t>
  </si>
  <si>
    <t>1792109485001</t>
  </si>
  <si>
    <t>13824796178</t>
  </si>
  <si>
    <t>1790326136001</t>
  </si>
  <si>
    <t>14863718172</t>
  </si>
  <si>
    <t>1790026760001</t>
  </si>
  <si>
    <t>14680398179</t>
  </si>
  <si>
    <t>1792254590001</t>
  </si>
  <si>
    <t>13824546171</t>
  </si>
  <si>
    <t>1790039269001</t>
  </si>
  <si>
    <t>14663846176</t>
  </si>
  <si>
    <t>1790951626001</t>
  </si>
  <si>
    <t>13824441175</t>
  </si>
  <si>
    <t>1790004724001</t>
  </si>
  <si>
    <t>14870227176</t>
  </si>
  <si>
    <t>1790199568001</t>
  </si>
  <si>
    <t>13824559176</t>
  </si>
  <si>
    <t>1790046621001</t>
  </si>
  <si>
    <t>14729140172</t>
  </si>
  <si>
    <t>1791859596001</t>
  </si>
  <si>
    <t>13824548174</t>
  </si>
  <si>
    <t>1790040968001</t>
  </si>
  <si>
    <t>13824513176</t>
  </si>
  <si>
    <t>1790021203001</t>
  </si>
  <si>
    <t>13825901170</t>
  </si>
  <si>
    <t>1791262948001</t>
  </si>
  <si>
    <t>14664515173</t>
  </si>
  <si>
    <t>1792326427001</t>
  </si>
  <si>
    <t>14792230173</t>
  </si>
  <si>
    <t>1791361342001</t>
  </si>
  <si>
    <t>14863478171</t>
  </si>
  <si>
    <t>1790007499001</t>
  </si>
  <si>
    <t>13825027178</t>
  </si>
  <si>
    <t>1790550176001</t>
  </si>
  <si>
    <t>14863550174</t>
  </si>
  <si>
    <t>1790013324001</t>
  </si>
  <si>
    <t>13763885130</t>
  </si>
  <si>
    <t>1391738986001</t>
  </si>
  <si>
    <t>14866605174</t>
  </si>
  <si>
    <t>1790021130001</t>
  </si>
  <si>
    <t>13705536095</t>
  </si>
  <si>
    <t>0990340234001</t>
  </si>
  <si>
    <t>14865732172</t>
  </si>
  <si>
    <t>1790378489001</t>
  </si>
  <si>
    <t>14877668178</t>
  </si>
  <si>
    <t>1790015785001</t>
  </si>
  <si>
    <t>13824531174</t>
  </si>
  <si>
    <t>1790027864001</t>
  </si>
  <si>
    <t>14873877058</t>
  </si>
  <si>
    <t>0590031399001</t>
  </si>
  <si>
    <t>13826117171</t>
  </si>
  <si>
    <t>1791299035001</t>
  </si>
  <si>
    <t>14803094170</t>
  </si>
  <si>
    <t>1791770684001</t>
  </si>
  <si>
    <t>44504685231</t>
  </si>
  <si>
    <t>2390012325001</t>
  </si>
  <si>
    <t>13824448170</t>
  </si>
  <si>
    <t>1790006409001</t>
  </si>
  <si>
    <t>14870835176</t>
  </si>
  <si>
    <t>1790249646001</t>
  </si>
  <si>
    <t>13826741176</t>
  </si>
  <si>
    <t>1791410653001</t>
  </si>
  <si>
    <t>46672996171</t>
  </si>
  <si>
    <t>1792449898001</t>
  </si>
  <si>
    <t>14621351177</t>
  </si>
  <si>
    <t>1790862917001</t>
  </si>
  <si>
    <t>13828611172</t>
  </si>
  <si>
    <t>1791936736001</t>
  </si>
  <si>
    <t>14870020172</t>
  </si>
  <si>
    <t>1790085503001</t>
  </si>
  <si>
    <t>13824484176</t>
  </si>
  <si>
    <t>1790013502001</t>
  </si>
  <si>
    <t>44594583172</t>
  </si>
  <si>
    <t>13826101177</t>
  </si>
  <si>
    <t>1791297385001</t>
  </si>
  <si>
    <t>13825628171</t>
  </si>
  <si>
    <t>1791125762001</t>
  </si>
  <si>
    <t>13830347172</t>
  </si>
  <si>
    <t>1792134560001</t>
  </si>
  <si>
    <t>14870885173</t>
  </si>
  <si>
    <t>1790093840001</t>
  </si>
  <si>
    <t>13824485172</t>
  </si>
  <si>
    <t>1790013561001</t>
  </si>
  <si>
    <t>13825270170</t>
  </si>
  <si>
    <t>1790801217001</t>
  </si>
  <si>
    <t>14741721172</t>
  </si>
  <si>
    <t>1792306302001</t>
  </si>
  <si>
    <t>14873389096</t>
  </si>
  <si>
    <t>0990000964001</t>
  </si>
  <si>
    <t>14771574174</t>
  </si>
  <si>
    <t>1791739752001</t>
  </si>
  <si>
    <t>14831445174</t>
  </si>
  <si>
    <t>1790579077001</t>
  </si>
  <si>
    <t>14709983173</t>
  </si>
  <si>
    <t>1791855647001</t>
  </si>
  <si>
    <t>48276746173</t>
  </si>
  <si>
    <t>1792871808001</t>
  </si>
  <si>
    <t>14633297178</t>
  </si>
  <si>
    <t>1792171083001</t>
  </si>
  <si>
    <t>14742993176</t>
  </si>
  <si>
    <t>1791433238001</t>
  </si>
  <si>
    <t>14775758172</t>
  </si>
  <si>
    <t>1791711076001</t>
  </si>
  <si>
    <t>49901594171</t>
  </si>
  <si>
    <t>1793194050001</t>
  </si>
  <si>
    <t>13831056171</t>
  </si>
  <si>
    <t>1792204690001</t>
  </si>
  <si>
    <t>14641669173</t>
  </si>
  <si>
    <t>1790726622001</t>
  </si>
  <si>
    <t>42816035176</t>
  </si>
  <si>
    <t>1717429235001</t>
  </si>
  <si>
    <t>47262555174</t>
  </si>
  <si>
    <t>1715825996001</t>
  </si>
  <si>
    <t>49493099174</t>
  </si>
  <si>
    <t>1793054609001</t>
  </si>
  <si>
    <t>13827141172</t>
  </si>
  <si>
    <t>1791731824001</t>
  </si>
  <si>
    <t>43306270177</t>
  </si>
  <si>
    <t>1704835378001</t>
  </si>
  <si>
    <t>14637443179</t>
  </si>
  <si>
    <t>1792201861001</t>
  </si>
  <si>
    <t>14830415174</t>
  </si>
  <si>
    <t>1792136466001</t>
  </si>
  <si>
    <t>46849657178</t>
  </si>
  <si>
    <t>1792862248001</t>
  </si>
  <si>
    <t>41964616173</t>
  </si>
  <si>
    <t>1792339952001</t>
  </si>
  <si>
    <t>13828190177</t>
  </si>
  <si>
    <t>1791873742001</t>
  </si>
  <si>
    <t>14837785171</t>
  </si>
  <si>
    <t>1790844900001</t>
  </si>
  <si>
    <t>49760870179</t>
  </si>
  <si>
    <t>1793181406001</t>
  </si>
  <si>
    <t>14873221179</t>
  </si>
  <si>
    <t>1790242773001</t>
  </si>
  <si>
    <t>47293405171</t>
  </si>
  <si>
    <t>1792651948001</t>
  </si>
  <si>
    <t>44326682176</t>
  </si>
  <si>
    <t>1709729196001</t>
  </si>
  <si>
    <t>14685445175</t>
  </si>
  <si>
    <t>1791911962001</t>
  </si>
  <si>
    <t>46953242176</t>
  </si>
  <si>
    <t>1792926297001</t>
  </si>
  <si>
    <t>46847144173</t>
  </si>
  <si>
    <t>1792926726001</t>
  </si>
  <si>
    <t>14801354174</t>
  </si>
  <si>
    <t>1706394986001</t>
  </si>
  <si>
    <t>44292119175</t>
  </si>
  <si>
    <t>1708458177001</t>
  </si>
  <si>
    <t>44381473179</t>
  </si>
  <si>
    <t>1792385512001</t>
  </si>
  <si>
    <t>14851969170</t>
  </si>
  <si>
    <t>1792107067001</t>
  </si>
  <si>
    <t>49391149100</t>
  </si>
  <si>
    <t>1091781588001</t>
  </si>
  <si>
    <t>42828185173</t>
  </si>
  <si>
    <t>1702158310001</t>
  </si>
  <si>
    <t>42878298173</t>
  </si>
  <si>
    <t>1710318542001</t>
  </si>
  <si>
    <t>14646952175</t>
  </si>
  <si>
    <t>1701491050001</t>
  </si>
  <si>
    <t>14864584170</t>
  </si>
  <si>
    <t>1790188973001</t>
  </si>
  <si>
    <t>14846779176</t>
  </si>
  <si>
    <t>1791414667001</t>
  </si>
  <si>
    <t>42874005171</t>
  </si>
  <si>
    <t>1706742606001</t>
  </si>
  <si>
    <t>47465172173</t>
  </si>
  <si>
    <t>1792655196001</t>
  </si>
  <si>
    <t>14776638171</t>
  </si>
  <si>
    <t>1707440267001</t>
  </si>
  <si>
    <t>14744295174</t>
  </si>
  <si>
    <t>1792322189001</t>
  </si>
  <si>
    <t>14869640175</t>
  </si>
  <si>
    <t>1790241157001</t>
  </si>
  <si>
    <t>49626161170</t>
  </si>
  <si>
    <t>1793087108001</t>
  </si>
  <si>
    <t>49518653171</t>
  </si>
  <si>
    <t>1793075223001</t>
  </si>
  <si>
    <t>43308092179</t>
  </si>
  <si>
    <t>1712782836001</t>
  </si>
  <si>
    <t>14837465100</t>
  </si>
  <si>
    <t>1001831856001</t>
  </si>
  <si>
    <t>47028633170</t>
  </si>
  <si>
    <t>1792557747001</t>
  </si>
  <si>
    <t>14791857172</t>
  </si>
  <si>
    <t>1792060613001</t>
  </si>
  <si>
    <t>13826981177</t>
  </si>
  <si>
    <t>1791710657001</t>
  </si>
  <si>
    <t>47032469171</t>
  </si>
  <si>
    <t>1792607426001</t>
  </si>
  <si>
    <t>13824996177</t>
  </si>
  <si>
    <t>1790526526001</t>
  </si>
  <si>
    <t>14648590173</t>
  </si>
  <si>
    <t>1791904516001</t>
  </si>
  <si>
    <t>13824456172</t>
  </si>
  <si>
    <t>1790007871001</t>
  </si>
  <si>
    <t>13825291177</t>
  </si>
  <si>
    <t>1790824977001</t>
  </si>
  <si>
    <t>13825167174</t>
  </si>
  <si>
    <t>1790703657001</t>
  </si>
  <si>
    <t>13827466179</t>
  </si>
  <si>
    <t>1791772121001</t>
  </si>
  <si>
    <t>14848702171</t>
  </si>
  <si>
    <t>1792318858001</t>
  </si>
  <si>
    <t>14804105175</t>
  </si>
  <si>
    <t>1792251214001</t>
  </si>
  <si>
    <t>14605290176</t>
  </si>
  <si>
    <t>1791775244001</t>
  </si>
  <si>
    <t>14783511178</t>
  </si>
  <si>
    <t>1791713494001</t>
  </si>
  <si>
    <t>14797643174</t>
  </si>
  <si>
    <t>1791436210001</t>
  </si>
  <si>
    <t>13825857171</t>
  </si>
  <si>
    <t>1791255291001</t>
  </si>
  <si>
    <t>13825470179</t>
  </si>
  <si>
    <t>1790980642001</t>
  </si>
  <si>
    <t>13824852175</t>
  </si>
  <si>
    <t>1790389219001</t>
  </si>
  <si>
    <t>14795346172</t>
  </si>
  <si>
    <t>1792029368001</t>
  </si>
  <si>
    <t>42813943179</t>
  </si>
  <si>
    <t>1707951271001</t>
  </si>
  <si>
    <t>42813988172</t>
  </si>
  <si>
    <t>1710982081001</t>
  </si>
  <si>
    <t>44338475184</t>
  </si>
  <si>
    <t>1802025427001</t>
  </si>
  <si>
    <t>47555308171</t>
  </si>
  <si>
    <t>1792766230001</t>
  </si>
  <si>
    <t>13824449176</t>
  </si>
  <si>
    <t>1790006506001</t>
  </si>
  <si>
    <t>14678308171</t>
  </si>
  <si>
    <t>1704645199001</t>
  </si>
  <si>
    <t>46976398173</t>
  </si>
  <si>
    <t>1792880076001</t>
  </si>
  <si>
    <t>14737780172</t>
  </si>
  <si>
    <t>1792059461001</t>
  </si>
  <si>
    <t>14869970175</t>
  </si>
  <si>
    <t>1790037304001</t>
  </si>
  <si>
    <t>49395693173</t>
  </si>
  <si>
    <t>1792957885001</t>
  </si>
  <si>
    <t>42596010118</t>
  </si>
  <si>
    <t>1101389086001</t>
  </si>
  <si>
    <t>46628379173</t>
  </si>
  <si>
    <t>1792431042001</t>
  </si>
  <si>
    <t>50020156179</t>
  </si>
  <si>
    <t>1793199213001</t>
  </si>
  <si>
    <t>13793968170</t>
  </si>
  <si>
    <t>1708450901001</t>
  </si>
  <si>
    <t>49509957176</t>
  </si>
  <si>
    <t>1793066461001</t>
  </si>
  <si>
    <t>47454083179</t>
  </si>
  <si>
    <t>1792723671001</t>
  </si>
  <si>
    <t>44199497178</t>
  </si>
  <si>
    <t>1712239316001</t>
  </si>
  <si>
    <t>14817463178</t>
  </si>
  <si>
    <t>1792285178001</t>
  </si>
  <si>
    <t>13777276179</t>
  </si>
  <si>
    <t>1703628071001</t>
  </si>
  <si>
    <t>47106915179</t>
  </si>
  <si>
    <t>1792904285001</t>
  </si>
  <si>
    <t>13824601172</t>
  </si>
  <si>
    <t>1790095754001</t>
  </si>
  <si>
    <t>47251858175</t>
  </si>
  <si>
    <t>1792691982001</t>
  </si>
  <si>
    <t>14634118170</t>
  </si>
  <si>
    <t>1790673286001</t>
  </si>
  <si>
    <t>13829963170</t>
  </si>
  <si>
    <t>1792096065001</t>
  </si>
  <si>
    <t>13825945177</t>
  </si>
  <si>
    <t>1791271688001</t>
  </si>
  <si>
    <t>13828969174</t>
  </si>
  <si>
    <t>1791987802001</t>
  </si>
  <si>
    <t>43604752176</t>
  </si>
  <si>
    <t>1705297891001</t>
  </si>
  <si>
    <t>46780213175</t>
  </si>
  <si>
    <t>1792490049001</t>
  </si>
  <si>
    <t>44331331179</t>
  </si>
  <si>
    <t>1706373550001</t>
  </si>
  <si>
    <t>14790175094</t>
  </si>
  <si>
    <t>0992263695001</t>
  </si>
  <si>
    <t>13826217175</t>
  </si>
  <si>
    <t>1791313305001</t>
  </si>
  <si>
    <t>14870841176</t>
  </si>
  <si>
    <t>1790015726001</t>
  </si>
  <si>
    <t>14865347171</t>
  </si>
  <si>
    <t>1792735203001</t>
  </si>
  <si>
    <t>13829270174</t>
  </si>
  <si>
    <t>1792022673001</t>
  </si>
  <si>
    <t>14627632178</t>
  </si>
  <si>
    <t>1791929675001</t>
  </si>
  <si>
    <t>14768589179</t>
  </si>
  <si>
    <t>1792189896001</t>
  </si>
  <si>
    <t>14621880170</t>
  </si>
  <si>
    <t>1792206391001</t>
  </si>
  <si>
    <t>46863084172</t>
  </si>
  <si>
    <t>1721748992001</t>
  </si>
  <si>
    <t>22316723172</t>
  </si>
  <si>
    <t>1790312518001</t>
  </si>
  <si>
    <t>13826362175</t>
  </si>
  <si>
    <t>1791345223001</t>
  </si>
  <si>
    <t>13826599175</t>
  </si>
  <si>
    <t>1791396669001</t>
  </si>
  <si>
    <t>49626060179</t>
  </si>
  <si>
    <t>1793107613001</t>
  </si>
  <si>
    <t>49336776171</t>
  </si>
  <si>
    <t>1793027911001</t>
  </si>
  <si>
    <t>41936325171</t>
  </si>
  <si>
    <t>1792332788001</t>
  </si>
  <si>
    <t>47001512176</t>
  </si>
  <si>
    <t>1792923190001</t>
  </si>
  <si>
    <t>13829873171</t>
  </si>
  <si>
    <t>1792085756001</t>
  </si>
  <si>
    <t>47362078179</t>
  </si>
  <si>
    <t>1792687527001</t>
  </si>
  <si>
    <t>47035146179</t>
  </si>
  <si>
    <t>1792879620001</t>
  </si>
  <si>
    <t>49679182179</t>
  </si>
  <si>
    <t>1793159486001</t>
  </si>
  <si>
    <t>44333234171</t>
  </si>
  <si>
    <t>1712648011001</t>
  </si>
  <si>
    <t>42075588172</t>
  </si>
  <si>
    <t>1709077000001</t>
  </si>
  <si>
    <t>13797315171</t>
  </si>
  <si>
    <t>1709399412001</t>
  </si>
  <si>
    <t>47739545176</t>
  </si>
  <si>
    <t>1792729823001</t>
  </si>
  <si>
    <t>49396111178</t>
  </si>
  <si>
    <t>1792951836001</t>
  </si>
  <si>
    <t>14792539174</t>
  </si>
  <si>
    <t>1792228239001</t>
  </si>
  <si>
    <t>42861120176</t>
  </si>
  <si>
    <t>1707977433001</t>
  </si>
  <si>
    <t>14633914177</t>
  </si>
  <si>
    <t>1716439599001</t>
  </si>
  <si>
    <t>13798941172</t>
  </si>
  <si>
    <t>1709853319001</t>
  </si>
  <si>
    <t>46769808175</t>
  </si>
  <si>
    <t>1792506700001</t>
  </si>
  <si>
    <t>47115024171</t>
  </si>
  <si>
    <t>1792886066001</t>
  </si>
  <si>
    <t>49370345171</t>
  </si>
  <si>
    <t>1793010040001</t>
  </si>
  <si>
    <t>14687716176</t>
  </si>
  <si>
    <t>1792028272001</t>
  </si>
  <si>
    <t>14862934173</t>
  </si>
  <si>
    <t>1790014967001</t>
  </si>
  <si>
    <t>14849422171</t>
  </si>
  <si>
    <t>1792146070001</t>
  </si>
  <si>
    <t>14816850178</t>
  </si>
  <si>
    <t>1790719383001</t>
  </si>
  <si>
    <t>47030763170</t>
  </si>
  <si>
    <t>1792578019001</t>
  </si>
  <si>
    <t>14694059172</t>
  </si>
  <si>
    <t>1792230241001</t>
  </si>
  <si>
    <t>14761979176</t>
  </si>
  <si>
    <t>1792322537001</t>
  </si>
  <si>
    <t>14800741174</t>
  </si>
  <si>
    <t>1791712765001</t>
  </si>
  <si>
    <t>22315111173</t>
  </si>
  <si>
    <t>1790843076001</t>
  </si>
  <si>
    <t>46678523178</t>
  </si>
  <si>
    <t>1792432626001</t>
  </si>
  <si>
    <t>13826418171</t>
  </si>
  <si>
    <t>1791353455001</t>
  </si>
  <si>
    <t>14751768177</t>
  </si>
  <si>
    <t>1791218183001</t>
  </si>
  <si>
    <t>14865994177</t>
  </si>
  <si>
    <t>1790425282001</t>
  </si>
  <si>
    <t>14704371170</t>
  </si>
  <si>
    <t>1791728785001</t>
  </si>
  <si>
    <t>14685037182</t>
  </si>
  <si>
    <t>14818657057</t>
  </si>
  <si>
    <t>44413942184</t>
  </si>
  <si>
    <t>1891746543001</t>
  </si>
  <si>
    <t>13846459183</t>
  </si>
  <si>
    <t>47555569161</t>
  </si>
  <si>
    <t>42880321182</t>
  </si>
  <si>
    <t>42901878182</t>
  </si>
  <si>
    <t>1802292225001</t>
  </si>
  <si>
    <t>42902247186</t>
  </si>
  <si>
    <t>13832421183</t>
  </si>
  <si>
    <t>13835590181</t>
  </si>
  <si>
    <t>41949156182</t>
  </si>
  <si>
    <t>14718118183</t>
  </si>
  <si>
    <t>1890139031001</t>
  </si>
  <si>
    <t>14661659182</t>
  </si>
  <si>
    <t>1801713684001</t>
  </si>
  <si>
    <t>41952774067</t>
  </si>
  <si>
    <t>0691734048001</t>
  </si>
  <si>
    <t>13627535061</t>
  </si>
  <si>
    <t>14824036188</t>
  </si>
  <si>
    <t>13846655187</t>
  </si>
  <si>
    <t>43376769063</t>
  </si>
  <si>
    <t>13838648180</t>
  </si>
  <si>
    <t>41998423188</t>
  </si>
  <si>
    <t>13816831177</t>
  </si>
  <si>
    <t>49662921067</t>
  </si>
  <si>
    <t>0691780961001</t>
  </si>
  <si>
    <t>14837607176</t>
  </si>
  <si>
    <t>14724787097</t>
  </si>
  <si>
    <t>44331833182</t>
  </si>
  <si>
    <t>1804162673001</t>
  </si>
  <si>
    <t>42418292185</t>
  </si>
  <si>
    <t>1804205316001</t>
  </si>
  <si>
    <t>13628654063</t>
  </si>
  <si>
    <t>13844361186</t>
  </si>
  <si>
    <t>1803339231001</t>
  </si>
  <si>
    <t>13842001182</t>
  </si>
  <si>
    <t>46835174182</t>
  </si>
  <si>
    <t>13846574187</t>
  </si>
  <si>
    <t>13846927187</t>
  </si>
  <si>
    <t>14647777181</t>
  </si>
  <si>
    <t>14746501189</t>
  </si>
  <si>
    <t>1802990141001</t>
  </si>
  <si>
    <t>13832442181</t>
  </si>
  <si>
    <t>44326279185</t>
  </si>
  <si>
    <t>1801963776001</t>
  </si>
  <si>
    <t>13846662183</t>
  </si>
  <si>
    <t>13846405181</t>
  </si>
  <si>
    <t>14604990182</t>
  </si>
  <si>
    <t>47099586181</t>
  </si>
  <si>
    <t>1891762697001</t>
  </si>
  <si>
    <t>47023564188</t>
  </si>
  <si>
    <t>1891760724001</t>
  </si>
  <si>
    <t>46724433189</t>
  </si>
  <si>
    <t>14601314186</t>
  </si>
  <si>
    <t>14786361185</t>
  </si>
  <si>
    <t>49665792152</t>
  </si>
  <si>
    <t>1591726613001</t>
  </si>
  <si>
    <t>13621569052</t>
  </si>
  <si>
    <t>47428451186</t>
  </si>
  <si>
    <t>47057656057</t>
  </si>
  <si>
    <t>42408641181</t>
  </si>
  <si>
    <t>42510066183</t>
  </si>
  <si>
    <t>1802191120001</t>
  </si>
  <si>
    <t>13837597182</t>
  </si>
  <si>
    <t>14676507184</t>
  </si>
  <si>
    <t>13836587183</t>
  </si>
  <si>
    <t>47034783060</t>
  </si>
  <si>
    <t>0691746593001</t>
  </si>
  <si>
    <t>14624999186</t>
  </si>
  <si>
    <t>1891715346001</t>
  </si>
  <si>
    <t>22313742052</t>
  </si>
  <si>
    <t>47740266051</t>
  </si>
  <si>
    <t>13618845057</t>
  </si>
  <si>
    <t>13834916180</t>
  </si>
  <si>
    <t>14817923187</t>
  </si>
  <si>
    <t>44447272188</t>
  </si>
  <si>
    <t>46953745054</t>
  </si>
  <si>
    <t>0591745751001</t>
  </si>
  <si>
    <t>14786830185</t>
  </si>
  <si>
    <t>14750796185</t>
  </si>
  <si>
    <t>13840731183</t>
  </si>
  <si>
    <t>13846385180</t>
  </si>
  <si>
    <t>49901007186</t>
  </si>
  <si>
    <t>13846480182</t>
  </si>
  <si>
    <t>SUR</t>
  </si>
  <si>
    <t>13655703076</t>
  </si>
  <si>
    <t>0790043472001</t>
  </si>
  <si>
    <t>44345187011</t>
  </si>
  <si>
    <t>0101371714001</t>
  </si>
  <si>
    <t>47067806111</t>
  </si>
  <si>
    <t>1191757463001</t>
  </si>
  <si>
    <t>49842721015</t>
  </si>
  <si>
    <t>0190496740001</t>
  </si>
  <si>
    <t>13590912012</t>
  </si>
  <si>
    <t>0102116589001</t>
  </si>
  <si>
    <t>13727184117</t>
  </si>
  <si>
    <t>1102441332001</t>
  </si>
  <si>
    <t>47280748079</t>
  </si>
  <si>
    <t>0791786568001</t>
  </si>
  <si>
    <t>47255872016</t>
  </si>
  <si>
    <t>0151355971001</t>
  </si>
  <si>
    <t>14663396090</t>
  </si>
  <si>
    <t>14751999012</t>
  </si>
  <si>
    <t>0190307883001</t>
  </si>
  <si>
    <t>47076329016</t>
  </si>
  <si>
    <t>0190410196001</t>
  </si>
  <si>
    <t>46858388015</t>
  </si>
  <si>
    <t>0190454886001</t>
  </si>
  <si>
    <t>14665500013</t>
  </si>
  <si>
    <t>47089152077</t>
  </si>
  <si>
    <t>0791779561001</t>
  </si>
  <si>
    <t>13735118115</t>
  </si>
  <si>
    <t>1191705749001</t>
  </si>
  <si>
    <t>43251774031</t>
  </si>
  <si>
    <t>0300409414001</t>
  </si>
  <si>
    <t>47261017012</t>
  </si>
  <si>
    <t>0190428818001</t>
  </si>
  <si>
    <t>49651544075</t>
  </si>
  <si>
    <t>0791836697001</t>
  </si>
  <si>
    <t>13602699018</t>
  </si>
  <si>
    <t>13602901011</t>
  </si>
  <si>
    <t>0190327213001</t>
  </si>
  <si>
    <t>42093314179</t>
  </si>
  <si>
    <t>47050911019</t>
  </si>
  <si>
    <t>0190460908001</t>
  </si>
  <si>
    <t>14875815017</t>
  </si>
  <si>
    <t>13583114011</t>
  </si>
  <si>
    <t>0100225168001</t>
  </si>
  <si>
    <t>13655999072</t>
  </si>
  <si>
    <t>0791711274001</t>
  </si>
  <si>
    <t>47024129019</t>
  </si>
  <si>
    <t>13598892011</t>
  </si>
  <si>
    <t>0103894093001</t>
  </si>
  <si>
    <t>47041582070</t>
  </si>
  <si>
    <t>0791802350001</t>
  </si>
  <si>
    <t>13603199019</t>
  </si>
  <si>
    <t>0190346315001</t>
  </si>
  <si>
    <t>13653830071</t>
  </si>
  <si>
    <t>0703888933001</t>
  </si>
  <si>
    <t>46840172015</t>
  </si>
  <si>
    <t>0190407241001</t>
  </si>
  <si>
    <t>49433916076</t>
  </si>
  <si>
    <t>0791825806001</t>
  </si>
  <si>
    <t>46972552071</t>
  </si>
  <si>
    <t>0791771285001</t>
  </si>
  <si>
    <t>44467237036</t>
  </si>
  <si>
    <t>0391014140001</t>
  </si>
  <si>
    <t>14678021017</t>
  </si>
  <si>
    <t>0190354474001</t>
  </si>
  <si>
    <t>49386182018</t>
  </si>
  <si>
    <t>0190482367001</t>
  </si>
  <si>
    <t>13602002017</t>
  </si>
  <si>
    <t>0190057127001</t>
  </si>
  <si>
    <t>13602081014</t>
  </si>
  <si>
    <t>0190099725001</t>
  </si>
  <si>
    <t>13602099011</t>
  </si>
  <si>
    <t>0190103536001</t>
  </si>
  <si>
    <t>44517858070</t>
  </si>
  <si>
    <t>0791756359001</t>
  </si>
  <si>
    <t>13601992013</t>
  </si>
  <si>
    <t>0190053687001</t>
  </si>
  <si>
    <t>47572645017</t>
  </si>
  <si>
    <t>0190445658001</t>
  </si>
  <si>
    <t>13655702070</t>
  </si>
  <si>
    <t>0790042727001</t>
  </si>
  <si>
    <t>13734937112</t>
  </si>
  <si>
    <t>1190049406001</t>
  </si>
  <si>
    <t>13655728079</t>
  </si>
  <si>
    <t>0790060288001</t>
  </si>
  <si>
    <t>46796244011</t>
  </si>
  <si>
    <t>0190405729001</t>
  </si>
  <si>
    <t>14801357076</t>
  </si>
  <si>
    <t>0790096258001</t>
  </si>
  <si>
    <t>13655835070</t>
  </si>
  <si>
    <t>0790101316001</t>
  </si>
  <si>
    <t>13602010010</t>
  </si>
  <si>
    <t>0190061264001</t>
  </si>
  <si>
    <t>13602176015</t>
  </si>
  <si>
    <t>0190133346001</t>
  </si>
  <si>
    <t>13602073011</t>
  </si>
  <si>
    <t>0190096343001</t>
  </si>
  <si>
    <t>44581203079</t>
  </si>
  <si>
    <t>0791757339001</t>
  </si>
  <si>
    <t>13603038015</t>
  </si>
  <si>
    <t>0190336603001</t>
  </si>
  <si>
    <t>13602122012</t>
  </si>
  <si>
    <t>0190114473001</t>
  </si>
  <si>
    <t>22313879074</t>
  </si>
  <si>
    <t>0791716535001</t>
  </si>
  <si>
    <t>13602997019</t>
  </si>
  <si>
    <t>0190333825001</t>
  </si>
  <si>
    <t>13601929010</t>
  </si>
  <si>
    <t>0190005070001</t>
  </si>
  <si>
    <t>13602007019</t>
  </si>
  <si>
    <t>0190058670001</t>
  </si>
  <si>
    <t>LITORAL</t>
  </si>
  <si>
    <t>49395539131</t>
  </si>
  <si>
    <t>1391900910001</t>
  </si>
  <si>
    <t>ASOCIACION DE SERVICIOS DE PROCESAMIENTO DE PRODUCTOS DEL MAR MUJERES EMPRENDEDORAS DE COAQUE ASOMUJEMCO</t>
  </si>
  <si>
    <t>AUTOP. PEDERNALES</t>
  </si>
  <si>
    <t>KM. 9</t>
  </si>
  <si>
    <t>SITIO COAQUE</t>
  </si>
  <si>
    <t>A LADO DE LA SALA DE BILLAR</t>
  </si>
  <si>
    <t>46932312131</t>
  </si>
  <si>
    <t>1391818297001</t>
  </si>
  <si>
    <t>HAIFENG ECUADOR S.A</t>
  </si>
  <si>
    <t>24</t>
  </si>
  <si>
    <t>VÍA PUNTA CARNERO</t>
  </si>
  <si>
    <t>DIAGONAL A LA GASOLINERA HERNANDEZ</t>
  </si>
  <si>
    <t>FLORES GONZABAY DANIEL ORLANDO</t>
  </si>
  <si>
    <t>49889330090</t>
  </si>
  <si>
    <t>0993375424001</t>
  </si>
  <si>
    <t>OPEMSUR S.A.S.</t>
  </si>
  <si>
    <t>09</t>
  </si>
  <si>
    <t>SOLAR 1</t>
  </si>
  <si>
    <t>SKY BUILDING</t>
  </si>
  <si>
    <t>426</t>
  </si>
  <si>
    <t>CDLA. BAHIA NORTE</t>
  </si>
  <si>
    <t>57</t>
  </si>
  <si>
    <t>FRENTE AL HOTEL HOLIDAY INN</t>
  </si>
  <si>
    <t>13705847091</t>
  </si>
  <si>
    <t>0990715890001</t>
  </si>
  <si>
    <t>CULTIVOS INDUSTRIALIZADOS DEL MAR CUINMAR S.A.</t>
  </si>
  <si>
    <t>CUINMAR SA</t>
  </si>
  <si>
    <t>CEDROS, CASUARINAS,LOTIZACION DE INMACONSA,9,3</t>
  </si>
  <si>
    <t>DIAGONAL AL COLEGIO LEONIDAS GARCIA</t>
  </si>
  <si>
    <t>042114158</t>
  </si>
  <si>
    <t>GRUNAUER SERRANO ALFONSO GUILLERMO</t>
  </si>
  <si>
    <t>49388490135</t>
  </si>
  <si>
    <t>1391906064001</t>
  </si>
  <si>
    <t>GRUEMARSAN S.A.</t>
  </si>
  <si>
    <t>VÍA VIA JARAMIJÓ   PUNTA BLANCA</t>
  </si>
  <si>
    <t>LOTZ. LOT. MAR DE BALBOA</t>
  </si>
  <si>
    <t>MZ. X</t>
  </si>
  <si>
    <t>A DOS CUADRAS DE LA FABRICA DE HIELO PESCA</t>
  </si>
  <si>
    <t>052677371</t>
  </si>
  <si>
    <t>DELGADO OZAETA MARLENE MONSERRATE</t>
  </si>
  <si>
    <t>49434047098</t>
  </si>
  <si>
    <t>0993239097001</t>
  </si>
  <si>
    <t>ACUISHRIMP S.A</t>
  </si>
  <si>
    <t>PALMERAS</t>
  </si>
  <si>
    <t>CASUARINAS</t>
  </si>
  <si>
    <t>DIAGONAL A AUTOPARTES, CONJUNTO: INMACONSA, CARRETERO: VIA DAULE, KILÓMETRO: 10.5</t>
  </si>
  <si>
    <t>VERA HEREDIA EDISON JAVIER</t>
  </si>
  <si>
    <t>14717183135</t>
  </si>
  <si>
    <t>1390097677001</t>
  </si>
  <si>
    <t>MARDEX MARISCOS DE EXPORTACION S.A.</t>
  </si>
  <si>
    <t>MARDEX SA</t>
  </si>
  <si>
    <t>124</t>
  </si>
  <si>
    <t>AV. 102</t>
  </si>
  <si>
    <t>LOS ESTEROS</t>
  </si>
  <si>
    <t>A LADO DE LA EMPRESA CONSERVAS ISABEL</t>
  </si>
  <si>
    <t>052384430</t>
  </si>
  <si>
    <t>MIRYAM LUCRECIA BRIONES PALMA</t>
  </si>
  <si>
    <t>43307626137</t>
  </si>
  <si>
    <t>1306868819001</t>
  </si>
  <si>
    <t>CEVALLOS LOAIZA MIGUEL HONORIO</t>
  </si>
  <si>
    <t>MALECON</t>
  </si>
  <si>
    <t>CALLE 13</t>
  </si>
  <si>
    <t>A LADO DE LA AGENCIA DEL BANCO INTERNACIONAL</t>
  </si>
  <si>
    <t>ZAMBRANO MERCHAN MERCEDES ELIZABETH</t>
  </si>
  <si>
    <t>14638580099</t>
  </si>
  <si>
    <t>0906931613001</t>
  </si>
  <si>
    <t>CABRERA MERCHAN ENRY WILLIAMS</t>
  </si>
  <si>
    <t>COMERCIAL CABRERA</t>
  </si>
  <si>
    <t>C102006</t>
  </si>
  <si>
    <t>AV. PRINCIPAL</t>
  </si>
  <si>
    <t>COMUNA SAN PABLO - JUNTO A LA PAMPA ANTONIO ASCENCIO</t>
  </si>
  <si>
    <t>ROSALES MUÑOZ ANGEL AMBROSIO</t>
  </si>
  <si>
    <t>44302235098</t>
  </si>
  <si>
    <t>0915393334001</t>
  </si>
  <si>
    <t>GONZALEZ GONZALEZ WELLINGTON ROLANDO</t>
  </si>
  <si>
    <t>ESQ.CANCHA DE BEISBOL</t>
  </si>
  <si>
    <t>ROCAFUERTE GONZALEZ JUAN EDUARDO</t>
  </si>
  <si>
    <t>42086409091</t>
  </si>
  <si>
    <t>0917646168001</t>
  </si>
  <si>
    <t>MORENO CEVALLOS ZULLY DE JESUS</t>
  </si>
  <si>
    <t>4 DE NOVIEMBRE</t>
  </si>
  <si>
    <t>137</t>
  </si>
  <si>
    <t>GALLEGOS LARA</t>
  </si>
  <si>
    <t>DIAGONAL A LA FARMACIA BUPAR</t>
  </si>
  <si>
    <t>043870438</t>
  </si>
  <si>
    <t>CELI LUCERO NEISER ADRIAN</t>
  </si>
  <si>
    <t>14723884099</t>
  </si>
  <si>
    <t>0992507977001</t>
  </si>
  <si>
    <t>SEIMAR S.A.</t>
  </si>
  <si>
    <t>KM. 138 VIA GUAYAQUIL SANTA ELENA</t>
  </si>
  <si>
    <t>138</t>
  </si>
  <si>
    <t>A UN COSTADO DE LA CARRETERA</t>
  </si>
  <si>
    <t>042397237</t>
  </si>
  <si>
    <t>MARCELO PROAÑO BORJA</t>
  </si>
  <si>
    <t>21291.00.01.01</t>
  </si>
  <si>
    <t>HARINA DE PESCADO</t>
  </si>
  <si>
    <t>49062583133</t>
  </si>
  <si>
    <t>1391908326001</t>
  </si>
  <si>
    <t>INDUSTRIA BIOACUATICA DEL PACIFICO SA IBP S.A.</t>
  </si>
  <si>
    <t>VÍA MANTA JARAMIJO</t>
  </si>
  <si>
    <t>VÍA ROCAFUERTE</t>
  </si>
  <si>
    <t>CDLA. VILLAMARINA</t>
  </si>
  <si>
    <t>BARRIO VILLAMARINA</t>
  </si>
  <si>
    <t>ETAPA 2, FRENTE A LA ENTRADA DE LA FAE</t>
  </si>
  <si>
    <t>14599399179</t>
  </si>
  <si>
    <t>1791409582001</t>
  </si>
  <si>
    <t>ALCOPALMA S.A.</t>
  </si>
  <si>
    <t>EXTRACTORA TEOBROMA</t>
  </si>
  <si>
    <t>23</t>
  </si>
  <si>
    <t>VIA QUININDE</t>
  </si>
  <si>
    <t>34</t>
  </si>
  <si>
    <t>ALCOPALMA</t>
  </si>
  <si>
    <t>JUNTO A LA EMPRESA VISA EN LECHE</t>
  </si>
  <si>
    <t>0984263249</t>
  </si>
  <si>
    <t>ROSA AGUIRRE</t>
  </si>
  <si>
    <t>22315347177</t>
  </si>
  <si>
    <t>1792185408001</t>
  </si>
  <si>
    <t>CHEMARAPALM S.A.</t>
  </si>
  <si>
    <t>CHEMARA</t>
  </si>
  <si>
    <t>VÍA SANTO DOMINGOQUININDÉ</t>
  </si>
  <si>
    <t>KM. 29</t>
  </si>
  <si>
    <t>SECTOR VALLE HERMOSO</t>
  </si>
  <si>
    <t>VALLE HERMOSO</t>
  </si>
  <si>
    <t>022462284</t>
  </si>
  <si>
    <t>MAYRA CHAVEZ</t>
  </si>
  <si>
    <t>49809553131</t>
  </si>
  <si>
    <t>1391924895001</t>
  </si>
  <si>
    <t>RICINO DEL ECUADOR RICINOEC S.A.</t>
  </si>
  <si>
    <t>U1</t>
  </si>
  <si>
    <t>Y AV U4</t>
  </si>
  <si>
    <t>49518573232</t>
  </si>
  <si>
    <t>2390055857001</t>
  </si>
  <si>
    <t>SOCIEDAD CIVIL Y COMERCIAL PROGRACON</t>
  </si>
  <si>
    <t>VIA A JULIO MORENO</t>
  </si>
  <si>
    <t>MARGEN IZQUIERDO</t>
  </si>
  <si>
    <t>JUNTO AL BALNEARIO LA PLAYITA, CONJUNTO: RECINTO NUEVOS HORIZONTES, KILÓMETRO: 7</t>
  </si>
  <si>
    <t>42409480173</t>
  </si>
  <si>
    <t>1720265394001</t>
  </si>
  <si>
    <t>GONZALEZ VARGAS EGNOS</t>
  </si>
  <si>
    <t>CASTRO BURGOS EVELYNE YARITZA</t>
  </si>
  <si>
    <t>PRODUCTOS FIBRA WEN</t>
  </si>
  <si>
    <t>JUNTO A LA QUINTA SANTA ISABEL</t>
  </si>
  <si>
    <t>CASTRO CEDEÑO DIANE YESENITH</t>
  </si>
  <si>
    <t>46544936093</t>
  </si>
  <si>
    <t>0992821078001</t>
  </si>
  <si>
    <t>AUDIT SUPPORT LEGAL S.A. SUPPORTLEGAL</t>
  </si>
  <si>
    <t>PLAZA VELEZ LUIS ALBERTO</t>
  </si>
  <si>
    <t>SUPPORTLEGAL</t>
  </si>
  <si>
    <t>NUEVE DE OCTUBRE</t>
  </si>
  <si>
    <t>100</t>
  </si>
  <si>
    <t>LA PREVISORA</t>
  </si>
  <si>
    <t>FRENTE AL BANCO INTERNACIONAL</t>
  </si>
  <si>
    <t>042309020</t>
  </si>
  <si>
    <t>SEVILLANO ARDILA KAREN GABRIELA</t>
  </si>
  <si>
    <t>14728931095</t>
  </si>
  <si>
    <t>0991164693001</t>
  </si>
  <si>
    <t>FAMOSAL S.A.</t>
  </si>
  <si>
    <t>MILLAN MENDOZA RONALD FABRIZIO</t>
  </si>
  <si>
    <t>JOSE LUIS TAMAYO</t>
  </si>
  <si>
    <t>MZ. 36</t>
  </si>
  <si>
    <t>BARRIO PARAISO</t>
  </si>
  <si>
    <t>A 4 CUADRAS DEL COLEGIO SIGLO 21</t>
  </si>
  <si>
    <t>042775414</t>
  </si>
  <si>
    <t>JORGE TREJO</t>
  </si>
  <si>
    <t>13708903099</t>
  </si>
  <si>
    <t>0992313617001</t>
  </si>
  <si>
    <t>PRODUCTOS QUIMICOS PILCO S.A. PROQUIPIL</t>
  </si>
  <si>
    <t>PRODUCTOS QUIMICOS PILCO S.A</t>
  </si>
  <si>
    <t>VIA A DAULE KM 11,5 CALLE BETA SOLAR 27</t>
  </si>
  <si>
    <t>GAMA MZ 33</t>
  </si>
  <si>
    <t>JUNTO A COLINA DEL SOL, EN DELISAL</t>
  </si>
  <si>
    <t>042018325</t>
  </si>
  <si>
    <t>EMMA JOHANNA REYES PALMA</t>
  </si>
  <si>
    <t>14592885094</t>
  </si>
  <si>
    <t>0991337814001</t>
  </si>
  <si>
    <t>FABRILANA S.A.</t>
  </si>
  <si>
    <t>FABRILANA S.A</t>
  </si>
  <si>
    <t>VÍA DURÁN TAMBO</t>
  </si>
  <si>
    <t>SL. 1A</t>
  </si>
  <si>
    <t>KM. 3/5</t>
  </si>
  <si>
    <t>FRENTE AL HOSPITAL DE DURÁN</t>
  </si>
  <si>
    <t>042800963</t>
  </si>
  <si>
    <t>ING. JAIME LOZA ACOSTA</t>
  </si>
  <si>
    <t>47271778097</t>
  </si>
  <si>
    <t>0992966157001</t>
  </si>
  <si>
    <t>ASOCIACIÓN DE PRODUCCIÓN TEXTIL CARMEN SÁNCHEZ "ASOPROCARSA"</t>
  </si>
  <si>
    <t>AV. FCO DE ORELLANA</t>
  </si>
  <si>
    <t>SL-07</t>
  </si>
  <si>
    <t>REDONDEL VERGELES</t>
  </si>
  <si>
    <t>COOP. LOS VERGELES</t>
  </si>
  <si>
    <t>128</t>
  </si>
  <si>
    <t>ENTRANDO POR EL MI COMISARIATO</t>
  </si>
  <si>
    <t>VILLON LINDAO DIANA LUCILA</t>
  </si>
  <si>
    <t>13678169093</t>
  </si>
  <si>
    <t>0908955917001</t>
  </si>
  <si>
    <t>TORO YEPEZ GONZALO</t>
  </si>
  <si>
    <t>SOLAR 23</t>
  </si>
  <si>
    <t>MZ. 48</t>
  </si>
  <si>
    <t>COOP. QUISQUIS - A UNA CUADRA DE LA UNIVERSIDAD FACSO</t>
  </si>
  <si>
    <t>TEJADA YEPEZ VIRGINIA ELIZABETH</t>
  </si>
  <si>
    <t>44458947098</t>
  </si>
  <si>
    <t>0992764392001</t>
  </si>
  <si>
    <t>PRODUCTOS PLASTICOS SORIA CHAVEZ PLASTISORIA S.A.</t>
  </si>
  <si>
    <t>PLASTISORIA</t>
  </si>
  <si>
    <t>AV. ARQ. MODESTO LUQUE RIVADENEIRA (CALLE 24 NO) CALLE C</t>
  </si>
  <si>
    <t>SL. SL 01</t>
  </si>
  <si>
    <t>AV. 42 NO (CALLE B)</t>
  </si>
  <si>
    <t>KM. 12/5 VIA A DAULE</t>
  </si>
  <si>
    <t>INMACOMSA</t>
  </si>
  <si>
    <t>SECTORINMACOMSA</t>
  </si>
  <si>
    <t>MZ. -30</t>
  </si>
  <si>
    <t>A LADO DE ECUABOILER</t>
  </si>
  <si>
    <t>042103734</t>
  </si>
  <si>
    <t>ROSARIO SORIA</t>
  </si>
  <si>
    <t>49899686097</t>
  </si>
  <si>
    <t>0993370033001</t>
  </si>
  <si>
    <t>AGILSERVICALZA S.A.S.</t>
  </si>
  <si>
    <t>SL-14</t>
  </si>
  <si>
    <t>COOP. SAN FRANCISCO 10</t>
  </si>
  <si>
    <t>1347</t>
  </si>
  <si>
    <t>FRENTE A LA PENITENCIARIA</t>
  </si>
  <si>
    <t>47077716099</t>
  </si>
  <si>
    <t>0992940476001</t>
  </si>
  <si>
    <t>IMPORTADORA MADERAS ECOLOGICAS MADEWOOD S.A.</t>
  </si>
  <si>
    <t>EKOWOODS SA</t>
  </si>
  <si>
    <t>VIA A DAULE</t>
  </si>
  <si>
    <t>12 1/2</t>
  </si>
  <si>
    <t>PARQUE EMPRESARIAL CALIFORNIA</t>
  </si>
  <si>
    <t>42856425236</t>
  </si>
  <si>
    <t>2300246150001</t>
  </si>
  <si>
    <t>ESTRELLA CEVALLOS CRISTIAN PATRICIO</t>
  </si>
  <si>
    <t>PALETS ESTRELLA</t>
  </si>
  <si>
    <t>AV. LOS COLONOS</t>
  </si>
  <si>
    <t>COOP. MODELO SANTO DOMINGO A CIEN METROS DEL COLEGIO BOLIVARIANO</t>
  </si>
  <si>
    <t>OCHOA ABRIL LUZ GRACIELA</t>
  </si>
  <si>
    <t>47027886236</t>
  </si>
  <si>
    <t>2390022231001</t>
  </si>
  <si>
    <t>BALSA FORESTS BALFORESTS CIA.LTDA.</t>
  </si>
  <si>
    <t>BALFORESTS CIALTDA</t>
  </si>
  <si>
    <t>KM. 24 VIA SANTO DOMINGO QUEVED</t>
  </si>
  <si>
    <t>A UN KM DE KA PARROQUIA LUZ DE AMERICA</t>
  </si>
  <si>
    <t>022722431</t>
  </si>
  <si>
    <t>43131519134</t>
  </si>
  <si>
    <t>1304233313001</t>
  </si>
  <si>
    <t>DE LA CRUZ ALAVA JOSE MAUN</t>
  </si>
  <si>
    <t>PRINCIPAL -VÍA A PORTOVIEJO</t>
  </si>
  <si>
    <t>KM. 1</t>
  </si>
  <si>
    <t>A LADO DE LA TIENDA DE ABARROTES DOMENICA</t>
  </si>
  <si>
    <t>CEDEÑO PALACIOS CHRISTIAN DAVID</t>
  </si>
  <si>
    <t>47142245091</t>
  </si>
  <si>
    <t>0992921315001</t>
  </si>
  <si>
    <t>TALARESA TABLEROS LAMINADOS RESISTENTES TLR S.A.</t>
  </si>
  <si>
    <t>DURAN-YAGUACHI</t>
  </si>
  <si>
    <t>LOT. FINCAS VACACION</t>
  </si>
  <si>
    <t>C-18</t>
  </si>
  <si>
    <t>JUNTO A LA EMPRESA EQUISUM</t>
  </si>
  <si>
    <t>RAMOS MENDOZA CINTHIA JULIANA</t>
  </si>
  <si>
    <t>47741018094</t>
  </si>
  <si>
    <t>0993028894001</t>
  </si>
  <si>
    <t>PRODPAPEL S.A.</t>
  </si>
  <si>
    <t>AV. 4</t>
  </si>
  <si>
    <t>SOLAR 3</t>
  </si>
  <si>
    <t>VIA DAULE</t>
  </si>
  <si>
    <t>12</t>
  </si>
  <si>
    <t>LOTIZACION INMACONSA</t>
  </si>
  <si>
    <t>JUNTO A LAS BODEGAS DE SHUMIR</t>
  </si>
  <si>
    <t>042103403</t>
  </si>
  <si>
    <t>AVEIGA PARRAGA MARIA TERESA</t>
  </si>
  <si>
    <t>49455253097</t>
  </si>
  <si>
    <t>0993298379001</t>
  </si>
  <si>
    <t>PAPERPLACE S.A.S.</t>
  </si>
  <si>
    <t>SOLAR 13</t>
  </si>
  <si>
    <t>BODEGAS DE FOBRILANA SA, BARRIO: LOT LAS TERRAZAS, CARRETERO: DURAN TAMBO, KILÓMETRO: 3.5, MANZANA: 4</t>
  </si>
  <si>
    <t>042268092</t>
  </si>
  <si>
    <t>47359615091</t>
  </si>
  <si>
    <t>0992981695001</t>
  </si>
  <si>
    <t>GREENCORP SUPPLIES AND RESEARCH GRESURESA S.A.</t>
  </si>
  <si>
    <t>AV. JUAN TANCA MARENGO</t>
  </si>
  <si>
    <t>AV. JOAQUIN ORRANTIA</t>
  </si>
  <si>
    <t>KM. 1 1/2</t>
  </si>
  <si>
    <t>EDF. PROFESSIONAL CENTER</t>
  </si>
  <si>
    <t>OFC. 501</t>
  </si>
  <si>
    <t>A LADO EL HOTEL WYNDHAM GARDEN GUAYAQUIL</t>
  </si>
  <si>
    <t>043904030</t>
  </si>
  <si>
    <t>QUIROZ POVEDA MILDRED LISSETTE</t>
  </si>
  <si>
    <t>13705095099</t>
  </si>
  <si>
    <t>0990001952001</t>
  </si>
  <si>
    <t>TORVI C.A.</t>
  </si>
  <si>
    <t>TORVI</t>
  </si>
  <si>
    <t>CALLE SEGUNDA</t>
  </si>
  <si>
    <t>PSJE. 2DO CJON 11</t>
  </si>
  <si>
    <t>COOP. LA PROSPERINA</t>
  </si>
  <si>
    <t>FRENTE A DAULE FOODS SA</t>
  </si>
  <si>
    <t>042252034</t>
  </si>
  <si>
    <t xml:space="preserve">FLERIDA ALCIVAR CEDEÑO </t>
  </si>
  <si>
    <t>14798281098</t>
  </si>
  <si>
    <t>0991154442001</t>
  </si>
  <si>
    <t>IMPORTQUIMICA S.A.</t>
  </si>
  <si>
    <t>IMPORTQUIMICA</t>
  </si>
  <si>
    <t>SANTA ANA</t>
  </si>
  <si>
    <t>SOLAR 8</t>
  </si>
  <si>
    <t>CJON. PATATE</t>
  </si>
  <si>
    <t>URB. VILCABAMBA</t>
  </si>
  <si>
    <t>157</t>
  </si>
  <si>
    <t>A DOS CUADRAS DEL COMPLEJO DEPORTIVO DEL COLEGIO VICENTE LEON</t>
  </si>
  <si>
    <t>042986133</t>
  </si>
  <si>
    <t>YESENIA CALVA</t>
  </si>
  <si>
    <t>14841601093</t>
  </si>
  <si>
    <t>0992723777001</t>
  </si>
  <si>
    <t>ALBEAGRO S.A.</t>
  </si>
  <si>
    <t>VÍA YAGUACHI - DURAN</t>
  </si>
  <si>
    <t>14.5</t>
  </si>
  <si>
    <t>A TRESCIENTOS METROS DEL PEAJE DURAN YACHUACHI</t>
  </si>
  <si>
    <t>BENAVIDES SALAZAR VERONICA ELIZABETH</t>
  </si>
  <si>
    <t>49679206094</t>
  </si>
  <si>
    <t>0993331848001</t>
  </si>
  <si>
    <t>SUMIMPO S.A.S.</t>
  </si>
  <si>
    <t>MZ#42, SOL#11 COOP.COVIEM/.PB/</t>
  </si>
  <si>
    <t>AUZ ABAD GABRIEL ALEJANDRO</t>
  </si>
  <si>
    <t>13707466094</t>
  </si>
  <si>
    <t>0991517545001</t>
  </si>
  <si>
    <t>LABORATORIOS PEK S.A.</t>
  </si>
  <si>
    <t>UNIDAD DERMATOLOGICA OLLAGUE</t>
  </si>
  <si>
    <t>KENNEDY NORTE</t>
  </si>
  <si>
    <t>409</t>
  </si>
  <si>
    <t>DIAGONAL AL HOTEL HILTON COLON</t>
  </si>
  <si>
    <t>042684097</t>
  </si>
  <si>
    <t>CORDOVA HERNANDEZ PRISCILA SORAYA</t>
  </si>
  <si>
    <t>47033132090</t>
  </si>
  <si>
    <t>0992929545001</t>
  </si>
  <si>
    <t>COSMETICOS MARYAM ECUADOR COSMARYAM S.A.</t>
  </si>
  <si>
    <t>COSMARYAM SA</t>
  </si>
  <si>
    <t>SOLAR 3-4</t>
  </si>
  <si>
    <t>LOTIZACION SANTA ADRIANA</t>
  </si>
  <si>
    <t>043083629</t>
  </si>
  <si>
    <t>SUAREZ RAMOS CARLOS SANTIAGO</t>
  </si>
  <si>
    <t>13706637090</t>
  </si>
  <si>
    <t>0991300333001</t>
  </si>
  <si>
    <t>TONISA S.A.</t>
  </si>
  <si>
    <t>TONISA SA</t>
  </si>
  <si>
    <t>AV. 41A N.O</t>
  </si>
  <si>
    <t>CALLE B1</t>
  </si>
  <si>
    <t>KM. 8/5 VIA A DAULE</t>
  </si>
  <si>
    <t>FLORIDA NORTE</t>
  </si>
  <si>
    <t>JUNTO A GRAFICA "ENAJA</t>
  </si>
  <si>
    <t>046026231</t>
  </si>
  <si>
    <t>JOSE FERNANDO MERINO ABAD</t>
  </si>
  <si>
    <t>14605717099</t>
  </si>
  <si>
    <t>0992719842001</t>
  </si>
  <si>
    <t>MAQUINSA S.A.</t>
  </si>
  <si>
    <t>MAQUINSA</t>
  </si>
  <si>
    <t>AV. CAMILO PONCE ENRÍQUEZ</t>
  </si>
  <si>
    <t>CALLE 18I NO</t>
  </si>
  <si>
    <t>CDLA. URDENOR</t>
  </si>
  <si>
    <t>INGRESANDO TV CABLE3 CUADRAS LADO DERECHO</t>
  </si>
  <si>
    <t>042652052</t>
  </si>
  <si>
    <t>CASTRO MONROY CRISTINA YOLANDA</t>
  </si>
  <si>
    <t>13830776171</t>
  </si>
  <si>
    <t>1792179467001</t>
  </si>
  <si>
    <t>MADEMASTEC MANTENIMIENTO, DISEÑO Y SOLUCIONES EN INGENIERIA TERMODINAMICA Y AMBIENTAL CIA. LTDA.</t>
  </si>
  <si>
    <t>MADEMASTEC CIA LTDA</t>
  </si>
  <si>
    <t>SOLAR 6</t>
  </si>
  <si>
    <t>216 A</t>
  </si>
  <si>
    <t>TRAS EL COLEGIO LOS VERGELES</t>
  </si>
  <si>
    <t>042028319</t>
  </si>
  <si>
    <t>VERA ZAMBRANO ROBERTO ANIBAL</t>
  </si>
  <si>
    <t>14870095091</t>
  </si>
  <si>
    <t>0990141118001</t>
  </si>
  <si>
    <t>LABORATORIOS ECU C. LTDA.</t>
  </si>
  <si>
    <t>LABORATORIOS ECU C LTDA</t>
  </si>
  <si>
    <t>CALICUCHIMA</t>
  </si>
  <si>
    <t>RUMICHACA - NOGUCHI</t>
  </si>
  <si>
    <t>A UNA CUADRA DE INTERAGUA</t>
  </si>
  <si>
    <t>042413748</t>
  </si>
  <si>
    <t>EUGENIA ENCALADA</t>
  </si>
  <si>
    <t>14690316138</t>
  </si>
  <si>
    <t>1304774456001</t>
  </si>
  <si>
    <t>PICO BRIONES RAMON BARTOLO</t>
  </si>
  <si>
    <t>LABORATORIO FARMACEUTICO Y COSMETICO GEAN</t>
  </si>
  <si>
    <t>PSJE. 5º PEATONAL 38C NO</t>
  </si>
  <si>
    <t>SL. 2</t>
  </si>
  <si>
    <t>CALLE H2</t>
  </si>
  <si>
    <t>PISO 1-2</t>
  </si>
  <si>
    <t>COOP. BASTION POPULAR BLQ 2</t>
  </si>
  <si>
    <t>MZ. 756</t>
  </si>
  <si>
    <t>ENTRANDO POR LA ESCUELA PARTICULAR JUAN MONTALVO A 6 CUADRAS ESTA EL LABORATORIO</t>
  </si>
  <si>
    <t>042116301</t>
  </si>
  <si>
    <t xml:space="preserve">PICO BRIONES RAMON BARTOLO </t>
  </si>
  <si>
    <t>44387062090</t>
  </si>
  <si>
    <t>0992767472001</t>
  </si>
  <si>
    <t>SOLIDEZ S.A. SOLIDEMSA</t>
  </si>
  <si>
    <t>AV. DE LAS AMÉRICAS</t>
  </si>
  <si>
    <t>CALLE 13B NE (CALLE QUINTA)</t>
  </si>
  <si>
    <t>LA SEÑORA DE LA LLANTA</t>
  </si>
  <si>
    <t>A UNA CUADRA DEL EDIFICIO DE ECUAVIA A LADO DEL EDIFICIO ARTHUR FRIED</t>
  </si>
  <si>
    <t>042283100</t>
  </si>
  <si>
    <t>ROBERTO LOOR V.</t>
  </si>
  <si>
    <t>43057427095</t>
  </si>
  <si>
    <t>0909004269001</t>
  </si>
  <si>
    <t>CASTRO CONTRERAS XAVIER RAUL</t>
  </si>
  <si>
    <t>I</t>
  </si>
  <si>
    <t>CDLA. GARZOTA II MANZANA 71 SOLAR 06 FRENTE A PARQUES INFANTILES</t>
  </si>
  <si>
    <t>AUCAPINA BURBANO JOSE ALBERTO</t>
  </si>
  <si>
    <t>14788848189</t>
  </si>
  <si>
    <t>1802499796001</t>
  </si>
  <si>
    <t>COBO PESANTEZ LORENA NATALY</t>
  </si>
  <si>
    <t>URB. PUERTO MOCOLI</t>
  </si>
  <si>
    <t>SOLAR B-5</t>
  </si>
  <si>
    <t>MZ. 1</t>
  </si>
  <si>
    <t>A 500 METROS DEL FARO, CONJUNTO: ISLA MOCOLI, NÚMERO PISO: 0</t>
  </si>
  <si>
    <t>OCAÑA OCAÑA MAGALI HERCILIA</t>
  </si>
  <si>
    <t>14631424091</t>
  </si>
  <si>
    <t>0992422424001</t>
  </si>
  <si>
    <t>SERMOLEND S.A.</t>
  </si>
  <si>
    <t>SOLAR 11</t>
  </si>
  <si>
    <t>URB. BELLAVISTA</t>
  </si>
  <si>
    <t>A CUATRO CUADRAS DE PACIFICTEL</t>
  </si>
  <si>
    <t>046006839</t>
  </si>
  <si>
    <t>LLERENA GARCIA MARCO FABIAN</t>
  </si>
  <si>
    <t>14740509099</t>
  </si>
  <si>
    <t>0992232846001</t>
  </si>
  <si>
    <t>PRODUCTORA DE ENVASES PROENVASES S.A.</t>
  </si>
  <si>
    <t>GENERAL CORDOVA</t>
  </si>
  <si>
    <t>810</t>
  </si>
  <si>
    <t>VICTOR MANUEL RENDON</t>
  </si>
  <si>
    <t>TORRES DE LA MERCED</t>
  </si>
  <si>
    <t>25</t>
  </si>
  <si>
    <t>FRENTE AL EDIFICIO DE LA FISCALIA</t>
  </si>
  <si>
    <t>PAREDES IBARRA EDGAR FERNANDO</t>
  </si>
  <si>
    <t>47259098099</t>
  </si>
  <si>
    <t>0992972904001</t>
  </si>
  <si>
    <t>PROTANQ PRODUCTORA DE TANQUES HIDRONEUMATICOS S.A.</t>
  </si>
  <si>
    <t>PROTANQ PRODUCTORA DE TANQUES HIDRONEUMATICOS SA</t>
  </si>
  <si>
    <t>QUINQUELLA E HIGUERILLA</t>
  </si>
  <si>
    <t>10.5</t>
  </si>
  <si>
    <t>HIGUERILLA</t>
  </si>
  <si>
    <t>INDUSTRIAL</t>
  </si>
  <si>
    <t>S/N, MZ.1</t>
  </si>
  <si>
    <t>KM.10.5 VIA DAULE, KM.10.5 VIA DAULE, CALLE CASUARINA</t>
  </si>
  <si>
    <t>PORTALANZA PORTALANZA SYLVANA PATRICIA</t>
  </si>
  <si>
    <t>TANQUE DE ACERO INOXIDABLE</t>
  </si>
  <si>
    <t>14658581091</t>
  </si>
  <si>
    <t>0905921615001</t>
  </si>
  <si>
    <t>ECHEVERRIA PROAÑO INES MARIELA</t>
  </si>
  <si>
    <t>RCTO. CADEALES</t>
  </si>
  <si>
    <t>A CUATRO KILOMETROS DE LA HACIENDA BAMBU</t>
  </si>
  <si>
    <t>PROCEL CRUZ LUIS ENRIQUE</t>
  </si>
  <si>
    <t>42577190091</t>
  </si>
  <si>
    <t>0905963674001</t>
  </si>
  <si>
    <t>HIDALGO GUERRERO MARITZA ARGENTINA</t>
  </si>
  <si>
    <t>MAPASINGUE OESTE AV 3RA  KM 6 VIA A DAULE,324</t>
  </si>
  <si>
    <t>ENTRE  CALLE  2DA.  Y  3ERA.,6.5,0,1/,MAPASINGUE,06,A 259 METROS DE AVICOLA FERNANDEZ</t>
  </si>
  <si>
    <t>BENAVIDES MORENO JAIME GASTON</t>
  </si>
  <si>
    <t>49544975098</t>
  </si>
  <si>
    <t>0993277452001</t>
  </si>
  <si>
    <t>PROCESADORA DE MARISCO ELIM S.A.</t>
  </si>
  <si>
    <t>COOP. LA LADRILLERA</t>
  </si>
  <si>
    <t>VIA LAS IGUANAS</t>
  </si>
  <si>
    <t>PASANDO LA CARBONERA A 100 MTS, NÚMERO PISO: S 5</t>
  </si>
  <si>
    <t>49663040137</t>
  </si>
  <si>
    <t>1391922361001</t>
  </si>
  <si>
    <t>MARISCOS FLIPPER-EC S.A.S.</t>
  </si>
  <si>
    <t>AV. DEL EJÉRCITO</t>
  </si>
  <si>
    <t>CASA C6</t>
  </si>
  <si>
    <t>URBANIZACIÓN RIVERA COLONIAL</t>
  </si>
  <si>
    <t>052357190</t>
  </si>
  <si>
    <t>47267831137</t>
  </si>
  <si>
    <t>1391835043001</t>
  </si>
  <si>
    <t>INDUSTRIA ATUNERA ARRECIFES-MARINOS S.A.</t>
  </si>
  <si>
    <t>CALLE 120</t>
  </si>
  <si>
    <t>A LADO DEL CUERPO DE BOMBEROS DE LA PARROQUÍA LOS ESTEROS</t>
  </si>
  <si>
    <t>056053010</t>
  </si>
  <si>
    <t>GARCIA MERA GEMA CECIBEL</t>
  </si>
  <si>
    <t>49302864135</t>
  </si>
  <si>
    <t>1391905505001</t>
  </si>
  <si>
    <t>DELIMARINA S.A.</t>
  </si>
  <si>
    <t>AV. FLAVIO REYES 1</t>
  </si>
  <si>
    <t>AV. 17 Y 18</t>
  </si>
  <si>
    <t>EDF. FLORENCIA</t>
  </si>
  <si>
    <t>OFC. 401</t>
  </si>
  <si>
    <t>ATRAS DE LA TABERNA MANTA</t>
  </si>
  <si>
    <t>056054458</t>
  </si>
  <si>
    <t>REVELO FLORES DE VALGAS FABRICIO DANIEL</t>
  </si>
  <si>
    <t>14825348094</t>
  </si>
  <si>
    <t>0992373202001</t>
  </si>
  <si>
    <t>STROKEN S.A.</t>
  </si>
  <si>
    <t>CALLE 113</t>
  </si>
  <si>
    <t>FRENTE A OLIMAR S.A</t>
  </si>
  <si>
    <t>052383527</t>
  </si>
  <si>
    <t>CASQUETE MOREIRA SONIA ROCIO</t>
  </si>
  <si>
    <t>43305089134</t>
  </si>
  <si>
    <t>1302526551001</t>
  </si>
  <si>
    <t>RODRIGUEZ VERA ALBERTO IVAN ARTURO</t>
  </si>
  <si>
    <t>PRODUCTOS ESLATADOS MANGLAR</t>
  </si>
  <si>
    <t>AV. 113</t>
  </si>
  <si>
    <t>BARRIO SAN JOSE, FRENTE A LA CANCHA DE LOS TRES REYES</t>
  </si>
  <si>
    <t>46980156095</t>
  </si>
  <si>
    <t>0992889136001</t>
  </si>
  <si>
    <t>TROPICANDINA S.A.</t>
  </si>
  <si>
    <t>806</t>
  </si>
  <si>
    <t>ENTRE GUAYACANES E HIGUERAS</t>
  </si>
  <si>
    <t>DIAGONAL A EDIFICIO ALKA VIDA</t>
  </si>
  <si>
    <t>042388164</t>
  </si>
  <si>
    <t>WILFRIDO APRAEZ SUAREZ</t>
  </si>
  <si>
    <t>47552713091</t>
  </si>
  <si>
    <t>0993056375001</t>
  </si>
  <si>
    <t>EMPRESA PELAGICOS DEL ECUADOR ECUAPELAGIC S.A.</t>
  </si>
  <si>
    <t>ECUAPELAGIC SA</t>
  </si>
  <si>
    <t>CEDROS</t>
  </si>
  <si>
    <t>202</t>
  </si>
  <si>
    <t>TODOS LOS SANTOS</t>
  </si>
  <si>
    <t>EDF. CEDROS CENTER, S/N</t>
  </si>
  <si>
    <t>URDESA CENTRAL</t>
  </si>
  <si>
    <t>A 150 METROS DE PLAZA TRIANGULO</t>
  </si>
  <si>
    <t>042381398</t>
  </si>
  <si>
    <t>ORDEÑANA VASCONEZ CESAR ANTONIO</t>
  </si>
  <si>
    <t>46940362130</t>
  </si>
  <si>
    <t>1391878508001</t>
  </si>
  <si>
    <t>GEMIMARKSA S.A.</t>
  </si>
  <si>
    <t>W</t>
  </si>
  <si>
    <t>AV. 7</t>
  </si>
  <si>
    <t>MONTERREY</t>
  </si>
  <si>
    <t>DIAGONAL A LA IGLESIA CRISTO RESUCITADO</t>
  </si>
  <si>
    <t>052578024</t>
  </si>
  <si>
    <t>TAFUR RODRIGUEZ YAIRA ELIZABETH</t>
  </si>
  <si>
    <t>42498430095</t>
  </si>
  <si>
    <t>0913079430001</t>
  </si>
  <si>
    <t>ASCENCIO RIVERA YSMAEL ROOSBEL</t>
  </si>
  <si>
    <t>HARINERA ASCENCIO</t>
  </si>
  <si>
    <t>BARRIO VIRGEN DEL ROSARIO - DETRAS DE CASA COMUNAL - CASA DE DOS PISOS</t>
  </si>
  <si>
    <t>ROSALES MUÑOZ ANGEL AMBROCIO</t>
  </si>
  <si>
    <t>14730697130</t>
  </si>
  <si>
    <t>1391757972001</t>
  </si>
  <si>
    <t>PROCESADORA EXPORTADORA DEL PACIFICO S.A. PROEXPACSA</t>
  </si>
  <si>
    <t>VÍA PEDERNALES JAMA</t>
  </si>
  <si>
    <t>KM. 9.5</t>
  </si>
  <si>
    <t>RCTO. COAQUE</t>
  </si>
  <si>
    <t>FRENTE A EDPACIF, DIAGONAL A LA EMPACADORA DEL PACIFICO, ENTRADA A LA CALLE PRINCIPAL DE COAQUE</t>
  </si>
  <si>
    <t>052683061</t>
  </si>
  <si>
    <t>NANCY YESSENIA LUCAS VALENCIA</t>
  </si>
  <si>
    <t>13830094177</t>
  </si>
  <si>
    <t>1792108853001</t>
  </si>
  <si>
    <t>PROCEPALMA S.A.</t>
  </si>
  <si>
    <t>PROCEPALMA CEBA S.A.</t>
  </si>
  <si>
    <t>JUNTO AL ZOOLOGICO LA ISLA DEL TAPIR</t>
  </si>
  <si>
    <t>DAVALOS CENTENO SILVIA VIRGINIA</t>
  </si>
  <si>
    <t>14660234170</t>
  </si>
  <si>
    <t>1791413032001</t>
  </si>
  <si>
    <t>SANDANIEL EXTRACTORA SAN DANIEL CIA. LTDA.</t>
  </si>
  <si>
    <t>VIA A MONTERREY</t>
  </si>
  <si>
    <t>73-74</t>
  </si>
  <si>
    <t>SECTOR RIO MACHE, ANTIGUA VIA MONTERREY- MARGEN DERECHO</t>
  </si>
  <si>
    <t>062749185</t>
  </si>
  <si>
    <t>JUAN CARLOS MORA</t>
  </si>
  <si>
    <t>13824617176</t>
  </si>
  <si>
    <t>1790101509001</t>
  </si>
  <si>
    <t>EXTRACTORA Y PROCESADORA DE ACEITES EPACEM S.A. EN LIQUIDACION</t>
  </si>
  <si>
    <t>EPACEM</t>
  </si>
  <si>
    <t>KM. 7 VIA A QUININDE DEL REDONDEL DE SANTO DOMINGO MARGEN DERECHO</t>
  </si>
  <si>
    <t>A 1 KM DE ASOGAN</t>
  </si>
  <si>
    <t>0982225669</t>
  </si>
  <si>
    <t>MAGALY CALDERON</t>
  </si>
  <si>
    <t>42987136175</t>
  </si>
  <si>
    <t>1713961561001</t>
  </si>
  <si>
    <t>MERINO CONTRERAS CARLOS ALFONSO</t>
  </si>
  <si>
    <t>DELICRAK</t>
  </si>
  <si>
    <t>LOTIZACION LOMILLAS DEL COLORA</t>
  </si>
  <si>
    <t>LEONIDAS PROAÑOS</t>
  </si>
  <si>
    <t>LOTIZACION LOMILLAS DEL COLORADO</t>
  </si>
  <si>
    <t>44391618094</t>
  </si>
  <si>
    <t>0992747668001</t>
  </si>
  <si>
    <t>CONDIMENTOS DEL ECUADOR S.A. CONDIECSA</t>
  </si>
  <si>
    <t>CONDIECSA</t>
  </si>
  <si>
    <t>CALLE 1RA</t>
  </si>
  <si>
    <t>406</t>
  </si>
  <si>
    <t>CAJON TERCERO</t>
  </si>
  <si>
    <t>BODEGAS JULIANA</t>
  </si>
  <si>
    <t>GALPON 15</t>
  </si>
  <si>
    <t>042000486</t>
  </si>
  <si>
    <t>ARIAS IDROVO LUIS ALBERTO</t>
  </si>
  <si>
    <t>14784795137</t>
  </si>
  <si>
    <t>1390149707001</t>
  </si>
  <si>
    <t>INVERAGROCORP S.A.</t>
  </si>
  <si>
    <t>INVERAGROCORP S.A</t>
  </si>
  <si>
    <t>VÍA PORTOVIEJO MANTA</t>
  </si>
  <si>
    <t>CALLE 6A (PASO LATERAL MANABI GUILLEM)</t>
  </si>
  <si>
    <t>KM. 2/5 VIA MANTA</t>
  </si>
  <si>
    <t>INVERAGRO S.A</t>
  </si>
  <si>
    <t>FRENTE A PASO LATERAL Y DISTRIBUIDORA PINGUINO</t>
  </si>
  <si>
    <t>052550450</t>
  </si>
  <si>
    <t>OLGA MARINA VALDIVIEZO SOLORZANO</t>
  </si>
  <si>
    <t>14854234090</t>
  </si>
  <si>
    <t>0992439653001</t>
  </si>
  <si>
    <t>FAMOVISAL S.A.</t>
  </si>
  <si>
    <t>CARLOS LARREA ESPINOSA</t>
  </si>
  <si>
    <t>SECTOR BRISAS DEL MAR- SECTOR EL PARAISO</t>
  </si>
  <si>
    <t>POR LAS POSAS DE SAL A 200 METROS DEL COLEGIO SIGLO XXI</t>
  </si>
  <si>
    <t>042778029</t>
  </si>
  <si>
    <t>MOLINA NUÑEZ HECTOR DANILO</t>
  </si>
  <si>
    <t>14869639096</t>
  </si>
  <si>
    <t>0990319456001</t>
  </si>
  <si>
    <t>SOCIEDAD ANONIMA CIVIL E INDUSTRIAL SAL FIBRAS PILCO S.A. SALFIPIL S.A.</t>
  </si>
  <si>
    <t>CALLE 45</t>
  </si>
  <si>
    <t>MINA NUEVA</t>
  </si>
  <si>
    <t>2 KM. ATRAS DEL ANTIGUO DEPOSITO DE PEPSI COLA</t>
  </si>
  <si>
    <t>042775840</t>
  </si>
  <si>
    <t>LISSETTE</t>
  </si>
  <si>
    <t>23999.04.00.01</t>
  </si>
  <si>
    <t>SAL REFINADA</t>
  </si>
  <si>
    <t>14705836095</t>
  </si>
  <si>
    <t>0991289445001</t>
  </si>
  <si>
    <t>HERMOSAL S.A.</t>
  </si>
  <si>
    <t>AGUSTIN FEBRES CORDERO</t>
  </si>
  <si>
    <t>GALPON AZUL</t>
  </si>
  <si>
    <t>MINAS NUEVAS</t>
  </si>
  <si>
    <t>ATRAS DE CIUDADELA LAS DUNAS</t>
  </si>
  <si>
    <t>ELVIS REYES</t>
  </si>
  <si>
    <t>14844126094</t>
  </si>
  <si>
    <t>0990542406001</t>
  </si>
  <si>
    <t>HILANTEX S.A.</t>
  </si>
  <si>
    <t>JUNTO A TEXTILES SAN ANTONIO</t>
  </si>
  <si>
    <t>042590490</t>
  </si>
  <si>
    <t>DASSUM ARMENDARIZ FUAD ALBERTO</t>
  </si>
  <si>
    <t>47063753170</t>
  </si>
  <si>
    <t>1792602033001</t>
  </si>
  <si>
    <t>TEXTILES-ARVAL S.A.</t>
  </si>
  <si>
    <t>CALLE 3ERA</t>
  </si>
  <si>
    <t>712</t>
  </si>
  <si>
    <t>ENTRE FICUS Y GUAYACANES</t>
  </si>
  <si>
    <t>A DOS CUADRAS DEL COLEGIO SANTO DOMINGO GUZMAN</t>
  </si>
  <si>
    <t>042385070</t>
  </si>
  <si>
    <t>MENDEZ MERA JUDITH YASMIN</t>
  </si>
  <si>
    <t>14827441091</t>
  </si>
  <si>
    <t>0992544325001</t>
  </si>
  <si>
    <t>MODANY S.A.</t>
  </si>
  <si>
    <t>MODANY SA</t>
  </si>
  <si>
    <t>ROCAFUERTE</t>
  </si>
  <si>
    <t>726</t>
  </si>
  <si>
    <t>MENDIBURO</t>
  </si>
  <si>
    <t>JUNTO A BANCO GUAYAQUIL</t>
  </si>
  <si>
    <t>042565875</t>
  </si>
  <si>
    <t>CUADROS BUENAVENTURA ESTHER JEANINE</t>
  </si>
  <si>
    <t>49026922231</t>
  </si>
  <si>
    <t>2390051169001</t>
  </si>
  <si>
    <t>EMBALSACORE ECUADOR S.A.</t>
  </si>
  <si>
    <t>JUNTO A LOS CILOS DE PRONACA</t>
  </si>
  <si>
    <t>CRUZ CRUZ HUGO BLADIMIR</t>
  </si>
  <si>
    <t>31100.05.02.01</t>
  </si>
  <si>
    <t>BLOQUE DE BALSA CERRADA</t>
  </si>
  <si>
    <t>47771806127</t>
  </si>
  <si>
    <t>1291760593001</t>
  </si>
  <si>
    <t>FARID MANSSUR PRODUCTOS DE BALSA PROBALSSUR S.A.</t>
  </si>
  <si>
    <t>PROBALSSUR</t>
  </si>
  <si>
    <t>VÍA VENTANAS - QUEVEDO</t>
  </si>
  <si>
    <t>KM. 3.5</t>
  </si>
  <si>
    <t>FRENTE A LA BODEGA DE LA PILSENER</t>
  </si>
  <si>
    <t>ALMEA SANTILLAN JORGE EZEQUIEL</t>
  </si>
  <si>
    <t>14623399177</t>
  </si>
  <si>
    <t>1791166418001</t>
  </si>
  <si>
    <t>INDUSTRIAS VEGA - INVEG CIA. LTDA.</t>
  </si>
  <si>
    <t>INVEG CIA LTDA</t>
  </si>
  <si>
    <t>VIA QUEVEDO QUITO</t>
  </si>
  <si>
    <t>KM. 2-BYPA</t>
  </si>
  <si>
    <t>FRENTE A LA GASOLINERA UNITAXIS, SE INGRESA POR EL MOTEL OROS</t>
  </si>
  <si>
    <t>023775670</t>
  </si>
  <si>
    <t>JAVIER   ALVAREZ</t>
  </si>
  <si>
    <t>47136711098</t>
  </si>
  <si>
    <t>0993100269001</t>
  </si>
  <si>
    <t>MAXIPAPER S.A.</t>
  </si>
  <si>
    <t>MANGOS</t>
  </si>
  <si>
    <t>11 1/2</t>
  </si>
  <si>
    <t>ENTRADA PRINCIPAL, VIA A DAULE, VIA A DAULE, VIA A DAULE</t>
  </si>
  <si>
    <t>042328702</t>
  </si>
  <si>
    <t>CERVANTES HERRERA JOHANNA STEFANIA</t>
  </si>
  <si>
    <t>47065062093</t>
  </si>
  <si>
    <t>0993106763001</t>
  </si>
  <si>
    <t>INDUSTRIA ECUATORIANA DE PAPEL INPAPELSA S.A.</t>
  </si>
  <si>
    <t>INPAPELSA</t>
  </si>
  <si>
    <t>VÍA DAULE</t>
  </si>
  <si>
    <t>CALLE 23 NO</t>
  </si>
  <si>
    <t>KM. 10.5</t>
  </si>
  <si>
    <t>LOTZ. INMACONSA</t>
  </si>
  <si>
    <t>FRENTE A LA ESCUELA DE FORMACIÓN DE OFICIALES</t>
  </si>
  <si>
    <t>042114402</t>
  </si>
  <si>
    <t>VALVERDE PERALTA ISABEL CRISTINA</t>
  </si>
  <si>
    <t>13745487127</t>
  </si>
  <si>
    <t>1291723248001</t>
  </si>
  <si>
    <t>AGROGEAR S.A.</t>
  </si>
  <si>
    <t>CALLE DEMETRIO AGUILERA MALTA</t>
  </si>
  <si>
    <t>28-O</t>
  </si>
  <si>
    <t>CALLE RIO CURARAY</t>
  </si>
  <si>
    <t>A UNA CUADRA DE LA ESCUELA 24 DE MAYO</t>
  </si>
  <si>
    <t>042972422</t>
  </si>
  <si>
    <t>JORGHI ESPINOZA CORONEL</t>
  </si>
  <si>
    <t>14849640098</t>
  </si>
  <si>
    <t>0991069402001</t>
  </si>
  <si>
    <t>THAR S.A.</t>
  </si>
  <si>
    <t>THAR SA</t>
  </si>
  <si>
    <t>AV. RODRIGO CHAVEZ GONZALES</t>
  </si>
  <si>
    <t>AV. JAIME ROLDOS (AV. DE LAS AMERICAS)</t>
  </si>
  <si>
    <t>PISO 6</t>
  </si>
  <si>
    <t>609</t>
  </si>
  <si>
    <t>SECTOR BAHIA NORTE</t>
  </si>
  <si>
    <t>042608973</t>
  </si>
  <si>
    <t>EVELYN TORRES ALCIVAR</t>
  </si>
  <si>
    <t>42113172091</t>
  </si>
  <si>
    <t>0923759682001</t>
  </si>
  <si>
    <t>PINTURAS EVEMARK</t>
  </si>
  <si>
    <t>VIA A GUAYAQUIL DAULE</t>
  </si>
  <si>
    <t>BODEGA 3A</t>
  </si>
  <si>
    <t>ENTRADA NORELCO</t>
  </si>
  <si>
    <t>500 METROS DEL PEAJE CHIVERIA</t>
  </si>
  <si>
    <t>PEÑAFIEL REINOSO MAYRA SOFIA</t>
  </si>
  <si>
    <t>14737911099</t>
  </si>
  <si>
    <t>0992690674001</t>
  </si>
  <si>
    <t>SAILORPAINT S.A.</t>
  </si>
  <si>
    <t>SAILORPAINT SA</t>
  </si>
  <si>
    <t>PECHICHE</t>
  </si>
  <si>
    <t>TECAS-43 N-O</t>
  </si>
  <si>
    <t>INMACONSA</t>
  </si>
  <si>
    <t>DETRAS DE LA COMPAÑIA KURIQUIMICA</t>
  </si>
  <si>
    <t>042103625</t>
  </si>
  <si>
    <t>48967452095</t>
  </si>
  <si>
    <t>0923037857001</t>
  </si>
  <si>
    <t>KM. 10</t>
  </si>
  <si>
    <t>TECAS EUCALIPSTOS PB</t>
  </si>
  <si>
    <t>VIA DAULE KM 10 TECAS EUCALIPTOS PB</t>
  </si>
  <si>
    <t>13705396099</t>
  </si>
  <si>
    <t>0990177805001</t>
  </si>
  <si>
    <t>QUIMICAMP DEL ECUADOR S.A.</t>
  </si>
  <si>
    <t>QUIMICAMP DEL ECUADOR</t>
  </si>
  <si>
    <t>CALLE ACACIAS</t>
  </si>
  <si>
    <t>AV. 42 A NO (CALLE CEDROS)</t>
  </si>
  <si>
    <t>GALPON S/N</t>
  </si>
  <si>
    <t>SECTOR INMACONSA</t>
  </si>
  <si>
    <t>DIAGONAL COLEGIO LEONIDAS GARCIA</t>
  </si>
  <si>
    <t>043702110</t>
  </si>
  <si>
    <t>GLENDA TORRES MONCAYO</t>
  </si>
  <si>
    <t>13709117097</t>
  </si>
  <si>
    <t>0992343087001</t>
  </si>
  <si>
    <t>QUALITYCORPORATION S.A.</t>
  </si>
  <si>
    <t>QUALITY CORPORATION</t>
  </si>
  <si>
    <t>SOLAR 15</t>
  </si>
  <si>
    <t>16.5</t>
  </si>
  <si>
    <t>LOT. PARQUE INDUSTRIAL PASCUAL</t>
  </si>
  <si>
    <t>60</t>
  </si>
  <si>
    <t>FRENTE A LUBRISA</t>
  </si>
  <si>
    <t>042995161</t>
  </si>
  <si>
    <t>RAUL OLMEDO SERRANO CARLIN</t>
  </si>
  <si>
    <t>13707854094</t>
  </si>
  <si>
    <t>0992146168001</t>
  </si>
  <si>
    <t>PROQUILARV S.A. PRODUCTOS QUIMICOS PARA LIMPIEZA Y ARTICULOS VARIOS</t>
  </si>
  <si>
    <t>PROQUILARV SA PRODUCTOS QUIMICOS PARA LIMPIEZA Y ARTICULOS VARIOS</t>
  </si>
  <si>
    <t>VIA A DAULE CDLA</t>
  </si>
  <si>
    <t>KM. 8.5</t>
  </si>
  <si>
    <t>CDLA. COLINAS DEL SOL</t>
  </si>
  <si>
    <t>042257588</t>
  </si>
  <si>
    <t>MARIUXI TORRES</t>
  </si>
  <si>
    <t>13706415097</t>
  </si>
  <si>
    <t>0991247378001</t>
  </si>
  <si>
    <t>LABORATORIO JOSE F. QUIROZ PEREZ CIA. LTDA.</t>
  </si>
  <si>
    <t>LABORATORIO JOSE F. QUIROZ PEREZ CIA. LTDA</t>
  </si>
  <si>
    <t>MAPASINGUE OESTE -AV TERCERA</t>
  </si>
  <si>
    <t>ENTRE CALLE SEGUNDA Y TERCERA</t>
  </si>
  <si>
    <t>JUNTO A ESCUELA NUESTRA SEÑORA DE LOURDES</t>
  </si>
  <si>
    <t>042015233</t>
  </si>
  <si>
    <t>MARIO SALAMAR</t>
  </si>
  <si>
    <t>80861</t>
  </si>
  <si>
    <t>14850561096</t>
  </si>
  <si>
    <t>0992724005001</t>
  </si>
  <si>
    <t>MULTIMERKSA S.A.</t>
  </si>
  <si>
    <t>MULTIMERKSA SA</t>
  </si>
  <si>
    <t>AV. DEL BOMBERO EJES EO</t>
  </si>
  <si>
    <t>CALLE 14 NO</t>
  </si>
  <si>
    <t>CEIBOS CENTER</t>
  </si>
  <si>
    <t>CDLA. CEIBOS NORTE</t>
  </si>
  <si>
    <t>DENTRO DEL EDIFICIO CEIBOS CENTER (ESQ)</t>
  </si>
  <si>
    <t>042510671</t>
  </si>
  <si>
    <t>BELINDA VANESSA MENENDEZ CHAMBA</t>
  </si>
  <si>
    <t>13705690094</t>
  </si>
  <si>
    <t>0990543216001</t>
  </si>
  <si>
    <t>INDUPROTEX CIA. LTDA.</t>
  </si>
  <si>
    <t>INDUSTRIA PROTEX</t>
  </si>
  <si>
    <t>CALLE A (CALLE 23 C NO)</t>
  </si>
  <si>
    <t>BODEGA CBA</t>
  </si>
  <si>
    <t>SECTOR PARQUE INDUSTRIAL EL SAUCE INMACONSA</t>
  </si>
  <si>
    <t>JUNTO A PLAZA SAIBABA</t>
  </si>
  <si>
    <t>042103560</t>
  </si>
  <si>
    <t>JOHANNA PIGUAVE ALVAREZ</t>
  </si>
  <si>
    <t>13705083091</t>
  </si>
  <si>
    <t>0990000360001</t>
  </si>
  <si>
    <t>LABORATORIOS TOFIS S.A.</t>
  </si>
  <si>
    <t>LABORATORIOS TOFIS S. A.</t>
  </si>
  <si>
    <t>AV. CARLOS JULIO AROSEMENA</t>
  </si>
  <si>
    <t>KM. 2/2</t>
  </si>
  <si>
    <t>EDF. TOFIS</t>
  </si>
  <si>
    <t>JUNTO A FABRICA CELOPLAST</t>
  </si>
  <si>
    <t>042202173</t>
  </si>
  <si>
    <t>OMAR MIGUEL GALLARDO</t>
  </si>
  <si>
    <t>13705242091</t>
  </si>
  <si>
    <t>0990036349001</t>
  </si>
  <si>
    <t>LABORATORIOS CHEFAR S.A.</t>
  </si>
  <si>
    <t>LABORATORIOS CHEFAR SA</t>
  </si>
  <si>
    <t>VÍA A DAULE</t>
  </si>
  <si>
    <t>DETRAS DE MOLINOS CHAMPION</t>
  </si>
  <si>
    <t>042651733</t>
  </si>
  <si>
    <t>JACIANTA PAREJA</t>
  </si>
  <si>
    <t>13705085093</t>
  </si>
  <si>
    <t>0990000603001</t>
  </si>
  <si>
    <t>INSTITUTO FARMACO BIOLOGICO S.A.</t>
  </si>
  <si>
    <t>INFABISA</t>
  </si>
  <si>
    <t>PSJE. 1 CJON 2DA CALLE</t>
  </si>
  <si>
    <t>CASA 1205</t>
  </si>
  <si>
    <t>CALLE AV. DOCE</t>
  </si>
  <si>
    <t>KM. 7/5 VIA A DAULE</t>
  </si>
  <si>
    <t>FRENTE A GRAFICAS "ENAJA</t>
  </si>
  <si>
    <t>042252933</t>
  </si>
  <si>
    <t>JACINTA PAREJA</t>
  </si>
  <si>
    <t>48276953098</t>
  </si>
  <si>
    <t>0993077852001</t>
  </si>
  <si>
    <t>FAPLACA S.A.</t>
  </si>
  <si>
    <t>FRENTE A PINTURAS UNIDAS</t>
  </si>
  <si>
    <t>JAVIER MOMCADA</t>
  </si>
  <si>
    <t>13739881123</t>
  </si>
  <si>
    <t>1202377832001</t>
  </si>
  <si>
    <t>GALLEGOS FREIRE MARIANA ELIZABETH</t>
  </si>
  <si>
    <t>SOLAR 16</t>
  </si>
  <si>
    <t>MZ. 7</t>
  </si>
  <si>
    <t>ATRAS DE LA FABRICA DE CAFE CONQUISTADOR</t>
  </si>
  <si>
    <t>14726953091</t>
  </si>
  <si>
    <t>0992262516001</t>
  </si>
  <si>
    <t>ALIBOC S.A.</t>
  </si>
  <si>
    <t>VÍA LA PUNTILLA SAMBORONDON</t>
  </si>
  <si>
    <t>KM. 16.5</t>
  </si>
  <si>
    <t>RCTO</t>
  </si>
  <si>
    <t>PASANDO  RECINTO LA BARRANCA RECTO</t>
  </si>
  <si>
    <t>043902385</t>
  </si>
  <si>
    <t>LILIANA J. LINO GARCIA</t>
  </si>
  <si>
    <t>14864339094</t>
  </si>
  <si>
    <t>0990150788001</t>
  </si>
  <si>
    <t>MATERIALES PREFABRICADOS PARA LA CONSTRUCCION COMPAÑIA LIMITADA MAPRECO</t>
  </si>
  <si>
    <t>MAPRECO CIA. LTDA.</t>
  </si>
  <si>
    <t>38</t>
  </si>
  <si>
    <t>AV. FRANCISCO DE ORELLANA</t>
  </si>
  <si>
    <t>EDIFICACION</t>
  </si>
  <si>
    <t>CC. DICENTRO</t>
  </si>
  <si>
    <t>LOCAL 38</t>
  </si>
  <si>
    <t>NORTE</t>
  </si>
  <si>
    <t>FRENTE A CONAUTO</t>
  </si>
  <si>
    <t>042922478</t>
  </si>
  <si>
    <t>CPA DAYSI RUIZ</t>
  </si>
  <si>
    <t>13794828177</t>
  </si>
  <si>
    <t>1708699846001</t>
  </si>
  <si>
    <t>TIPAN VACA JESUS WILFRIDO</t>
  </si>
  <si>
    <t>HORMITUB</t>
  </si>
  <si>
    <t>VÍA QUITO</t>
  </si>
  <si>
    <t>CALLE P</t>
  </si>
  <si>
    <t>KM. 2/5</t>
  </si>
  <si>
    <t>PAR. IND. HORIMITUB</t>
  </si>
  <si>
    <t>SECTOR EL KARAMA SUBESTACIÓN ELECTRICA</t>
  </si>
  <si>
    <t>022758482</t>
  </si>
  <si>
    <t>JESUS TIPAN</t>
  </si>
  <si>
    <t>13829037178</t>
  </si>
  <si>
    <t>1791995333001</t>
  </si>
  <si>
    <t>HORMIGONERA DEL TOACHI HORMITOACHI S.A.</t>
  </si>
  <si>
    <t>HORMITOACHI SA</t>
  </si>
  <si>
    <t>PADRES DOMINICOS</t>
  </si>
  <si>
    <t>ENTRE TULCAN Y AV TSACHILA</t>
  </si>
  <si>
    <t>EDF. GREENCARGO SA</t>
  </si>
  <si>
    <t>5-6</t>
  </si>
  <si>
    <t>JUNTO AL BANCO PICHINCHA ENTRANDO POR EL PASAJE EL SANTISIMO - FRENTE AL PARQUE CENTRAL</t>
  </si>
  <si>
    <t>022762975</t>
  </si>
  <si>
    <t>YOLANDA MARGOT CORDOVA ESCOBAR</t>
  </si>
  <si>
    <t>47032425093</t>
  </si>
  <si>
    <t>0992905611001</t>
  </si>
  <si>
    <t>PRODUCTORA DE MORTEROS Y ADITIVOS QUIMICOS MAQSA S.A.</t>
  </si>
  <si>
    <t>MAQSA</t>
  </si>
  <si>
    <t>VÍA DURAN TAMBO</t>
  </si>
  <si>
    <t>CALLE 158</t>
  </si>
  <si>
    <t>KM. 6/5</t>
  </si>
  <si>
    <t>FRENTE A LA CARTONERA PROCARSA</t>
  </si>
  <si>
    <t>JORGE FRIAS BAYAS</t>
  </si>
  <si>
    <t>14684957130</t>
  </si>
  <si>
    <t>1391768346001</t>
  </si>
  <si>
    <t>CONSTRUHIDROCAB CIA. LTDA.</t>
  </si>
  <si>
    <t>CONCRENOR</t>
  </si>
  <si>
    <t>VIA SIXTO DURAN BALLEN</t>
  </si>
  <si>
    <t>VÍA BAHÍA TOSAGUA</t>
  </si>
  <si>
    <t>ANTIGUA EMPACADORA PRODEMAR</t>
  </si>
  <si>
    <t>RODRIGUEZ LARA</t>
  </si>
  <si>
    <t>VÍA BAHÍA TOSAGUA CERCA A LA GASOLINERA PRIMAX</t>
  </si>
  <si>
    <t>053701453</t>
  </si>
  <si>
    <t>MANUEL MARAZITA VERA</t>
  </si>
  <si>
    <t>14605090096</t>
  </si>
  <si>
    <t>0991322272001</t>
  </si>
  <si>
    <t>EMULSIFICADORA DEL PACIFICO EMULPAC S.A.</t>
  </si>
  <si>
    <t>EMULPAC SA</t>
  </si>
  <si>
    <t>VIA DURAN TAMBO</t>
  </si>
  <si>
    <t>5.5</t>
  </si>
  <si>
    <t>DIAGONAL A PROMARISCOS</t>
  </si>
  <si>
    <t>042324612</t>
  </si>
  <si>
    <t>MARCELO DAVILA HIDALGO</t>
  </si>
  <si>
    <t>81002</t>
  </si>
  <si>
    <t>49892995094</t>
  </si>
  <si>
    <t>0993372329001</t>
  </si>
  <si>
    <t>ASFALTADORA DEL SUR ASFALSUR S.A.S.</t>
  </si>
  <si>
    <t>QUINQUELLAS Y EUCALIPTOS</t>
  </si>
  <si>
    <t>LOTIZACIÓN INMACONSA</t>
  </si>
  <si>
    <t>LOTIZACIÓN INMACONSA, CALLE QUINQUELLAS Y EUCALIPTOS</t>
  </si>
  <si>
    <t>14649327093</t>
  </si>
  <si>
    <t>0992486678001</t>
  </si>
  <si>
    <t>GREEN NATURAL PRODUCTS S.A. GREENATUPRO</t>
  </si>
  <si>
    <t>CALLE S/N</t>
  </si>
  <si>
    <t>VÍA A LA COSTA</t>
  </si>
  <si>
    <t>KM. 19/5 VIA A LA COSTA</t>
  </si>
  <si>
    <t>COMPLEJO INDUSTRIAL SAN VICENTE</t>
  </si>
  <si>
    <t>VIA A LA COSTA ALGARROBO</t>
  </si>
  <si>
    <t>PARQUE INDUSTRIALENTRE COSTA BRISA Y EMPAGRAN</t>
  </si>
  <si>
    <t>042046393</t>
  </si>
  <si>
    <t>ALONSO MANRIQUE SEVILLANO</t>
  </si>
  <si>
    <t>46931512137</t>
  </si>
  <si>
    <t>1391817444001</t>
  </si>
  <si>
    <t>DCAM S.A.</t>
  </si>
  <si>
    <t>10 DE AGOSTO Y PEDRO GUAL</t>
  </si>
  <si>
    <t>A LADO DE LA COMISARIATO DEL MAGISTERIO MANABI</t>
  </si>
  <si>
    <t>REYES DOMO ENMA SUSANA</t>
  </si>
  <si>
    <t>46975508137</t>
  </si>
  <si>
    <t>1391815239001</t>
  </si>
  <si>
    <t>EMPACADORA FRIPEZ S.A.</t>
  </si>
  <si>
    <t>AV. 103</t>
  </si>
  <si>
    <t>CALLE 114</t>
  </si>
  <si>
    <t>PISO 01</t>
  </si>
  <si>
    <t>DIAGONAL AL MERCADO A 100 M DEL IESS /SECTOR LOS ESTEROS</t>
  </si>
  <si>
    <t>052384918</t>
  </si>
  <si>
    <t>ING VASQUEZ CASTRO GISELLA KARINA</t>
  </si>
  <si>
    <t>14666786131</t>
  </si>
  <si>
    <t>1391721676001</t>
  </si>
  <si>
    <t>ECUAFISH S.A.</t>
  </si>
  <si>
    <t>ECUAFISH SA</t>
  </si>
  <si>
    <t>CALLE 29</t>
  </si>
  <si>
    <t>103</t>
  </si>
  <si>
    <t>AV. FLAVIO REYES</t>
  </si>
  <si>
    <t>UMIÑA</t>
  </si>
  <si>
    <t>A 30 MT DE HOSTAL MARIA JOSE</t>
  </si>
  <si>
    <t>052627015</t>
  </si>
  <si>
    <t>JAIME TRIVIÑO PICO</t>
  </si>
  <si>
    <t>49122395242</t>
  </si>
  <si>
    <t>2490033249001</t>
  </si>
  <si>
    <t>HARINA MARINA HARIMSA S.A.</t>
  </si>
  <si>
    <t>ATRAS DEL COLEGIO LUIS CELLERI AVILES, NOMBRE EDIFICIO: CONDOMINIO CONDO 700, NÚMERO PISO: 14, NÚMERO OFICINA: DPTO-ESTE</t>
  </si>
  <si>
    <t>47134965246</t>
  </si>
  <si>
    <t>2490014279001</t>
  </si>
  <si>
    <t>GONZAPESCA S.A.</t>
  </si>
  <si>
    <t>HARINERA DEL PACIFICO</t>
  </si>
  <si>
    <t>CALLE 7</t>
  </si>
  <si>
    <t>AV. 23</t>
  </si>
  <si>
    <t>CDLA. JOSE LUIS TAMAYO</t>
  </si>
  <si>
    <t>BARRIO SAN RAY MUNDO</t>
  </si>
  <si>
    <t>FRENTE CANCHA UNE</t>
  </si>
  <si>
    <t>042776077</t>
  </si>
  <si>
    <t>BELTRAN CATUTO TEOFILO ALBERTO</t>
  </si>
  <si>
    <t>14616364091</t>
  </si>
  <si>
    <t>0907597942001</t>
  </si>
  <si>
    <t>POZO ASCENCIO LUIS ANTONIO</t>
  </si>
  <si>
    <t>VÍA AV. PRINCIPAL (RUTA SPONDYLUS)</t>
  </si>
  <si>
    <t>RECINTO MONTEVERDE BARRIO NARCISA DE JESUS JUNTO A LA CASA COMUNAL</t>
  </si>
  <si>
    <t>043034980</t>
  </si>
  <si>
    <t>LUIS BORBOR POZO</t>
  </si>
  <si>
    <t>13708842090</t>
  </si>
  <si>
    <t>0992305401001</t>
  </si>
  <si>
    <t>DIMOLFIN S.A.</t>
  </si>
  <si>
    <t>DIMOLFIN SA</t>
  </si>
  <si>
    <t>SKY BULDING</t>
  </si>
  <si>
    <t>505</t>
  </si>
  <si>
    <t>BAHIA NORTE</t>
  </si>
  <si>
    <t>ATRÁS DEL HOTEL HOLIDAY</t>
  </si>
  <si>
    <t>046008091</t>
  </si>
  <si>
    <t>CARLOS JAIRALA ACEVEDO</t>
  </si>
  <si>
    <t>46937704097</t>
  </si>
  <si>
    <t>0993097721001</t>
  </si>
  <si>
    <t>MARPROTEIN S.A.</t>
  </si>
  <si>
    <t>URB.PUERTO AZUL</t>
  </si>
  <si>
    <t>223</t>
  </si>
  <si>
    <t>A DOS CUADRAS DEL MINIMARKET DE PUERTO AZUL</t>
  </si>
  <si>
    <t>BURGOS PIN CINTHIA RAQUEL</t>
  </si>
  <si>
    <t>13830381176</t>
  </si>
  <si>
    <t>1792137144001</t>
  </si>
  <si>
    <t>EXTRACTORA DE ACEITE LA JOYA EXTRAJOYA CIA. LTDA.</t>
  </si>
  <si>
    <t>EXTRACTORA LA JOYA CIA LTDA</t>
  </si>
  <si>
    <t>VIA PLAN PILOTO</t>
  </si>
  <si>
    <t>LA VILLEGAS</t>
  </si>
  <si>
    <t>LA CONCORDIA</t>
  </si>
  <si>
    <t>0999463132</t>
  </si>
  <si>
    <t>AGUIRRE ROSA</t>
  </si>
  <si>
    <t>ACEITE CRUDO DE PALMA AFRICANA</t>
  </si>
  <si>
    <t>14678193179</t>
  </si>
  <si>
    <t>1792299195001</t>
  </si>
  <si>
    <t>OLEAGINOSAS DEL PUERTO OLIPUERTO S.A.</t>
  </si>
  <si>
    <t>OLEAGINOSAS DEL PUERTO</t>
  </si>
  <si>
    <t>CALLE 118</t>
  </si>
  <si>
    <t>ATRAS DE LA EMPRESA ALES</t>
  </si>
  <si>
    <t>052928546</t>
  </si>
  <si>
    <t>GENESIS MURILLO</t>
  </si>
  <si>
    <t>13826942171</t>
  </si>
  <si>
    <t>1791704959001</t>
  </si>
  <si>
    <t>SISTEMA DE EXTRACCION DE PALMISTE SIEXPAL S.A.</t>
  </si>
  <si>
    <t>SIEXPAL</t>
  </si>
  <si>
    <t>VIA COLORADOS DEL BUA</t>
  </si>
  <si>
    <t>COOP. UCOM # 2</t>
  </si>
  <si>
    <t>JUNTO AL HOSPITAL GENERAL SANTO DOMINGO</t>
  </si>
  <si>
    <t>023762955</t>
  </si>
  <si>
    <t>DIANA CRISTINA MEJIA MOREIRA</t>
  </si>
  <si>
    <t>46851820094</t>
  </si>
  <si>
    <t>0993139742001</t>
  </si>
  <si>
    <t>PRODUCTORES PALMEROS INDUSTRIALES PROPALMIN CIA.LTDA.</t>
  </si>
  <si>
    <t>OLMEDO</t>
  </si>
  <si>
    <t>112</t>
  </si>
  <si>
    <t>A UNA CUADRA DE LA COMISION DE TRANSITO</t>
  </si>
  <si>
    <t>042750266</t>
  </si>
  <si>
    <t>NARVAEZ GUAICHA LUSMILA ELIZABETH</t>
  </si>
  <si>
    <t>14868749092</t>
  </si>
  <si>
    <t>0990259941001</t>
  </si>
  <si>
    <t>INASA INDUSTRIAL ACEITERA S.A.</t>
  </si>
  <si>
    <t>C104022</t>
  </si>
  <si>
    <t>TULCAN</t>
  </si>
  <si>
    <t>803</t>
  </si>
  <si>
    <t>9 DE OCTUBRE</t>
  </si>
  <si>
    <t>EDF. EL CONTEMPORANEO</t>
  </si>
  <si>
    <t>FRENTE A ECUATORIANO SUIZA</t>
  </si>
  <si>
    <t>042372500</t>
  </si>
  <si>
    <t>HOMERO ORDOÑEZ JARAMILLO</t>
  </si>
  <si>
    <t>13707090094</t>
  </si>
  <si>
    <t>0991403299001</t>
  </si>
  <si>
    <t>PRODUCTOS MAN-ZHI, ALIMENTOS INDUSTRIALIZADOS S.A.</t>
  </si>
  <si>
    <t>PRODUCTOS MAN-ZHI SA</t>
  </si>
  <si>
    <t>PSJE. SALITRE 2º PSJE. 38F NO</t>
  </si>
  <si>
    <t>EDF. 59</t>
  </si>
  <si>
    <t>CALLE CJON. C1 (MONTECRISTI Y LA RIA)</t>
  </si>
  <si>
    <t>COOP. LAS VEGAS</t>
  </si>
  <si>
    <t>DENTRO DE INSTALACION DE BANA SOYA</t>
  </si>
  <si>
    <t>042983430</t>
  </si>
  <si>
    <t>MARCOS ZHINDON MACIAS</t>
  </si>
  <si>
    <t>46815285093</t>
  </si>
  <si>
    <t>0992865148001</t>
  </si>
  <si>
    <t>INDUFELTA S.A.</t>
  </si>
  <si>
    <t>CALLE PEDRO VICENTE MALDONADO</t>
  </si>
  <si>
    <t>CALLE 58</t>
  </si>
  <si>
    <t>PEDRO MENENDEZ</t>
  </si>
  <si>
    <t>ATRAS DEL DIVINO NIÑO</t>
  </si>
  <si>
    <t>JOSE LUIS JIMENEZ MEDINA</t>
  </si>
  <si>
    <t>13708119096</t>
  </si>
  <si>
    <t>0992182571001</t>
  </si>
  <si>
    <t>JUEZA S.A. JUEZASA</t>
  </si>
  <si>
    <t>SAL PACIFICO</t>
  </si>
  <si>
    <t>CALLE 41 (CALLE U)</t>
  </si>
  <si>
    <t>EDF. 7</t>
  </si>
  <si>
    <t>PSJE. 1º PEATONAL 38C NO</t>
  </si>
  <si>
    <t>KM. 10/5</t>
  </si>
  <si>
    <t>SAL DEL PACIFICO</t>
  </si>
  <si>
    <t>BASTION POPULAR BLOQUE1</t>
  </si>
  <si>
    <t>A LADO DE ALMAGRO</t>
  </si>
  <si>
    <t>042558282</t>
  </si>
  <si>
    <t>AB. ANA MARIA ZAMBRANO MOLINEROS</t>
  </si>
  <si>
    <t>13706291096</t>
  </si>
  <si>
    <t>0991152601001</t>
  </si>
  <si>
    <t>HILANDERIAS UNIDAS HIUNSA S.A.</t>
  </si>
  <si>
    <t>HILANDERIAS UNIDAS S. A.</t>
  </si>
  <si>
    <t>7,5</t>
  </si>
  <si>
    <t>042256449</t>
  </si>
  <si>
    <t>ING. LUIS ARIAS RENDON</t>
  </si>
  <si>
    <t>14597868091</t>
  </si>
  <si>
    <t>0992679743001</t>
  </si>
  <si>
    <t>PAUDWED S.A.</t>
  </si>
  <si>
    <t>PAUDWED SA</t>
  </si>
  <si>
    <t>815</t>
  </si>
  <si>
    <t>RUMICHACA - LORENZO DE GARAICO</t>
  </si>
  <si>
    <t>DIAGONAL AL MERCADO CENTRAL</t>
  </si>
  <si>
    <t>045000343</t>
  </si>
  <si>
    <t>NARCISA TORRES GUAMAN</t>
  </si>
  <si>
    <t>14594821093</t>
  </si>
  <si>
    <t>0992702958001</t>
  </si>
  <si>
    <t>GYACORP CIA. LTDA.</t>
  </si>
  <si>
    <t>ASISCLO GARAY PORTOCARRERO</t>
  </si>
  <si>
    <t>603</t>
  </si>
  <si>
    <t>8 SO-CRISTOBAL COLON</t>
  </si>
  <si>
    <t>CAMISERIAS EL</t>
  </si>
  <si>
    <t>CENTRO-SUR</t>
  </si>
  <si>
    <t>042370594</t>
  </si>
  <si>
    <t>YUNES ANDRADE GISELLA MARIA</t>
  </si>
  <si>
    <t>13711015099</t>
  </si>
  <si>
    <t>0992594594001</t>
  </si>
  <si>
    <t>NEGOWINSA S.A.</t>
  </si>
  <si>
    <t>SL. 1</t>
  </si>
  <si>
    <t>QUINQUELLAS</t>
  </si>
  <si>
    <t>VÍA A DAULE A LADO DE EMPRESA DISTHER</t>
  </si>
  <si>
    <t>042113000</t>
  </si>
  <si>
    <t>ALEXANDRA MEJIA</t>
  </si>
  <si>
    <t>14707157098</t>
  </si>
  <si>
    <t>0992672269001</t>
  </si>
  <si>
    <t>TERRATECNICA S.A.</t>
  </si>
  <si>
    <t>AV. ARCOS PEREZ</t>
  </si>
  <si>
    <t>JOSE LABORDE</t>
  </si>
  <si>
    <t>DIAGONAL AL TANQUE DE AGUA POTABLE, FRENTE AL CEMENTERIO , GALPON DE UN PISO, COLOR LADRILLO</t>
  </si>
  <si>
    <t>052949065</t>
  </si>
  <si>
    <t>SUAREZ VELEZ NELSON HUMBERTO</t>
  </si>
  <si>
    <t>13709727090</t>
  </si>
  <si>
    <t>0992433566001</t>
  </si>
  <si>
    <t>BALSAKORE S.A.</t>
  </si>
  <si>
    <t>BALSAKORE SA</t>
  </si>
  <si>
    <t>PANAMERICANA  VIA A SAN JUAN</t>
  </si>
  <si>
    <t>MANUEL FELIPE SERRANO</t>
  </si>
  <si>
    <t>052954027</t>
  </si>
  <si>
    <t>KRUMHOLZ DE MENEZES STEPHANIE</t>
  </si>
  <si>
    <t>14747937096</t>
  </si>
  <si>
    <t>0905883765001</t>
  </si>
  <si>
    <t>ARMAS CABRERA CESAR FERNANDO</t>
  </si>
  <si>
    <t>C192009</t>
  </si>
  <si>
    <t>CALLE 1A</t>
  </si>
  <si>
    <t>AUTOP. GUAYAQUIL SALINAS</t>
  </si>
  <si>
    <t>KM. 19/5</t>
  </si>
  <si>
    <t>PAR. IND. S/N</t>
  </si>
  <si>
    <t>SECTOR VIA A LA COSTA</t>
  </si>
  <si>
    <t>FRENTE A URBANIZACION COSTA BRISA</t>
  </si>
  <si>
    <t>ROSXELIN MONCADA ROMERO</t>
  </si>
  <si>
    <t>13710356097</t>
  </si>
  <si>
    <t>0992513659001</t>
  </si>
  <si>
    <t>BIOTECDOR S.A.</t>
  </si>
  <si>
    <t>BIOTECDOR SA</t>
  </si>
  <si>
    <t>CARLOS JULIO AROSEMENA</t>
  </si>
  <si>
    <t>CJON Q</t>
  </si>
  <si>
    <t>GALPON 8</t>
  </si>
  <si>
    <t>ENTRANDO POR COMPAÑIA RENACIENTES AL FONDO</t>
  </si>
  <si>
    <t>042200635</t>
  </si>
  <si>
    <t>FABIAN IÑIGUEZ VILLEGAS</t>
  </si>
  <si>
    <t>46616239091</t>
  </si>
  <si>
    <t>0992832991001</t>
  </si>
  <si>
    <t>INDUSTRIA QUIMICA INVESTCAMP S.A.</t>
  </si>
  <si>
    <t>INVESTCAMP</t>
  </si>
  <si>
    <t>NOGUCHI</t>
  </si>
  <si>
    <t>2217</t>
  </si>
  <si>
    <t>COLOMBIA Y CAMILO DESTRUGE</t>
  </si>
  <si>
    <t>FAJARDO SAINES RICARDO ABDALA</t>
  </si>
  <si>
    <t>13709108098</t>
  </si>
  <si>
    <t>0992341319001</t>
  </si>
  <si>
    <t>INDUBRAS ECUADOR S.A.</t>
  </si>
  <si>
    <t>INDUBRAS ECUADOR SA</t>
  </si>
  <si>
    <t>ROSAVYN</t>
  </si>
  <si>
    <t>SL. 14</t>
  </si>
  <si>
    <t>COBRE</t>
  </si>
  <si>
    <t>KM. 15</t>
  </si>
  <si>
    <t>FRENTE A DERMIGON</t>
  </si>
  <si>
    <t>045012154</t>
  </si>
  <si>
    <t>JESSICA IRENE ARRIAGA LUCAS</t>
  </si>
  <si>
    <t>TINTA DE COLORES</t>
  </si>
  <si>
    <t>47260176133</t>
  </si>
  <si>
    <t>1391837666001</t>
  </si>
  <si>
    <t>INDUSTRIA DE ACEITES Y JABONES DEL AGRO INAJAG S.A.</t>
  </si>
  <si>
    <t>INAJAGSA</t>
  </si>
  <si>
    <t>CALLE PRINCIPAL</t>
  </si>
  <si>
    <t>MONTALVAN</t>
  </si>
  <si>
    <t>ATRAS DE COSACE</t>
  </si>
  <si>
    <t>MOLINA FRANCO ELSA JASMIN</t>
  </si>
  <si>
    <t>13707139093</t>
  </si>
  <si>
    <t>0991417729001</t>
  </si>
  <si>
    <t>ECOBEL ECUATORIANA DE COLOR Y BELLEZA S.A.</t>
  </si>
  <si>
    <t>ECOBEL SA</t>
  </si>
  <si>
    <t>CALLE CASUARINAS</t>
  </si>
  <si>
    <t>SL. 23</t>
  </si>
  <si>
    <t>CALLE MIRTUS</t>
  </si>
  <si>
    <t>PAR. IND. INMACONSA</t>
  </si>
  <si>
    <t>MZ. 3</t>
  </si>
  <si>
    <t>042110910</t>
  </si>
  <si>
    <t>TATIANA GARCIA GARCIA</t>
  </si>
  <si>
    <t>80870</t>
  </si>
  <si>
    <t>14792667091</t>
  </si>
  <si>
    <t>0990947325001</t>
  </si>
  <si>
    <t>LABORATORIO NEGRETE LABNEGRET C.A.</t>
  </si>
  <si>
    <t>LABORATORIO NEGRETE LAB NEGRETE C.A.</t>
  </si>
  <si>
    <t>KM. 9/5</t>
  </si>
  <si>
    <t>FRENTE A PUERTO AZULJUNTO A CNT</t>
  </si>
  <si>
    <t>042992414</t>
  </si>
  <si>
    <t>FERNANDO NEGRETE</t>
  </si>
  <si>
    <t>13706543095</t>
  </si>
  <si>
    <t>0991279997001</t>
  </si>
  <si>
    <t>MINAS SAN ANTONIO S.A. MISANSA</t>
  </si>
  <si>
    <t>MISANSA SA</t>
  </si>
  <si>
    <t>VIA A LA COSTA</t>
  </si>
  <si>
    <t>33-1</t>
  </si>
  <si>
    <t>VIA A LA COSTA "SENTIDO GUAYAQUIL SALINAS</t>
  </si>
  <si>
    <t>13.5</t>
  </si>
  <si>
    <t>A 100 MTRS. DE LA VIA A LA COSTA "UN PAI" DE LA POLICIA NACIONAL</t>
  </si>
  <si>
    <t>043905000</t>
  </si>
  <si>
    <t>ELIAS AGUIRRE QUIÑONEZ</t>
  </si>
  <si>
    <t>22316220090</t>
  </si>
  <si>
    <t>0992430613001</t>
  </si>
  <si>
    <t>PIROTECNICS S.A.</t>
  </si>
  <si>
    <t>PIROTECNICS</t>
  </si>
  <si>
    <t>AV. DR. CARLOS LUIS PLAZA DAÑIN CALLE 12º NO</t>
  </si>
  <si>
    <t>CALLE FRANCISCO BOLOÑA AV. 12 NO</t>
  </si>
  <si>
    <t>CC. PLAZA QUIL</t>
  </si>
  <si>
    <t>CDLA. KENNEDY NORTE</t>
  </si>
  <si>
    <t>JUNTO A COMISARIATO</t>
  </si>
  <si>
    <t>042322090</t>
  </si>
  <si>
    <t>MAINGON TORRES LUIS XAVIER</t>
  </si>
  <si>
    <t>14815853092</t>
  </si>
  <si>
    <t>0992528400001</t>
  </si>
  <si>
    <t>AISLAPOL S.A. AISLANTES POLITERMICOS</t>
  </si>
  <si>
    <t>AISLAPOL SA</t>
  </si>
  <si>
    <t>CALLE PALMERAS</t>
  </si>
  <si>
    <t>AISLAPOL S.A</t>
  </si>
  <si>
    <t>JUNTO A BODEGAS DE ALMACENES BOYACA</t>
  </si>
  <si>
    <t>042113378</t>
  </si>
  <si>
    <t>EDWIN FABIAN DOMINGUEZ CABRERA</t>
  </si>
  <si>
    <t>13656148076</t>
  </si>
  <si>
    <t>0791727847001</t>
  </si>
  <si>
    <t>MAGREB S A</t>
  </si>
  <si>
    <t>MAGREB</t>
  </si>
  <si>
    <t>BETA Y LOS CIRUELOS</t>
  </si>
  <si>
    <t>26</t>
  </si>
  <si>
    <t>DETRÁS DE LAS BODEGAS DE COCA COLA</t>
  </si>
  <si>
    <t>042113431</t>
  </si>
  <si>
    <t>ERIKA PATRICIA OLVERA AVILES</t>
  </si>
  <si>
    <t>49758376132</t>
  </si>
  <si>
    <t>1391931801001</t>
  </si>
  <si>
    <t>HORMIGONES CIUDAD RODRIGO HORMIGONCR S.A.S.</t>
  </si>
  <si>
    <t>CARRETERA PRINCIPAL</t>
  </si>
  <si>
    <t>SIN INTERSECCION</t>
  </si>
  <si>
    <t>14635541238</t>
  </si>
  <si>
    <t>2390003776001</t>
  </si>
  <si>
    <t>BIGPOSTE C.A</t>
  </si>
  <si>
    <t>VIA LA CARCEL</t>
  </si>
  <si>
    <t>A QUINIENTOS METROS DE LA ESCUELA EMAUS</t>
  </si>
  <si>
    <t>023766037</t>
  </si>
  <si>
    <t>VILLA GUACHA ALVARO HERNANDO</t>
  </si>
  <si>
    <t>47561268238</t>
  </si>
  <si>
    <t>2390030412001</t>
  </si>
  <si>
    <t>POSTESAD PREFABRICADOS DE HORMIGON CIA.LTDA.</t>
  </si>
  <si>
    <t>POSTESAD</t>
  </si>
  <si>
    <t>200 METROS ANTES DE LA ENTRADA A VALLE H</t>
  </si>
  <si>
    <t>022773070</t>
  </si>
  <si>
    <t>VASCONEZ PERDOMO GUIDO GUSTAVO</t>
  </si>
  <si>
    <t>47282805096</t>
  </si>
  <si>
    <t>0992985429001</t>
  </si>
  <si>
    <t>ODCON S.A.</t>
  </si>
  <si>
    <t>VICTOR HUGO SICOURET</t>
  </si>
  <si>
    <t>SOLAR 29</t>
  </si>
  <si>
    <t>Y NUQUES PARRA ESQUINA</t>
  </si>
  <si>
    <t>COOP. GUAYAQUIL</t>
  </si>
  <si>
    <t>UNA CUADRA ATRAS DE REGISTRO MERCANTIL</t>
  </si>
  <si>
    <t>046001639</t>
  </si>
  <si>
    <t>CHOEZ PEÑAFIEL RUFINO HONORIO</t>
  </si>
  <si>
    <t>49671943090</t>
  </si>
  <si>
    <t>0993312169001</t>
  </si>
  <si>
    <t>ECUMIX S.A.</t>
  </si>
  <si>
    <t>13706207095</t>
  </si>
  <si>
    <t>0991056246001</t>
  </si>
  <si>
    <t>FILARET S.A.</t>
  </si>
  <si>
    <t>AV. TANASA</t>
  </si>
  <si>
    <t>INDUSTRIAL GALPOSA</t>
  </si>
  <si>
    <t>DIAGONAL A CEDAL ENTRANDO POR SENEFELDER</t>
  </si>
  <si>
    <t>042809303</t>
  </si>
  <si>
    <t>ALICE LARA</t>
  </si>
  <si>
    <t>80898</t>
  </si>
  <si>
    <t>13705144090</t>
  </si>
  <si>
    <t>0990010595001</t>
  </si>
  <si>
    <t>IEHSA INDUSTRIA DE ENVASES LITOGRAFIADOS DE HOJALATA C LTDA</t>
  </si>
  <si>
    <t>IEHSA C.LTDA.</t>
  </si>
  <si>
    <t>CALLE 8VA</t>
  </si>
  <si>
    <t>1ER. CALLEJON</t>
  </si>
  <si>
    <t>KM. 5/5</t>
  </si>
  <si>
    <t>SECTOR MAPASINGUE OESTE</t>
  </si>
  <si>
    <t>FRENTE AL C.C. EL TREBOL VÍA DAULE</t>
  </si>
  <si>
    <t>042255383</t>
  </si>
  <si>
    <t>XAVIER CEDEÑO</t>
  </si>
  <si>
    <t>13705607090</t>
  </si>
  <si>
    <t>0990389225001</t>
  </si>
  <si>
    <t>ECUAPAR ECUATORIANA DE PARTES S.A.</t>
  </si>
  <si>
    <t>ECUAPAR SA</t>
  </si>
  <si>
    <t>VIA DAULE , CALLE HONORATO VASQUEZ</t>
  </si>
  <si>
    <t>10/5</t>
  </si>
  <si>
    <t>INDUSTRIAL INMACONSA</t>
  </si>
  <si>
    <t>PAR. IND. INDUSTRIAL INMACONSA</t>
  </si>
  <si>
    <t>PARQUE INDUSTRIAL INMACONSA</t>
  </si>
  <si>
    <t>URB.FORTALEZA</t>
  </si>
  <si>
    <t>KM 10/5 VIA A DAULE</t>
  </si>
  <si>
    <t>A 200 MTS DEL COL. LEONIDAS GARCIA, DIAGONAL A INDUSTRIAS ALES</t>
  </si>
  <si>
    <t>0993021860</t>
  </si>
  <si>
    <t>JUBETSY JORDAN TORRES</t>
  </si>
  <si>
    <t>47560805094</t>
  </si>
  <si>
    <t>0993067334001</t>
  </si>
  <si>
    <t>LABORATORIO FARMACÉUTICO GM LFGM S.A.</t>
  </si>
  <si>
    <t>LFGM</t>
  </si>
  <si>
    <t>AV. DR. JULIO CESAR GONZÁLEZ MOSQUERA</t>
  </si>
  <si>
    <t>3.5</t>
  </si>
  <si>
    <t>LIZ COGRA</t>
  </si>
  <si>
    <t>LABORATORIO GM</t>
  </si>
  <si>
    <t>JUNTO A TOYOCOSTA</t>
  </si>
  <si>
    <t>044622295</t>
  </si>
  <si>
    <t>MARTHA ELVIRA MORAN GARZON</t>
  </si>
  <si>
    <t>80191</t>
  </si>
  <si>
    <t>14708855091</t>
  </si>
  <si>
    <t>0992681632001</t>
  </si>
  <si>
    <t>DAVMERCORP S.A.</t>
  </si>
  <si>
    <t>AV. CASUARINA</t>
  </si>
  <si>
    <t>ENTRE CEDROS Y MIRTUSN</t>
  </si>
  <si>
    <t>DAVMERCORP</t>
  </si>
  <si>
    <t>FRENTE AL COLEGIO LEONIDAS GARCIA</t>
  </si>
  <si>
    <t>042113099</t>
  </si>
  <si>
    <t>ANDRES CHICAIZA</t>
  </si>
  <si>
    <t>14605232133</t>
  </si>
  <si>
    <t>1391701667001</t>
  </si>
  <si>
    <t>EMPACADORA DEL PACIFICO SOCIEDAD ANONIMA (EDPACIF S.A.)</t>
  </si>
  <si>
    <t>EDPACIF</t>
  </si>
  <si>
    <t>VIA PEDERNALES</t>
  </si>
  <si>
    <t>PLANTA INDUSTRIAL</t>
  </si>
  <si>
    <t>INGRESO POR REDONDEL DE LA VIA PRINCIPAL - VIA PEDERNALES A JAMA</t>
  </si>
  <si>
    <t>053700460</t>
  </si>
  <si>
    <t>GABRIELA HOLGUIN GARAY</t>
  </si>
  <si>
    <t>14869831094</t>
  </si>
  <si>
    <t>0990034958001</t>
  </si>
  <si>
    <t>PINTURAS ECUATORIANAS S.A. PINTUCO</t>
  </si>
  <si>
    <t>PINTUCO ECUADOR</t>
  </si>
  <si>
    <t>DR ELIAS MUÑOZ VICUNA</t>
  </si>
  <si>
    <t>ORELLANA MATEUS</t>
  </si>
  <si>
    <t>PINTUCO</t>
  </si>
  <si>
    <t>CDLA. ATARAZANA</t>
  </si>
  <si>
    <t>DIAGONAL AL SUPERMERCADO DE CARNES LA ESPAÑOLA</t>
  </si>
  <si>
    <t>043731880</t>
  </si>
  <si>
    <t>FERNANDO  LORENTI  JIMENEZ</t>
  </si>
  <si>
    <t>80221</t>
  </si>
  <si>
    <t>14783080096</t>
  </si>
  <si>
    <t>0992376686001</t>
  </si>
  <si>
    <t>URISA S.A.</t>
  </si>
  <si>
    <t>KM. 1 VIA POZO LA SABANA</t>
  </si>
  <si>
    <t>DIAGONAL A CELEC</t>
  </si>
  <si>
    <t>052613539</t>
  </si>
  <si>
    <t>JORGE LUIS LOOR TELLO</t>
  </si>
  <si>
    <t>49380785098</t>
  </si>
  <si>
    <t>0993223700001</t>
  </si>
  <si>
    <t>ESTRUCTURAS CCKLAERE S.A.</t>
  </si>
  <si>
    <t>FINCAS DELIA</t>
  </si>
  <si>
    <t>JUNTO A LA EMPRESA PRODUMAR</t>
  </si>
  <si>
    <t>042143487</t>
  </si>
  <si>
    <t>FERNANDO RODOLFO ORELLANA INTRIAGO</t>
  </si>
  <si>
    <t>14785053096</t>
  </si>
  <si>
    <t>0992497025001</t>
  </si>
  <si>
    <t>ECUACABLE S.A.</t>
  </si>
  <si>
    <t>ECUACABLE</t>
  </si>
  <si>
    <t>AV. ROSAVÍN</t>
  </si>
  <si>
    <t>LOTIZACION INDUSTRIAL PASCUALES</t>
  </si>
  <si>
    <t>INPROEL</t>
  </si>
  <si>
    <t>FRENTE A LA FABRICA BIG COLA</t>
  </si>
  <si>
    <t>1700467763</t>
  </si>
  <si>
    <t>COELLO ASPIAZU LORENA</t>
  </si>
  <si>
    <t>47146652090</t>
  </si>
  <si>
    <t>0992911956001</t>
  </si>
  <si>
    <t>EXPORTADORA TOTAL SEAFOOD TOTALSEAFOOD S. A.</t>
  </si>
  <si>
    <t>VIA DURANTAMBO</t>
  </si>
  <si>
    <t>RECINTO YAMILE YAMILE</t>
  </si>
  <si>
    <t>FRENTE AL COMEDOR EL CONTENEDOR</t>
  </si>
  <si>
    <t>045000445</t>
  </si>
  <si>
    <t>ROBERT MERELO JIMENEZ</t>
  </si>
  <si>
    <t>14745208135</t>
  </si>
  <si>
    <t>1390073891001</t>
  </si>
  <si>
    <t>TRANSMARINA C. A.</t>
  </si>
  <si>
    <t>TRANSMARINA C A</t>
  </si>
  <si>
    <t>VIA MANTA</t>
  </si>
  <si>
    <t>VÍA MONTECRISTI</t>
  </si>
  <si>
    <t>EDF.  TRANSMARINA</t>
  </si>
  <si>
    <t>A 200 METROS DEL REDONDEL DE LA TEJEDORA EN LA VIA CIRCUNVALACION</t>
  </si>
  <si>
    <t>052618248</t>
  </si>
  <si>
    <t>JIMMY RICARDO CASTRO LOOR</t>
  </si>
  <si>
    <t>13705185098</t>
  </si>
  <si>
    <t>0990018189001</t>
  </si>
  <si>
    <t>LABORATORIOS DR. A. BJARNER C.A.</t>
  </si>
  <si>
    <t>LABORATORIOS DR A BJARNER CA</t>
  </si>
  <si>
    <t>ENTRE NOGUCHI Y RUMICHACA</t>
  </si>
  <si>
    <t>ING REBECA JAIME</t>
  </si>
  <si>
    <t>13710510096</t>
  </si>
  <si>
    <t>0992534575001</t>
  </si>
  <si>
    <t>OPERFEL S.A.</t>
  </si>
  <si>
    <t>OPERFEL</t>
  </si>
  <si>
    <t>AV. 28 DE AGOSTO</t>
  </si>
  <si>
    <t>AV. LOS MANGUITOS</t>
  </si>
  <si>
    <t>COOP. LOS MANGUITOS</t>
  </si>
  <si>
    <t>183</t>
  </si>
  <si>
    <t>DIAGONAL A MABE</t>
  </si>
  <si>
    <t>042612666</t>
  </si>
  <si>
    <t>DIANA CARBO</t>
  </si>
  <si>
    <t>14868900092</t>
  </si>
  <si>
    <t>0990033110001</t>
  </si>
  <si>
    <t>SOCIEDAD NACIONAL DE GALAPAGOS C.A.</t>
  </si>
  <si>
    <t>SONGA</t>
  </si>
  <si>
    <t>LAS ESCLUSAS</t>
  </si>
  <si>
    <t>VIA HCDA. LA JOSEFINA</t>
  </si>
  <si>
    <t>A 3.5 KILOMETROS PASANDO FABRICA ANDEC</t>
  </si>
  <si>
    <t>042591250</t>
  </si>
  <si>
    <t>ELIANA PEÑAFIEL</t>
  </si>
  <si>
    <t>14867468090</t>
  </si>
  <si>
    <t>0990007241001</t>
  </si>
  <si>
    <t>ECUATORIANA DE SAL Y PRODUCTOS QUIMICOS C.A. ECUASAL</t>
  </si>
  <si>
    <t>ECUATORIANA DE SAL Y PRODUCTOS QUIMICOS C.A.</t>
  </si>
  <si>
    <t>AV. CAMILO PONCE ENRIQUEZ</t>
  </si>
  <si>
    <t>LOTIZACION LOS RANCHOS</t>
  </si>
  <si>
    <t>BASTION POPULAR</t>
  </si>
  <si>
    <t>75</t>
  </si>
  <si>
    <t>FRENTE AL MI COMISARIATO DE LA VIA DAULE</t>
  </si>
  <si>
    <t>045000666</t>
  </si>
  <si>
    <t>JANNETH ALEJANDRA PILCO  NAULA</t>
  </si>
  <si>
    <t>80222</t>
  </si>
  <si>
    <t>13705285092</t>
  </si>
  <si>
    <t>0990071969001</t>
  </si>
  <si>
    <t>EMPACADORA GRUPO GRANMAR S.A. EMPAGRAN</t>
  </si>
  <si>
    <t>EMPAGRAN SA</t>
  </si>
  <si>
    <t>JUNTO AL TERMINAL PORTUARIO DE PUERTO HONDO</t>
  </si>
  <si>
    <t>042032144</t>
  </si>
  <si>
    <t>ANA VARGAS</t>
  </si>
  <si>
    <t>13711161095</t>
  </si>
  <si>
    <t>0992611227001</t>
  </si>
  <si>
    <t>FRIGOPESCA C.A.</t>
  </si>
  <si>
    <t>FRIGOPESCA CA</t>
  </si>
  <si>
    <t>CASUARINA</t>
  </si>
  <si>
    <t>300 MTS DEL FUERTE HUANCAVILCA, AL LADO DE RESIQUIM</t>
  </si>
  <si>
    <t>045000558</t>
  </si>
  <si>
    <t>WALTER WILLIAM MATUTE NEIRA</t>
  </si>
  <si>
    <t>13705081098</t>
  </si>
  <si>
    <t>0990000018001</t>
  </si>
  <si>
    <t>QUIMIPAC S.A.</t>
  </si>
  <si>
    <t>QUIMIPAC SA</t>
  </si>
  <si>
    <t>VIA DAULE , EUCALIPTOS</t>
  </si>
  <si>
    <t>AV. 42 NO</t>
  </si>
  <si>
    <t>QUIMIPAC</t>
  </si>
  <si>
    <t>DIAGONAL A LA EMPRESA DAYTONA</t>
  </si>
  <si>
    <t>042687233</t>
  </si>
  <si>
    <t>DENIS AREVALO</t>
  </si>
  <si>
    <t>44596674094</t>
  </si>
  <si>
    <t>0992778059001</t>
  </si>
  <si>
    <t>MANOBANDACORP C.A.</t>
  </si>
  <si>
    <t>VIA A EL EMPALME</t>
  </si>
  <si>
    <t>19</t>
  </si>
  <si>
    <t>RCTO. LA VIRGINIA</t>
  </si>
  <si>
    <t>FRENTE AL MOTEL OASIS</t>
  </si>
  <si>
    <t>CRISTHIAN  CONRADO</t>
  </si>
  <si>
    <t>13705252097</t>
  </si>
  <si>
    <t>0990041105001</t>
  </si>
  <si>
    <t>ENVASES DEL LITORAL S.A.</t>
  </si>
  <si>
    <t>ENVASES DEL LITORAL SA</t>
  </si>
  <si>
    <t>FRENTE A LA COMPAÑIA LINDE</t>
  </si>
  <si>
    <t>042100360</t>
  </si>
  <si>
    <t>YUL JURADO LEITON</t>
  </si>
  <si>
    <t>80211</t>
  </si>
  <si>
    <t>46564072095</t>
  </si>
  <si>
    <t>0992838795001</t>
  </si>
  <si>
    <t>PROCESADORA Y EXPORTADORA DE CAMARON PROCAMARONEX C. LTDA.</t>
  </si>
  <si>
    <t>PROCAMARONEX C LTDA</t>
  </si>
  <si>
    <t>VIA DAULE AVENIDA COBRE</t>
  </si>
  <si>
    <t>ROSAVIN</t>
  </si>
  <si>
    <t>PAR. IND. PASCUALES</t>
  </si>
  <si>
    <t>PROCAMARONEX</t>
  </si>
  <si>
    <t>54</t>
  </si>
  <si>
    <t>JUNTO A BATERIAS DACAR</t>
  </si>
  <si>
    <t>042162449</t>
  </si>
  <si>
    <t>PATRICIA NOVILLO</t>
  </si>
  <si>
    <t>46966380179</t>
  </si>
  <si>
    <t>1792547601001</t>
  </si>
  <si>
    <t>ORGANICSUPPLY S.A.</t>
  </si>
  <si>
    <t>ORGANIC SUPPLY ECUADOR</t>
  </si>
  <si>
    <t>SIMON PLATA TORRES</t>
  </si>
  <si>
    <t>RODRIGO PAEZ</t>
  </si>
  <si>
    <t>SALINAS</t>
  </si>
  <si>
    <t>ALADO DEL BANCO DE GUAYAQUIL</t>
  </si>
  <si>
    <t>022276949</t>
  </si>
  <si>
    <t>VERONICA DIAZ BORJA</t>
  </si>
  <si>
    <t>47790560139</t>
  </si>
  <si>
    <t>1391851138001</t>
  </si>
  <si>
    <t>LOGISTIC CONTAINER &amp; TRANSPORT ECUADOR IMPORTADORA Y EXPORTADORA LCTE S.A.</t>
  </si>
  <si>
    <t>CALLE 23</t>
  </si>
  <si>
    <t>ENTRE CALLE M2 Y M3</t>
  </si>
  <si>
    <t>EDF. BUSINESS CENTER</t>
  </si>
  <si>
    <t>1106</t>
  </si>
  <si>
    <t>FRENTE A KFC</t>
  </si>
  <si>
    <t>ANA GUILLEN ALCIVAR</t>
  </si>
  <si>
    <t>14665334130</t>
  </si>
  <si>
    <t>1391724837001</t>
  </si>
  <si>
    <t>PRODUCTOS PESQUEROS S.A. PRODUPES</t>
  </si>
  <si>
    <t>VIA CIRCUNVALACION REDONDEL DE COLORADO</t>
  </si>
  <si>
    <t>VIA A BARRANCO PRIETO</t>
  </si>
  <si>
    <t>3 1/2</t>
  </si>
  <si>
    <t>COLORADO</t>
  </si>
  <si>
    <t>NUEVA VIA A LA REFINERIA</t>
  </si>
  <si>
    <t>0997217718</t>
  </si>
  <si>
    <t>GINA ALONZO</t>
  </si>
  <si>
    <t>13705715097</t>
  </si>
  <si>
    <t>0990562091001</t>
  </si>
  <si>
    <t>INDUSTRIA ECUATORIANA DE CABLES INCABLE S.A.</t>
  </si>
  <si>
    <t>INCABLE SA</t>
  </si>
  <si>
    <t>CALLE CIRUELOS</t>
  </si>
  <si>
    <t>SL. 7</t>
  </si>
  <si>
    <t>INCABLE</t>
  </si>
  <si>
    <t>CERCA A NOHERI, A DOS CUADRAS DE GRUAS VILLALBA</t>
  </si>
  <si>
    <t>042113815</t>
  </si>
  <si>
    <t>MARIA JOSE VASQUEZ RODRIGUEZ</t>
  </si>
  <si>
    <t>80197</t>
  </si>
  <si>
    <t>14840073093</t>
  </si>
  <si>
    <t>0991349588001</t>
  </si>
  <si>
    <t>DOLTREX S.A.</t>
  </si>
  <si>
    <t>DOLTREX SA</t>
  </si>
  <si>
    <t>11.5</t>
  </si>
  <si>
    <t>DIAGONAL COLEGIO BENEMERITA SOCIEDAD FILANTROPICA DE GUAYAQUIL</t>
  </si>
  <si>
    <t>0423709210</t>
  </si>
  <si>
    <t>LETICIA  MOSQUERA</t>
  </si>
  <si>
    <t>13709263093</t>
  </si>
  <si>
    <t>0992362316001</t>
  </si>
  <si>
    <t>ACESCO ECUADOR S.A.</t>
  </si>
  <si>
    <t>ACESCO ECUADOR SA</t>
  </si>
  <si>
    <t>JUNTO A FERREMUNDO Y FRENTE A PEPSICO</t>
  </si>
  <si>
    <t>043701500</t>
  </si>
  <si>
    <t>JULIO CESAR TOBAR MORAN</t>
  </si>
  <si>
    <t>80158</t>
  </si>
  <si>
    <t>14730885092</t>
  </si>
  <si>
    <t>0990785848001</t>
  </si>
  <si>
    <t>PESCADOS, CAMARONES Y MARISCOS SOCIEDAD ANONIMA DOCAPES</t>
  </si>
  <si>
    <t>DOCAPES</t>
  </si>
  <si>
    <t>AV. MALECON SIMON BOLIVAR</t>
  </si>
  <si>
    <t>PUERTO SANTA ROSA</t>
  </si>
  <si>
    <t>042776366</t>
  </si>
  <si>
    <t>MERY PARRALES</t>
  </si>
  <si>
    <t>14640485095</t>
  </si>
  <si>
    <t>0992588942001</t>
  </si>
  <si>
    <t>PRODUCTORA MAR VIVO S.A. PROMARVI</t>
  </si>
  <si>
    <t>PROMARVI SA</t>
  </si>
  <si>
    <t>COMUNA REAL</t>
  </si>
  <si>
    <t>CALLE 15</t>
  </si>
  <si>
    <t>PARROQUIA CHANDUY</t>
  </si>
  <si>
    <t>045039121</t>
  </si>
  <si>
    <t>JENNIFFER BARREIRO</t>
  </si>
  <si>
    <t>14782793099</t>
  </si>
  <si>
    <t>0991318380001</t>
  </si>
  <si>
    <t>CONSTRUCCIONES CIVILES Y METALICAS CONSTRUME S.A.</t>
  </si>
  <si>
    <t>KM. 10 VIA DAULE LOTIZACION INMACONSA CALLE PECHICE</t>
  </si>
  <si>
    <t>29 Y 30</t>
  </si>
  <si>
    <t>CEDROS Y CROTOS ESQUINA</t>
  </si>
  <si>
    <t>GALPON METALICO</t>
  </si>
  <si>
    <t>SOLAR29-30</t>
  </si>
  <si>
    <t>ATRAS DE LAS BODEGAS DE LA COCA COLA</t>
  </si>
  <si>
    <t>0969795722</t>
  </si>
  <si>
    <t>VICTOR SALAZAR</t>
  </si>
  <si>
    <t>13707423093</t>
  </si>
  <si>
    <t>0991509461001</t>
  </si>
  <si>
    <t>BALSERA SUDAMERICANA BALSASUD S.A.</t>
  </si>
  <si>
    <t>BALSASUD SA</t>
  </si>
  <si>
    <t>RCTO LAS MERCEDES</t>
  </si>
  <si>
    <t>A 3 CUADRAS DEL CLUB LAGO DE CAPEIRA</t>
  </si>
  <si>
    <t>042267008</t>
  </si>
  <si>
    <t>PATRICIA DELGADO BAJAÑA</t>
  </si>
  <si>
    <t>46655222090</t>
  </si>
  <si>
    <t>0992839155001</t>
  </si>
  <si>
    <t>ISOLATOT S. A.</t>
  </si>
  <si>
    <t>VÍA DURANTAMBO</t>
  </si>
  <si>
    <t>ISOLAT LIMPIEZA TOTAL</t>
  </si>
  <si>
    <t>FINCA LA DELIA</t>
  </si>
  <si>
    <t>GALPON  ENTRANDO EN LA CURVA A MANO DERECHA CAMINO DE TIERRA DIAGONAL A LA ESCUELA PORTON GRIS</t>
  </si>
  <si>
    <t>044001043</t>
  </si>
  <si>
    <t>TATIANA LLERENA</t>
  </si>
  <si>
    <t>13705427091</t>
  </si>
  <si>
    <t>0990226903001</t>
  </si>
  <si>
    <t>ECUABARNICES S.A.</t>
  </si>
  <si>
    <t>11/11/2024</t>
  </si>
  <si>
    <t>VIA DAULE,KM. 24 1/2</t>
  </si>
  <si>
    <t>KM. 24 1/2</t>
  </si>
  <si>
    <t>FRENTE A LA JABONERÍA NACIONAL</t>
  </si>
  <si>
    <t>045005410</t>
  </si>
  <si>
    <t>WILSON MORÁN</t>
  </si>
  <si>
    <t>13705882091</t>
  </si>
  <si>
    <t>0990744793001</t>
  </si>
  <si>
    <t>DIVERSQUIM S.A. DWE</t>
  </si>
  <si>
    <t>DIVERSEY WYANDOTTE DEL ECUADOR S.A.</t>
  </si>
  <si>
    <t>CALLE BRONCE</t>
  </si>
  <si>
    <t>SL. 20</t>
  </si>
  <si>
    <t>KM. 16/5</t>
  </si>
  <si>
    <t>MZ. 61</t>
  </si>
  <si>
    <t>A MEDIA CUADRA DE CERVECERIA NACIONAL ENTRANDO POR COLAS TROPICAL EBC</t>
  </si>
  <si>
    <t>042162140</t>
  </si>
  <si>
    <t>ELIZABETH LARA GUAMAN</t>
  </si>
  <si>
    <t>13706726092</t>
  </si>
  <si>
    <t>0991321020001</t>
  </si>
  <si>
    <t>MABE ECUADOR S.A.</t>
  </si>
  <si>
    <t>MABE ECUADOR SA</t>
  </si>
  <si>
    <t>C 28 N O</t>
  </si>
  <si>
    <t>PASCUALES</t>
  </si>
  <si>
    <t>PASCULES</t>
  </si>
  <si>
    <t>FRENTE A GASOLINERA PRIMAX</t>
  </si>
  <si>
    <t>043122200</t>
  </si>
  <si>
    <t>ARIANNA GISELL PACHECO GUERRA</t>
  </si>
  <si>
    <t>13709063094</t>
  </si>
  <si>
    <t>0992335610001</t>
  </si>
  <si>
    <t>NEDERAGRO S.A.</t>
  </si>
  <si>
    <t>NEDERAGRO SA</t>
  </si>
  <si>
    <t>3 ER CALLEJON 22</t>
  </si>
  <si>
    <t>L1</t>
  </si>
  <si>
    <t>AV. 42 NO A</t>
  </si>
  <si>
    <t>LOTIZACION INMCONSA</t>
  </si>
  <si>
    <t>NEDERAGRO</t>
  </si>
  <si>
    <t>MZ. 9</t>
  </si>
  <si>
    <t>DIAGONAL A QUIMICAMP</t>
  </si>
  <si>
    <t>042113133</t>
  </si>
  <si>
    <t>MIRIAM ERAZO</t>
  </si>
  <si>
    <t>13705726099</t>
  </si>
  <si>
    <t>0990577803001</t>
  </si>
  <si>
    <t>PROCESADORA DEL RIO SA PRORIOSA</t>
  </si>
  <si>
    <t>PRORIOSA</t>
  </si>
  <si>
    <t>AV. VENEZUELA</t>
  </si>
  <si>
    <t>SECTOR INDUSTRIAS DEL RECREO</t>
  </si>
  <si>
    <t>AL LADO DE OMARSA</t>
  </si>
  <si>
    <t>042553048</t>
  </si>
  <si>
    <t>HARRISON MORA REYES</t>
  </si>
  <si>
    <t>14650232098</t>
  </si>
  <si>
    <t>0990551405001</t>
  </si>
  <si>
    <t>FABRICA DE ENVASES S.A. FADESA</t>
  </si>
  <si>
    <t>FABRICA DE ENVASES S. A. FADESA</t>
  </si>
  <si>
    <t>CALLE NOVENA</t>
  </si>
  <si>
    <t>AV. DOMINGO COMIN</t>
  </si>
  <si>
    <t>FRENTE A PDVSA</t>
  </si>
  <si>
    <t>042492929</t>
  </si>
  <si>
    <t>WILSON MORAN</t>
  </si>
  <si>
    <t>80206</t>
  </si>
  <si>
    <t>13711398095</t>
  </si>
  <si>
    <t>0992636874001</t>
  </si>
  <si>
    <t>LABORATORIO FARMACEUTICO WEIR S.A. LABFARMAWEIR</t>
  </si>
  <si>
    <t>LABFARMAWEIR</t>
  </si>
  <si>
    <t>AV. LAS PALMAS</t>
  </si>
  <si>
    <t>LOS VERGELES</t>
  </si>
  <si>
    <t>244</t>
  </si>
  <si>
    <t>A LADO DE INDUSTRIAS FISA</t>
  </si>
  <si>
    <t>042586010</t>
  </si>
  <si>
    <t>ING BORIS GUZMAN SORIA</t>
  </si>
  <si>
    <t>14691693091</t>
  </si>
  <si>
    <t>0991469095001</t>
  </si>
  <si>
    <t>TADEL S.A.</t>
  </si>
  <si>
    <t>TADEL SA</t>
  </si>
  <si>
    <t>VIA MANTA ROCAFUERTE</t>
  </si>
  <si>
    <t>DIAGONAL COLISA</t>
  </si>
  <si>
    <t>053701190</t>
  </si>
  <si>
    <t>LEONOR BENEDICTA PEREZ DOMINGUEZ</t>
  </si>
  <si>
    <t>46643358131</t>
  </si>
  <si>
    <t>1391801076001</t>
  </si>
  <si>
    <t>INDUSTRIA HARINERA DEL PACIFICO S.A. INHARIPAC</t>
  </si>
  <si>
    <t>INHARIPAC</t>
  </si>
  <si>
    <t>KM. 10.5 VIA MANTA ROCAFUERTE</t>
  </si>
  <si>
    <t>ENTRADA A LAS TOMAS DE AGUAS EPAM</t>
  </si>
  <si>
    <t>XAVIER QUIROZ</t>
  </si>
  <si>
    <t>13705088092</t>
  </si>
  <si>
    <t>0990000689001</t>
  </si>
  <si>
    <t>PINTURAS UNIDAS S.A.</t>
  </si>
  <si>
    <t>PINTURAS UNIDAS SA</t>
  </si>
  <si>
    <t>AV. ROSAVIN</t>
  </si>
  <si>
    <t>SL. 3</t>
  </si>
  <si>
    <t>H-8</t>
  </si>
  <si>
    <t>A DOS CUADRAS DE LA CERVECERIA NACIONAL</t>
  </si>
  <si>
    <t>042590280</t>
  </si>
  <si>
    <t>ANGEL DOMINGUEZ</t>
  </si>
  <si>
    <t>14773675091</t>
  </si>
  <si>
    <t>0991318054001</t>
  </si>
  <si>
    <t>ESCUALEM S.A.</t>
  </si>
  <si>
    <t>LOTIZACIÓN LOS VERGELES</t>
  </si>
  <si>
    <t>265</t>
  </si>
  <si>
    <t>DETRAS DE LA COMPAÑIA IPAC</t>
  </si>
  <si>
    <t>6008162</t>
  </si>
  <si>
    <t>MARTHA ESPIN MANTILLA</t>
  </si>
  <si>
    <t>13705403095</t>
  </si>
  <si>
    <t>0990182086001</t>
  </si>
  <si>
    <t>EMPRESA PESQUERA POLAR S.A.</t>
  </si>
  <si>
    <t>EMPRESA PESQUERA POLAR S. A.</t>
  </si>
  <si>
    <t>GRAL. FRANCISCO ROBLES</t>
  </si>
  <si>
    <t>FRANCISCO SEGURA CANO</t>
  </si>
  <si>
    <t>BARRIO CUBA</t>
  </si>
  <si>
    <t>FRENTE A BODEGAS SUPER EXITO</t>
  </si>
  <si>
    <t>043916300</t>
  </si>
  <si>
    <t>KARINA VILLARREAL LEON</t>
  </si>
  <si>
    <t>14812748093</t>
  </si>
  <si>
    <t>0992710454001</t>
  </si>
  <si>
    <t>LABORATORIO BIOTANICALS DEL ECUADOR S.A.</t>
  </si>
  <si>
    <t>CALLE ROSAVIN</t>
  </si>
  <si>
    <t>CALLE ACERO</t>
  </si>
  <si>
    <t>KM. 15/5 VIA A DAULE</t>
  </si>
  <si>
    <t>ENTRANDO POR LA BIG COLA A LADO DE EXPOTUNA LA PUERTA DICE TECH MAHINDRA</t>
  </si>
  <si>
    <t>042329323</t>
  </si>
  <si>
    <t>DEL CAMPO MEJILLONES MARIA SUSANA</t>
  </si>
  <si>
    <t>13705342096</t>
  </si>
  <si>
    <t>0990135630001</t>
  </si>
  <si>
    <t>CALBAQ S.A.</t>
  </si>
  <si>
    <t>CALBAQ SA</t>
  </si>
  <si>
    <t>N/A</t>
  </si>
  <si>
    <t>PARQUE INDUSTRIAL EL SAUCE</t>
  </si>
  <si>
    <t>1-9</t>
  </si>
  <si>
    <t>JUNTO A LINDE</t>
  </si>
  <si>
    <t>042103001</t>
  </si>
  <si>
    <t>BARBARA GUANANGA</t>
  </si>
  <si>
    <t>80778</t>
  </si>
  <si>
    <t>49145649098</t>
  </si>
  <si>
    <t>0993201065001</t>
  </si>
  <si>
    <t>HORMIVIALSA S.A.</t>
  </si>
  <si>
    <t>HORMI-VIAL</t>
  </si>
  <si>
    <t>VIA SALITRE</t>
  </si>
  <si>
    <t>RECINTO SAN GUILLERMO</t>
  </si>
  <si>
    <t>CONDENCIA</t>
  </si>
  <si>
    <t>JUNTO A CANTERA PALOSA</t>
  </si>
  <si>
    <t>0979459264</t>
  </si>
  <si>
    <t>JAIR RUBIRA</t>
  </si>
  <si>
    <t>13705548093</t>
  </si>
  <si>
    <t>0990347654001</t>
  </si>
  <si>
    <t>KRONOS LABORATORIOS C. LTDA.</t>
  </si>
  <si>
    <t>AV. PRIMERA</t>
  </si>
  <si>
    <t>CALLE SEGUNDA Y CALLE TERCERA</t>
  </si>
  <si>
    <t>LOTIZACION SAN FRANCISCO</t>
  </si>
  <si>
    <t>A LADO DE LA EMPRESA DE GERENCIA</t>
  </si>
  <si>
    <t>042253143</t>
  </si>
  <si>
    <t>MARIA DE LOURDES MENDOZA BAZAN</t>
  </si>
  <si>
    <t>80152</t>
  </si>
  <si>
    <t>13705589091</t>
  </si>
  <si>
    <t>0990377170001</t>
  </si>
  <si>
    <t>POLIGRUP S.A.</t>
  </si>
  <si>
    <t>POLIGRUP SA</t>
  </si>
  <si>
    <t>LAURELES</t>
  </si>
  <si>
    <t>ATRAS DEL COLEGIO LEONIDAS GARCIA</t>
  </si>
  <si>
    <t>042113850</t>
  </si>
  <si>
    <t>ELIZABETH LAMBOGGLIA SUAREZ</t>
  </si>
  <si>
    <t>13705772091</t>
  </si>
  <si>
    <t>0990637679001</t>
  </si>
  <si>
    <t>EXPALSA EXPORTADORA DE ALIMENTOS SA</t>
  </si>
  <si>
    <t>EXPALSA</t>
  </si>
  <si>
    <t>KM. 6 5 VIA DURAN TAMBO</t>
  </si>
  <si>
    <t>DURAN TAMBO</t>
  </si>
  <si>
    <t>BRISAS DE SANTAY</t>
  </si>
  <si>
    <t>ENTRANDO POR PROCARSA A 2KM ENTRE PROMARISCO Y GISIS</t>
  </si>
  <si>
    <t>042597170</t>
  </si>
  <si>
    <t>JENNY RODRIGUEZ</t>
  </si>
  <si>
    <t>80760</t>
  </si>
  <si>
    <t>13826042171</t>
  </si>
  <si>
    <t>1791287118001</t>
  </si>
  <si>
    <t>KIMBERLY - CLARK ECUADOR S.A.</t>
  </si>
  <si>
    <t>KIMBERLY - CLARK ECUADOR SA</t>
  </si>
  <si>
    <t>VIA PERIMETRAL</t>
  </si>
  <si>
    <t>CRIDESA</t>
  </si>
  <si>
    <t>INSTALACIONES DE CRIDESA</t>
  </si>
  <si>
    <t>043702000</t>
  </si>
  <si>
    <t>ROBERTO CASTILLO</t>
  </si>
  <si>
    <t>14801048090</t>
  </si>
  <si>
    <t>0992438606001</t>
  </si>
  <si>
    <t>CEPROMAR S.A.</t>
  </si>
  <si>
    <t>CEPROMAR SA</t>
  </si>
  <si>
    <t>AV. ISIDRO AYORA</t>
  </si>
  <si>
    <t>BARRIO LOS RANCHOS</t>
  </si>
  <si>
    <t>84</t>
  </si>
  <si>
    <t>A 2 SOLARES DE IMPORTADORA REGALADO</t>
  </si>
  <si>
    <t>046004200</t>
  </si>
  <si>
    <t>EVELYN ALMEIDA RODRIGUEZ</t>
  </si>
  <si>
    <t>13706054094</t>
  </si>
  <si>
    <t>0990892555001</t>
  </si>
  <si>
    <t>INDUSTRIAL KATON S.A INKATONSA</t>
  </si>
  <si>
    <t>INKATONSA</t>
  </si>
  <si>
    <t>AV. JOSE GOMEZ GAULT</t>
  </si>
  <si>
    <t>LOMAS DE PROSPERINA</t>
  </si>
  <si>
    <t>PROSPERINA</t>
  </si>
  <si>
    <t>JUNTO A COLEGIO AMERICANO, FRENTE A URBANIZACION SAN FELIPE</t>
  </si>
  <si>
    <t>046011500</t>
  </si>
  <si>
    <t>CARPIO CRESPO MONICA ALEXANDRA</t>
  </si>
  <si>
    <t>80157</t>
  </si>
  <si>
    <t>46954318095</t>
  </si>
  <si>
    <t>0993109134001</t>
  </si>
  <si>
    <t>PAPELES ABSORBENTES LA REFORMA ABSOREFORMA S.A.</t>
  </si>
  <si>
    <t>ENTRANDO POR PLASTIEMPAQUE</t>
  </si>
  <si>
    <t>042800096</t>
  </si>
  <si>
    <t>JAZMIN CARDENAS GARCIA</t>
  </si>
  <si>
    <t>14850265098</t>
  </si>
  <si>
    <t>0992364327001</t>
  </si>
  <si>
    <t>DITELME S.A.</t>
  </si>
  <si>
    <t>DITELME SA</t>
  </si>
  <si>
    <t>KM. 19 DE LA VIA A LA COSTA</t>
  </si>
  <si>
    <t>KM. 19</t>
  </si>
  <si>
    <t>FRENTE A ELECTROQUIL A LADO DE LA UNIVERSIDAD SALESIANA</t>
  </si>
  <si>
    <t>042046109</t>
  </si>
  <si>
    <t>SARA ARONI</t>
  </si>
  <si>
    <t>80893</t>
  </si>
  <si>
    <t>13705833090</t>
  </si>
  <si>
    <t>0990707782001</t>
  </si>
  <si>
    <t>BALSA PLANTACIONES E INDUSTRIAS BALPLANT CIA. LTDA.</t>
  </si>
  <si>
    <t>BALPLANT CIA LTDA</t>
  </si>
  <si>
    <t>401</t>
  </si>
  <si>
    <t>AMAZONAS</t>
  </si>
  <si>
    <t>DIAGONAL IGLESIA LA MERCED</t>
  </si>
  <si>
    <t>042300264</t>
  </si>
  <si>
    <t>ROMMEL GUSTAVO ARAY SORIA</t>
  </si>
  <si>
    <t>13763768133</t>
  </si>
  <si>
    <t>1391723318001</t>
  </si>
  <si>
    <t>OCEANFISH S.A.</t>
  </si>
  <si>
    <t>OCEANFISH SA</t>
  </si>
  <si>
    <t>VIA MANTA MONTECRISTI</t>
  </si>
  <si>
    <t>A LADO DE LA COMPAÑIA STARKIST (ENTRADA AL SECAP)</t>
  </si>
  <si>
    <t>0993749042</t>
  </si>
  <si>
    <t>SUSANA SORNOZA ALVIA</t>
  </si>
  <si>
    <t>13706592096</t>
  </si>
  <si>
    <t>0991292691001</t>
  </si>
  <si>
    <t>DERMIGON DERIVADOS DE HORMIGON S.A.</t>
  </si>
  <si>
    <t>PARQUE INDUSTRIAL PASCUALES</t>
  </si>
  <si>
    <t>FRENTE A LA FABRICA DE AGUA CRISTAL</t>
  </si>
  <si>
    <t>043728700</t>
  </si>
  <si>
    <t>LORENA COELLO ASPIAZU</t>
  </si>
  <si>
    <t>13705985094</t>
  </si>
  <si>
    <t>0990834369001</t>
  </si>
  <si>
    <t>PROMAROSA PRODUCTOS DEL MAR SANTA ROSA COMPAÑIA LIMITADA</t>
  </si>
  <si>
    <t>PROMAROSA</t>
  </si>
  <si>
    <t>CALLE 59</t>
  </si>
  <si>
    <t>ENTRE AV 49 AV50</t>
  </si>
  <si>
    <t>PLANTA PROMAROSA</t>
  </si>
  <si>
    <t>042290144</t>
  </si>
  <si>
    <t>MARY GARNICA</t>
  </si>
  <si>
    <t>14801779132</t>
  </si>
  <si>
    <t>1391731000001</t>
  </si>
  <si>
    <t>PRODEX CIA. LTDA.</t>
  </si>
  <si>
    <t>PRODEX CIA LTDA</t>
  </si>
  <si>
    <t>VIA PEDERNALES CHAMANGA</t>
  </si>
  <si>
    <t>SITIO MARCO</t>
  </si>
  <si>
    <t>FRENTE A LA CANCHA MULTIPLE</t>
  </si>
  <si>
    <t>0997703664</t>
  </si>
  <si>
    <t>IVETH ADRIANA PROAÑO CASTILLO</t>
  </si>
  <si>
    <t>46681907092</t>
  </si>
  <si>
    <t>0992821825001</t>
  </si>
  <si>
    <t>CIERFILMS S.A.</t>
  </si>
  <si>
    <t>VIA DURAN YAGUACHI</t>
  </si>
  <si>
    <t>PASANDO EL REDONDEL DE LA TOMA DE AGUA</t>
  </si>
  <si>
    <t>043729022</t>
  </si>
  <si>
    <t>JOHANNA SANCHEZ</t>
  </si>
  <si>
    <t>13705123092</t>
  </si>
  <si>
    <t>0990006776001</t>
  </si>
  <si>
    <t>INDUSTRIAS ALIMENTICIAS ECUATORIANAS INALECSA S.A.S.</t>
  </si>
  <si>
    <t>INALECSA</t>
  </si>
  <si>
    <t>EDF. PLANTA DE INALECSA</t>
  </si>
  <si>
    <t>DIAGONAL A INTACO, A LADO DE BATERIAS BOSCH</t>
  </si>
  <si>
    <t>042162040</t>
  </si>
  <si>
    <t>MAYRA CECILIA MAZA GONZALEZ</t>
  </si>
  <si>
    <t>14864334092</t>
  </si>
  <si>
    <t>0990353085001</t>
  </si>
  <si>
    <t>ESTRUCTURAS DE HIERRO EDEHSA S.A.</t>
  </si>
  <si>
    <t>ESTRUCTURAS DE HIERRO EDEHSA SA3</t>
  </si>
  <si>
    <t>AV. JORGE JARA GRAU</t>
  </si>
  <si>
    <t>ZONA INDUSTRIAL MARTHA DE ROLDOS</t>
  </si>
  <si>
    <t>EDEHSA</t>
  </si>
  <si>
    <t>A DOS CUADRAS DEL PARQUE VIAL CTE</t>
  </si>
  <si>
    <t>042658001</t>
  </si>
  <si>
    <t>MARIA ALEXANDRA ZAMBRANO PÁEZ</t>
  </si>
  <si>
    <t>13706889099</t>
  </si>
  <si>
    <t>0991357270001</t>
  </si>
  <si>
    <t>KELLOGG ECUADOR C. LTDA. ECUAKELLOGG</t>
  </si>
  <si>
    <t>KELLOGG</t>
  </si>
  <si>
    <t>JUAN TANCA MARENGO</t>
  </si>
  <si>
    <t>18F</t>
  </si>
  <si>
    <t>AV. 38 E N O</t>
  </si>
  <si>
    <t>NÚMERO 18</t>
  </si>
  <si>
    <t>DIAGONAL A PINTURAS CONDOR</t>
  </si>
  <si>
    <t>04501088</t>
  </si>
  <si>
    <t>PATRICIA LEON</t>
  </si>
  <si>
    <t>14659175097</t>
  </si>
  <si>
    <t>0990553742001</t>
  </si>
  <si>
    <t>ELECTROCABLES C.A.</t>
  </si>
  <si>
    <t>ELECTROCABLES CA</t>
  </si>
  <si>
    <t>FRENTE A PAPELESA</t>
  </si>
  <si>
    <t>043705460</t>
  </si>
  <si>
    <t>REYNA ISABEL RAZA BOBADILLA</t>
  </si>
  <si>
    <t>13705166093</t>
  </si>
  <si>
    <t>0990014450001</t>
  </si>
  <si>
    <t>INDUSTRIAS REUNIDAS CIA. LTDA. INDUNIDAS LABORATORIOS INDUNIDAS</t>
  </si>
  <si>
    <t>LABORATORIOS INDUNIDAS</t>
  </si>
  <si>
    <t>CALLE 23A NO</t>
  </si>
  <si>
    <t>EDIF. INDUNIDAS</t>
  </si>
  <si>
    <t>JUNTO A EMPRESA BRENTANG</t>
  </si>
  <si>
    <t>042114293</t>
  </si>
  <si>
    <t>SANDRA VERA GUTIERREZ</t>
  </si>
  <si>
    <t>80203</t>
  </si>
  <si>
    <t>13705148095</t>
  </si>
  <si>
    <t>0990011079001</t>
  </si>
  <si>
    <t>UNION VINICOLA INTERNACIONAL S.A.</t>
  </si>
  <si>
    <t>UNION VINICOLA INTERNACIONAL SA</t>
  </si>
  <si>
    <t>CALLE SEPTIMA</t>
  </si>
  <si>
    <t>MAPASINGUE ESTE</t>
  </si>
  <si>
    <t>JUNTO A LA EMPRESA PROMESA</t>
  </si>
  <si>
    <t>043811680</t>
  </si>
  <si>
    <t>ING. SANDRA MATILDE VERA CARRERA</t>
  </si>
  <si>
    <t>13705178091</t>
  </si>
  <si>
    <t>0990017190001</t>
  </si>
  <si>
    <t>ACROMAX LABORATORIO QUIMICO FARMACEUTICO S.A.</t>
  </si>
  <si>
    <t>ACROMAX SA</t>
  </si>
  <si>
    <t>JUNTO A PEPSI COLA</t>
  </si>
  <si>
    <t>042592660</t>
  </si>
  <si>
    <t>ING VERONICA BARRERA</t>
  </si>
  <si>
    <t>13705198092</t>
  </si>
  <si>
    <t>0990021279001</t>
  </si>
  <si>
    <t>CRISTALERIA DEL ECUADOR S.A. CRIDESA</t>
  </si>
  <si>
    <t>22.5</t>
  </si>
  <si>
    <t>DIAGONAL AL MERCADO DE TRANSFERENCIA DE VIVERES</t>
  </si>
  <si>
    <t>043704800</t>
  </si>
  <si>
    <t>JESSENIA BUENAIRE</t>
  </si>
  <si>
    <t>80878</t>
  </si>
  <si>
    <t>14686759092</t>
  </si>
  <si>
    <t>0992152818001</t>
  </si>
  <si>
    <t>EXU S.A.</t>
  </si>
  <si>
    <t>VIA A CHANDUY</t>
  </si>
  <si>
    <t>RECINTO EL REAL</t>
  </si>
  <si>
    <t>JUNTO A LA EMPRESA PRODUCTORA MAR VIVO SA PROMARVI</t>
  </si>
  <si>
    <t>043906257</t>
  </si>
  <si>
    <t>JOEL JOSE MENDEZ</t>
  </si>
  <si>
    <t>21525.04.00.01</t>
  </si>
  <si>
    <t>ACEITE DE PESCADO</t>
  </si>
  <si>
    <t>13825681170</t>
  </si>
  <si>
    <t>1791167058001</t>
  </si>
  <si>
    <t>OLEODAVILA S.A.</t>
  </si>
  <si>
    <t>AGROPARAISO</t>
  </si>
  <si>
    <t>VIA LOS ANGELES</t>
  </si>
  <si>
    <t>VIA A QUEVEDO</t>
  </si>
  <si>
    <t>LLEGANDO AL RECINTO EL PARAISO LA CATORCE, MANGA DEL CURA</t>
  </si>
  <si>
    <t>053700835</t>
  </si>
  <si>
    <t>FABIOLA OCAÑA</t>
  </si>
  <si>
    <t>80506</t>
  </si>
  <si>
    <t>13705750097</t>
  </si>
  <si>
    <t>0990608504001</t>
  </si>
  <si>
    <t>OPERADORA Y PROCESADORA DE PRODUCTOS MARINOS OMARSA S.A.</t>
  </si>
  <si>
    <t>OMARSA SA</t>
  </si>
  <si>
    <t>LOTIZACION AL RIO SOLAR 3</t>
  </si>
  <si>
    <t>ABEL GILBERT</t>
  </si>
  <si>
    <t>JUNTO A LA CIUDADELA ABEL GILBERT TRES</t>
  </si>
  <si>
    <t>043713035</t>
  </si>
  <si>
    <t>RONNY ALVAREZ</t>
  </si>
  <si>
    <t>14633228176</t>
  </si>
  <si>
    <t>1792016495001</t>
  </si>
  <si>
    <t>MOLSANDO MOLINOS SANTO DOMINGO S. A.</t>
  </si>
  <si>
    <t>MOLSANDO SA</t>
  </si>
  <si>
    <t>VIA SANTO DOMINGO- LA CONCORDIA</t>
  </si>
  <si>
    <t>VIA A QUININDE</t>
  </si>
  <si>
    <t>37</t>
  </si>
  <si>
    <t>962</t>
  </si>
  <si>
    <t>A 500 METROS DE LA EXTRACTORA TEOBROMA</t>
  </si>
  <si>
    <t>GUIJARRO FREIRE CESAR PATRICIO</t>
  </si>
  <si>
    <t>13745401125</t>
  </si>
  <si>
    <t>1291709474001</t>
  </si>
  <si>
    <t>AGROOLEAGINOSAS LOS RIOS OLEORIOS S.A.</t>
  </si>
  <si>
    <t>OLEORIOS SA</t>
  </si>
  <si>
    <t>VIA QUEVEDO VENTANAS   TRONCAL DE LA COSTA</t>
  </si>
  <si>
    <t>EL GUINEO</t>
  </si>
  <si>
    <t>DIAGONAL A LA GASOLINERA DE SERVICIOS SAN JOSE</t>
  </si>
  <si>
    <t>053056358</t>
  </si>
  <si>
    <t>CONRADO GARCIA CHRISTHIAN</t>
  </si>
  <si>
    <t>80494</t>
  </si>
  <si>
    <t>13706011093</t>
  </si>
  <si>
    <t>0990856583001</t>
  </si>
  <si>
    <t>DUPOCSA PROTECTORES QUIMICOS PARA EL CAMPO S. A.</t>
  </si>
  <si>
    <t>CRYSTAL CHEMICAL DEL ECUADOR</t>
  </si>
  <si>
    <t>21-22</t>
  </si>
  <si>
    <t>ENTRE BIOFACTOR Y FALDEMA</t>
  </si>
  <si>
    <t>043713480</t>
  </si>
  <si>
    <t>GINGER BRAVO  CHONG</t>
  </si>
  <si>
    <t>13705866095</t>
  </si>
  <si>
    <t>0990725918001</t>
  </si>
  <si>
    <t>PLASTIMET INDUSTRIAS METAL PLASTICAS S.A.</t>
  </si>
  <si>
    <t>PLASTIMET S.A</t>
  </si>
  <si>
    <t>36</t>
  </si>
  <si>
    <t>KM. 11.5</t>
  </si>
  <si>
    <t>MZ. H-32</t>
  </si>
  <si>
    <t>DIAGONAL A GASOLINERA SAN FRANCISCO JUNTO A DEGERENCIA</t>
  </si>
  <si>
    <t>3705500</t>
  </si>
  <si>
    <t>VIVIAN BUSTAMANTE</t>
  </si>
  <si>
    <t>80900</t>
  </si>
  <si>
    <t>14681569091</t>
  </si>
  <si>
    <t>0991520767001</t>
  </si>
  <si>
    <t>GALDECUN S.A.</t>
  </si>
  <si>
    <t>GALDECUN SA</t>
  </si>
  <si>
    <t>POR COLISA VIA A LA SEGUITA</t>
  </si>
  <si>
    <t>ENTRADA COLISA</t>
  </si>
  <si>
    <t>SECTOR LA VICTORIA</t>
  </si>
  <si>
    <t>VIA A LA SEQUITA</t>
  </si>
  <si>
    <t>052310377</t>
  </si>
  <si>
    <t>MARIA FERNANDA PINCAY CANTOS</t>
  </si>
  <si>
    <t>14813537096</t>
  </si>
  <si>
    <t>0990987874001</t>
  </si>
  <si>
    <t>INDUSTRIA DE BELLEZA Y SALUD B.A.S.S.A. C. LTDA.</t>
  </si>
  <si>
    <t>ENTRADA A LOS VERGELES</t>
  </si>
  <si>
    <t>DIAGONAL DURALLANTAS</t>
  </si>
  <si>
    <t>042113013</t>
  </si>
  <si>
    <t>BETTY VERA</t>
  </si>
  <si>
    <t>80182</t>
  </si>
  <si>
    <t>14725048093</t>
  </si>
  <si>
    <t>0991263748001</t>
  </si>
  <si>
    <t>BANANA LIGHT BANALIGHT C.A.</t>
  </si>
  <si>
    <t>BANALIGHT CA</t>
  </si>
  <si>
    <t>VIA A DURAN TAMBO</t>
  </si>
  <si>
    <t>LAS FERIAS</t>
  </si>
  <si>
    <t>FRENTE A INELBA Y DIAGONAL A MEDISUMI</t>
  </si>
  <si>
    <t>043712950</t>
  </si>
  <si>
    <t>MARCOS SAICO MACANCELA</t>
  </si>
  <si>
    <t>13706763095</t>
  </si>
  <si>
    <t>0991329331001</t>
  </si>
  <si>
    <t>COFIMAR S.A.</t>
  </si>
  <si>
    <t>EUCALIPTO</t>
  </si>
  <si>
    <t>ENTRE CIRUELOS Y TECA</t>
  </si>
  <si>
    <t>043712415</t>
  </si>
  <si>
    <t>PRISCILA ARIAS</t>
  </si>
  <si>
    <t>13711040093</t>
  </si>
  <si>
    <t>0992597895001</t>
  </si>
  <si>
    <t>PROEXPO, PROCESADORA Y EXPORTADORA DE MARISCOS S.A.</t>
  </si>
  <si>
    <t>PROEXPO SA</t>
  </si>
  <si>
    <t>23.5</t>
  </si>
  <si>
    <t>FRENTE A SALON TESTIGOS DE JEHOVA</t>
  </si>
  <si>
    <t>042738810</t>
  </si>
  <si>
    <t>MARIA BALLADARES SANTOS</t>
  </si>
  <si>
    <t>14865319178</t>
  </si>
  <si>
    <t>1790300404001</t>
  </si>
  <si>
    <t>EXTRACTORA AGRICOLA RIO MANSO EXA S.A.</t>
  </si>
  <si>
    <t>EXTRACTORA AGRICOLA RIO MANSO EXA S.A</t>
  </si>
  <si>
    <t>VIA SANTO DOMINGO QUEVEDO</t>
  </si>
  <si>
    <t>CERCA DE LA EMPRESA MEGAVES CÍA. LTDA.</t>
  </si>
  <si>
    <t>13706861097</t>
  </si>
  <si>
    <t>0991351264001</t>
  </si>
  <si>
    <t>DROCARAS INDUSTRIA Y REPRESENTACIONES S.A.</t>
  </si>
  <si>
    <t>VIA A YAGUACHI</t>
  </si>
  <si>
    <t>C 13</t>
  </si>
  <si>
    <t>FRENTE A LA CIUDADELA EL RECREO</t>
  </si>
  <si>
    <t>042808878</t>
  </si>
  <si>
    <t>CARLOS PAEZ</t>
  </si>
  <si>
    <t>47074353092</t>
  </si>
  <si>
    <t>0992905360001</t>
  </si>
  <si>
    <t>ECUACEROINDUSTRIAL S.A.</t>
  </si>
  <si>
    <t>ECUACERO</t>
  </si>
  <si>
    <t>VIA DURAN   YAGUACHI</t>
  </si>
  <si>
    <t>CASIGUANA</t>
  </si>
  <si>
    <t>A 500 MT DE LA GASOLINERA PRIMAX</t>
  </si>
  <si>
    <t>JOSE NAVARRO</t>
  </si>
  <si>
    <t>14748055097</t>
  </si>
  <si>
    <t>0991336648001</t>
  </si>
  <si>
    <t>INDUSTRIA METAL MECANICA CONSTRUCTORA IMETECO S.A.</t>
  </si>
  <si>
    <t>IMETECO</t>
  </si>
  <si>
    <t>AV. PASCUALES</t>
  </si>
  <si>
    <t>MACONSA</t>
  </si>
  <si>
    <t>65</t>
  </si>
  <si>
    <t>A LADO DE CERVECERIA NACIONAL</t>
  </si>
  <si>
    <t>045092001</t>
  </si>
  <si>
    <t>WENDY CEVALLOS</t>
  </si>
  <si>
    <t>80174</t>
  </si>
  <si>
    <t>14851497090</t>
  </si>
  <si>
    <t>0991164103001</t>
  </si>
  <si>
    <t>FRIGOLANDIA S.A.</t>
  </si>
  <si>
    <t>VIA A DAULE KILOMETRO 9.5</t>
  </si>
  <si>
    <t>DIAGONAL A PROCEPLAST</t>
  </si>
  <si>
    <t>042113046</t>
  </si>
  <si>
    <t>WENDY  BURGOS</t>
  </si>
  <si>
    <t>14856411096</t>
  </si>
  <si>
    <t>0991434879001</t>
  </si>
  <si>
    <t>CARVAGU S.A.</t>
  </si>
  <si>
    <t>NATURE`S GARDEN</t>
  </si>
  <si>
    <t>AV. ESPAÑA</t>
  </si>
  <si>
    <t>MUCHO LOTE 1</t>
  </si>
  <si>
    <t>EDIFICIOS NATRURES GARDEN</t>
  </si>
  <si>
    <t>2669</t>
  </si>
  <si>
    <t>FRENTE A GASOLINERA MOVIL</t>
  </si>
  <si>
    <t>042073793</t>
  </si>
  <si>
    <t>JENIFFER YEPEZ LLAGUNO</t>
  </si>
  <si>
    <t>46913931131</t>
  </si>
  <si>
    <t>1391871635001</t>
  </si>
  <si>
    <t>COMERCIALIZADORA IMPORTADORA FERROMAX INTERNATIONAL FERROMAXDELECUADOR S.A.</t>
  </si>
  <si>
    <t>FERROMAXDELECUADOR SA</t>
  </si>
  <si>
    <t>AV. M1</t>
  </si>
  <si>
    <t>CALLE 23 Y 24</t>
  </si>
  <si>
    <t>EDF. MANTA BUSINES CENTER</t>
  </si>
  <si>
    <t>OFC. 902</t>
  </si>
  <si>
    <t>SECTOR CENTRO</t>
  </si>
  <si>
    <t>050016525</t>
  </si>
  <si>
    <t>CRUZ BARAHONA TOMAS ALBERTO</t>
  </si>
  <si>
    <t>13825084171</t>
  </si>
  <si>
    <t>1790613941001</t>
  </si>
  <si>
    <t>ADITEC ECUATORIANA CIA. LTDA.</t>
  </si>
  <si>
    <t>ADITEC ECUATORIANA CIA LTDA</t>
  </si>
  <si>
    <t>KM. 4.5 VIA DURAN TAMBO</t>
  </si>
  <si>
    <t>LOTE3 MZ B</t>
  </si>
  <si>
    <t>LOTIZACIÓN LLAMADA FINCAS VACACIONALES LAS BRISA</t>
  </si>
  <si>
    <t>A UNA CUADRA DE ELECTROLUX</t>
  </si>
  <si>
    <t>046026090</t>
  </si>
  <si>
    <t>CAROLINA PALOMINO ESPINOZA</t>
  </si>
  <si>
    <t>14802332093</t>
  </si>
  <si>
    <t>0992289821001</t>
  </si>
  <si>
    <t>ROSMEI S.A.</t>
  </si>
  <si>
    <t>BARRIO PUERTO NUEVO</t>
  </si>
  <si>
    <t>A 100 METROS DE GASOLINERA LA Y</t>
  </si>
  <si>
    <t>042913188</t>
  </si>
  <si>
    <t>XAVIER DEL PESO</t>
  </si>
  <si>
    <t>14869062091</t>
  </si>
  <si>
    <t>0990153965001</t>
  </si>
  <si>
    <t>PESQUERA HERCO S.A.</t>
  </si>
  <si>
    <t>PUERTO CHANDUY</t>
  </si>
  <si>
    <t>CALLE PUBLICA</t>
  </si>
  <si>
    <t>A DOS CUADRAS DE PESQUERA CENTRO MAR</t>
  </si>
  <si>
    <t>6016316</t>
  </si>
  <si>
    <t>JORGE BECERRA QUIÑONEZ</t>
  </si>
  <si>
    <t>14870228091</t>
  </si>
  <si>
    <t>0990333319001</t>
  </si>
  <si>
    <t>LABORATORIOS ROCNARF S.A.</t>
  </si>
  <si>
    <t>LABORATORIOS ROCNARF SA</t>
  </si>
  <si>
    <t>EL FERRETERO</t>
  </si>
  <si>
    <t>1-3</t>
  </si>
  <si>
    <t>CDLA. ADACE</t>
  </si>
  <si>
    <t>DIAGONAL AL CENTRO DE CONVENCIONES</t>
  </si>
  <si>
    <t>042286882</t>
  </si>
  <si>
    <t>ELIAS ORTIZ</t>
  </si>
  <si>
    <t>13826254178</t>
  </si>
  <si>
    <t>1791321596001</t>
  </si>
  <si>
    <t>UNILEVER ANDINA ECUADOR S.A.</t>
  </si>
  <si>
    <t>UNILEVER ANDINA ECUADOR SA</t>
  </si>
  <si>
    <t>UNILEVER</t>
  </si>
  <si>
    <t>FRENTE A LA COMPAÑÍA VECONSA</t>
  </si>
  <si>
    <t>045003030</t>
  </si>
  <si>
    <t>ROGELIO AYALA</t>
  </si>
  <si>
    <t>14600645090</t>
  </si>
  <si>
    <t>0991028544001</t>
  </si>
  <si>
    <t>INTEROC S.A.</t>
  </si>
  <si>
    <t>JUNTO A LA EMPRESA PEPSICO</t>
  </si>
  <si>
    <t>042884153</t>
  </si>
  <si>
    <t>JESSICA CALDERON</t>
  </si>
  <si>
    <t>80163</t>
  </si>
  <si>
    <t>13705174096</t>
  </si>
  <si>
    <t>0990015449001</t>
  </si>
  <si>
    <t>INTACO ECUADOR S.A.</t>
  </si>
  <si>
    <t>INTACO ECUADOR S. A.</t>
  </si>
  <si>
    <t>ENTRE CALLE SEPTIMA Y OCTAVA</t>
  </si>
  <si>
    <t>INTACO</t>
  </si>
  <si>
    <t>MAPASINGUE OESTE</t>
  </si>
  <si>
    <t>64</t>
  </si>
  <si>
    <t>DIAGONAL A PROMESA</t>
  </si>
  <si>
    <t>043731555</t>
  </si>
  <si>
    <t>DANIEL SIMON DAVILA SOLORZANO</t>
  </si>
  <si>
    <t>13705156098</t>
  </si>
  <si>
    <t>0990011532001</t>
  </si>
  <si>
    <t>DISMA C. LTDA.</t>
  </si>
  <si>
    <t>DISMA C LTDA</t>
  </si>
  <si>
    <t>VIA DURÁN TAMBO</t>
  </si>
  <si>
    <t>3 A</t>
  </si>
  <si>
    <t>LOTIZACION FERIAS</t>
  </si>
  <si>
    <t>DETRAS DE LA FABRICA REPALCO</t>
  </si>
  <si>
    <t>042810228</t>
  </si>
  <si>
    <t>KARINA PAREDES</t>
  </si>
  <si>
    <t>13763513135</t>
  </si>
  <si>
    <t>1390141692001</t>
  </si>
  <si>
    <t>EMPACADORA BILBO S.A. BILBOSA EMPACADORA BILBO S.A. BILBOSA</t>
  </si>
  <si>
    <t>EMPACADORA BILBO SA</t>
  </si>
  <si>
    <t>MONTECRISTI</t>
  </si>
  <si>
    <t>A 100 MTS DE LA FABRIL</t>
  </si>
  <si>
    <t>052578695</t>
  </si>
  <si>
    <t>INGRID SANCHEZ SALAZAR</t>
  </si>
  <si>
    <t>22316488131</t>
  </si>
  <si>
    <t>1390135188001</t>
  </si>
  <si>
    <t>COMPAÑIA EMPACADORA DUFER CIA. LTDA.</t>
  </si>
  <si>
    <t>DUFER CIALTDA</t>
  </si>
  <si>
    <t>VÍA BAHÍA DE CARÁQUEZ CHONE</t>
  </si>
  <si>
    <t>CJON. CANALETE</t>
  </si>
  <si>
    <t>DUFER</t>
  </si>
  <si>
    <t>POPULAR</t>
  </si>
  <si>
    <t>A QUINIENTOS METROS DE LA GASOLINERA PRIMAX</t>
  </si>
  <si>
    <t>052014013</t>
  </si>
  <si>
    <t>FELIX AVILA</t>
  </si>
  <si>
    <t>47277073095</t>
  </si>
  <si>
    <t>0992981350001</t>
  </si>
  <si>
    <t>TITANDOL DEL ECUADOR TITANDEL C.L.</t>
  </si>
  <si>
    <t>AV. LEÓN FEBRES CORDERO</t>
  </si>
  <si>
    <t>VÍA AURORA PASCUALES</t>
  </si>
  <si>
    <t>EDF. VILLA CLUB</t>
  </si>
  <si>
    <t>OFC. 13</t>
  </si>
  <si>
    <t>PASANDO CC. LA PIAZZA JUNTO A LA CLINICA DE LA VISION</t>
  </si>
  <si>
    <t>043901982</t>
  </si>
  <si>
    <t>JUANA DIAZ</t>
  </si>
  <si>
    <t>13745347121</t>
  </si>
  <si>
    <t>1290067126001</t>
  </si>
  <si>
    <t>EXTRACTORA QUEVEPALMA S.A.</t>
  </si>
  <si>
    <t>EXTRACTORA QUEVEPALMA SA</t>
  </si>
  <si>
    <t>VIA QUEVEDO -BUENA FE</t>
  </si>
  <si>
    <t>KM. 5.5</t>
  </si>
  <si>
    <t>AL LADO DE DISTRUIDORA DE GAS, "CONGAS</t>
  </si>
  <si>
    <t>0999508222</t>
  </si>
  <si>
    <t>LUIS ALBERTO SALAS BORJA</t>
  </si>
  <si>
    <t>80142</t>
  </si>
  <si>
    <t>13829239170</t>
  </si>
  <si>
    <t>1792019036001</t>
  </si>
  <si>
    <t>AGROINPLA S.A</t>
  </si>
  <si>
    <t>AGROINPLA SA</t>
  </si>
  <si>
    <t>VIA A PLAN PILOTO</t>
  </si>
  <si>
    <t>PASANDO EL PUENTE MACHECITO</t>
  </si>
  <si>
    <t>063030519</t>
  </si>
  <si>
    <t>IBETH BARRAGAN</t>
  </si>
  <si>
    <t>21539.00.02.01</t>
  </si>
  <si>
    <t>ACEITE DE PALMISTE</t>
  </si>
  <si>
    <t>14754189097</t>
  </si>
  <si>
    <t>0991004270001</t>
  </si>
  <si>
    <t>BORSEA S.A.</t>
  </si>
  <si>
    <t>AV. SAMBORONDON</t>
  </si>
  <si>
    <t>0.5</t>
  </si>
  <si>
    <t>RIO GRANDE</t>
  </si>
  <si>
    <t>PORTON NEGRO A LADO DE LA ENTRADA DE LA URB. RIO GRANDE</t>
  </si>
  <si>
    <t>042830088</t>
  </si>
  <si>
    <t>MARIA FERNANDA SOLANO</t>
  </si>
  <si>
    <t>13705701096</t>
  </si>
  <si>
    <t>0990553963001</t>
  </si>
  <si>
    <t>PROMARISCO S.A.</t>
  </si>
  <si>
    <t>PROMARISCO SA</t>
  </si>
  <si>
    <t>A LADO DE EXPALSA</t>
  </si>
  <si>
    <t>042594600</t>
  </si>
  <si>
    <t>JACKSON ADRIAN ANDRADE</t>
  </si>
  <si>
    <t>14747992135</t>
  </si>
  <si>
    <t>1390140319001</t>
  </si>
  <si>
    <t>FRIGORIFICO Y LABORATORIO SAN MATEO, FRIGOLAB SAN MATEO CIA. LTDA.</t>
  </si>
  <si>
    <t>FRIGOLAB SAN MATEO CIA LTDA</t>
  </si>
  <si>
    <t>PARQUE EL ATUN</t>
  </si>
  <si>
    <t>A LADO DE LA EMPRESA ASISERVY</t>
  </si>
  <si>
    <t>053701160</t>
  </si>
  <si>
    <t>LISBETH ALAVA</t>
  </si>
  <si>
    <t>14787686134</t>
  </si>
  <si>
    <t>1390148212001</t>
  </si>
  <si>
    <t>MANABITA DE COMERCIO S.A. MANCORSACOM</t>
  </si>
  <si>
    <t>VIA JARAMIJO MONTECRISTI</t>
  </si>
  <si>
    <t>POZO DE LA SABANA</t>
  </si>
  <si>
    <t>A 500 METROS DEL ESTADIO DE JARAMIJÓ</t>
  </si>
  <si>
    <t>053700740</t>
  </si>
  <si>
    <t>ROSARIO SERRANO</t>
  </si>
  <si>
    <t>80116</t>
  </si>
  <si>
    <t>14767114134</t>
  </si>
  <si>
    <t>1391730845001</t>
  </si>
  <si>
    <t>PRODUCTOS PERECIBLES Y MARISCOS PROPEMAR S.A.</t>
  </si>
  <si>
    <t>PROPEMAR SA</t>
  </si>
  <si>
    <t>A 200 METROS DEL SUBCENTRO DE SALUD MSP EL COLORADO</t>
  </si>
  <si>
    <t>052318363</t>
  </si>
  <si>
    <t>CINDY VILLAFUERTE MOREIRA</t>
  </si>
  <si>
    <t>14717282095</t>
  </si>
  <si>
    <t>0991410465001</t>
  </si>
  <si>
    <t>LABORATORIO VIDA (LABOVIDA) S.A.</t>
  </si>
  <si>
    <t>LABOVIDA SA</t>
  </si>
  <si>
    <t>CDLA. SANTA ADRIANA</t>
  </si>
  <si>
    <t>B</t>
  </si>
  <si>
    <t>A TRES CUADRAS DE EXPOCOLOR, FRENTE COLEGIO AMERICANO</t>
  </si>
  <si>
    <t>043082202</t>
  </si>
  <si>
    <t>KARINA MONTES</t>
  </si>
  <si>
    <t>80171</t>
  </si>
  <si>
    <t>13708480091</t>
  </si>
  <si>
    <t>0992245662001</t>
  </si>
  <si>
    <t>ENVASES METALURGICOS ENVAMET S.A.</t>
  </si>
  <si>
    <t>ENVASES METALURGICOS ENVAMET SA</t>
  </si>
  <si>
    <t>CALLE 30 NO</t>
  </si>
  <si>
    <t>SECTOR INDUSTRIAL</t>
  </si>
  <si>
    <t>FRENTE A BATERIAS BOSCH</t>
  </si>
  <si>
    <t>043917373</t>
  </si>
  <si>
    <t>ELIZABETH SANCHEZ GARZON</t>
  </si>
  <si>
    <t>13705657097</t>
  </si>
  <si>
    <t>0990497672001</t>
  </si>
  <si>
    <t>MATERIALES DE VIVIENDAS MAVISA S.A.</t>
  </si>
  <si>
    <t>LEON FEBRES CORDERO</t>
  </si>
  <si>
    <t>SL 4-2</t>
  </si>
  <si>
    <t>DEMOCRATICA SUR</t>
  </si>
  <si>
    <t>JUNTO A CNEL</t>
  </si>
  <si>
    <t>042805125</t>
  </si>
  <si>
    <t>DELIA DUARTE GARCIA</t>
  </si>
  <si>
    <t>80892</t>
  </si>
  <si>
    <t>14837690090</t>
  </si>
  <si>
    <t>0992702419001</t>
  </si>
  <si>
    <t>SOUTH PACIFIC SEAFOOD S.A. SOPASE</t>
  </si>
  <si>
    <t>BODEGAS 1-2-3-4-5</t>
  </si>
  <si>
    <t>ENTRANDO POR LAS BODEGAS DE PICCA Y NESTLE, AVANZA HASTA EL FINAL DE LA CALLE ULTIMA EMPRESA DERECHO</t>
  </si>
  <si>
    <t>042264674</t>
  </si>
  <si>
    <t>KAROL ESPINOZA</t>
  </si>
  <si>
    <t>13707115097</t>
  </si>
  <si>
    <t>0991408185001</t>
  </si>
  <si>
    <t>FORTIDEX S.A.</t>
  </si>
  <si>
    <t>VIA DATA EL MORRO</t>
  </si>
  <si>
    <t>DETRAS DE BANCO GUAYAQUIL</t>
  </si>
  <si>
    <t>042880411</t>
  </si>
  <si>
    <t>MARIA ELENA JIMENEZ NEGRETE</t>
  </si>
  <si>
    <t>14732959174</t>
  </si>
  <si>
    <t>1792083354001</t>
  </si>
  <si>
    <t>PRODUCTOS TISSUE DEL ECUADOR S.A.</t>
  </si>
  <si>
    <t>PROTISA ECUADOR</t>
  </si>
  <si>
    <t>VIA DAULE KM 24.5</t>
  </si>
  <si>
    <t>DIAGONAL AL ZOOLOGICO EL PANTANAL</t>
  </si>
  <si>
    <t>24.5</t>
  </si>
  <si>
    <t>045000274</t>
  </si>
  <si>
    <t>GABRIELA PILLIGUA MURILLO</t>
  </si>
  <si>
    <t>80829</t>
  </si>
  <si>
    <t>14815179120</t>
  </si>
  <si>
    <t>1291740827001</t>
  </si>
  <si>
    <t>INDUSTRIAL PAPELERA ECUATORIANA S.A INPAECSA</t>
  </si>
  <si>
    <t>LA REFORMA</t>
  </si>
  <si>
    <t>VIA GUARANDA   BABAHOYO</t>
  </si>
  <si>
    <t>INPAECSA</t>
  </si>
  <si>
    <t>CAMILO PONCE</t>
  </si>
  <si>
    <t>JUNTO A EMPRESA RECIPLASTICOS</t>
  </si>
  <si>
    <t>043810380</t>
  </si>
  <si>
    <t>MARIA FERNANDA MONTENEGRO SANTAMARIA</t>
  </si>
  <si>
    <t>13706830094</t>
  </si>
  <si>
    <t>0991344004001</t>
  </si>
  <si>
    <t>IPAC S.A.</t>
  </si>
  <si>
    <t>IPAC SA</t>
  </si>
  <si>
    <t>LOTIZACION LOS VERGELES</t>
  </si>
  <si>
    <t>A 500 MTRS DEL FUERTE HUANCAVILCA INGRESANDO A LA DERECHO POR LABORATORIOS INDUMIDAS</t>
  </si>
  <si>
    <t>043702120</t>
  </si>
  <si>
    <t>RAMIRO CALDERON</t>
  </si>
  <si>
    <t>80895</t>
  </si>
  <si>
    <t>13763386133</t>
  </si>
  <si>
    <t>1390012949001</t>
  </si>
  <si>
    <t>LA FABRIL S.A.</t>
  </si>
  <si>
    <t>LA FABRIL SA</t>
  </si>
  <si>
    <t>LA FABRIL</t>
  </si>
  <si>
    <t>FRENTE A UPC</t>
  </si>
  <si>
    <t>052920091</t>
  </si>
  <si>
    <t>ELVIS ADRIAN LEON ALVARADO</t>
  </si>
  <si>
    <t>80777</t>
  </si>
  <si>
    <t>13709704090</t>
  </si>
  <si>
    <t>0992429860001</t>
  </si>
  <si>
    <t>EXPOTUNA S.A.</t>
  </si>
  <si>
    <t>EXPOTUNA SA</t>
  </si>
  <si>
    <t>VIA A DAULE, AV. ROSAVIN</t>
  </si>
  <si>
    <t>ASBESTOS</t>
  </si>
  <si>
    <t>JUNTO A EMPRESA FERMAGRI, FRENTE A VIPRESA - A 200 MTS DE BIG COLA</t>
  </si>
  <si>
    <t>042162121</t>
  </si>
  <si>
    <t>JOSE ANTONIO ROBLES BUSTAMANTE</t>
  </si>
  <si>
    <t>13710879090</t>
  </si>
  <si>
    <t>0992577401001</t>
  </si>
  <si>
    <t>PROTEINAS DEL ECUADOR ECUAPROTEIN S.A.</t>
  </si>
  <si>
    <t>ECUAPROTEIN SA</t>
  </si>
  <si>
    <t>LOTIZACION FINCAS VACACIONALES</t>
  </si>
  <si>
    <t>A LADO DE LA EMPRESA NOVARED</t>
  </si>
  <si>
    <t>045006195</t>
  </si>
  <si>
    <t>KAREN PAOLA GARZON PINCAY</t>
  </si>
  <si>
    <t>14844901098</t>
  </si>
  <si>
    <t>0991098127001</t>
  </si>
  <si>
    <t>IMPORTADORA INDUSTRIAL AGRICOLA DEL MONTE SOCIEDAD ANONIMA INMONTE</t>
  </si>
  <si>
    <t>IMPORTADORA DEL MONTE</t>
  </si>
  <si>
    <t>DEL MONTE</t>
  </si>
  <si>
    <t>C13</t>
  </si>
  <si>
    <t>JUNTO A DROCARAS</t>
  </si>
  <si>
    <t>0433700260</t>
  </si>
  <si>
    <t>OLINDA CARRIEL</t>
  </si>
  <si>
    <t>13705597094</t>
  </si>
  <si>
    <t>0990382875001</t>
  </si>
  <si>
    <t>SPARTAN DEL ECUADOR PRODUCTOS QUIMICOS S.A.</t>
  </si>
  <si>
    <t>SPARTAN DEL ECUADOR</t>
  </si>
  <si>
    <t>AV. LEOPOLDO BENITEZ</t>
  </si>
  <si>
    <t>SL 21</t>
  </si>
  <si>
    <t>E/ AV 3 NE Y CALLE 14 A NE</t>
  </si>
  <si>
    <t>VERNAZA NORTE</t>
  </si>
  <si>
    <t>FRENTE A LUBRICADORA FRENEX</t>
  </si>
  <si>
    <t>042924399</t>
  </si>
  <si>
    <t>DAVID GONZALEZ</t>
  </si>
  <si>
    <t>80757</t>
  </si>
  <si>
    <t>47370867174</t>
  </si>
  <si>
    <t>1792689899001</t>
  </si>
  <si>
    <t>EXTRACOSTA S.A</t>
  </si>
  <si>
    <t>VIA A PUEBLO VIEJO</t>
  </si>
  <si>
    <t>SAN JUAN PUEBLO VIEJO</t>
  </si>
  <si>
    <t>JUNTO PISTA ESTRELLA</t>
  </si>
  <si>
    <t>0992483460</t>
  </si>
  <si>
    <t>HEREDIA GABRIELA</t>
  </si>
  <si>
    <t>14707943131</t>
  </si>
  <si>
    <t>1391752377001</t>
  </si>
  <si>
    <t>MARINE PROTEIN MARPROT S.A.</t>
  </si>
  <si>
    <t>MARPROT SA</t>
  </si>
  <si>
    <t>AV. HUGO MAYO</t>
  </si>
  <si>
    <t>CALLE TRANSMARINA</t>
  </si>
  <si>
    <t>EUROFISH</t>
  </si>
  <si>
    <t>ARROYO AZUL</t>
  </si>
  <si>
    <t>DIAGONAL A LA COMPAÑIA LUBAR DENTRO DE LA EMPRESA EUROFISH S.A</t>
  </si>
  <si>
    <t>052578950</t>
  </si>
  <si>
    <t>CECIBEL GARCIA MERA</t>
  </si>
  <si>
    <t>13706348098</t>
  </si>
  <si>
    <t>0991208291001</t>
  </si>
  <si>
    <t>PLASTIEMPAQUES S.A.</t>
  </si>
  <si>
    <t>DURAN</t>
  </si>
  <si>
    <t>PLASTIEMPAQUES</t>
  </si>
  <si>
    <t>FRENTE A TRACTO HIDRAULICA A LADO DE CRYSTAL CHEMICAL</t>
  </si>
  <si>
    <t>042801600</t>
  </si>
  <si>
    <t>LUIS MERINO VILAACIS</t>
  </si>
  <si>
    <t>47050948133</t>
  </si>
  <si>
    <t>1391832966001</t>
  </si>
  <si>
    <t>CAMAR-EXPO S.A.</t>
  </si>
  <si>
    <t>CALLE_PRINCIPAL:VÍA PEDERNALESCHAMANGA</t>
  </si>
  <si>
    <t>VÍA CHAMANGA</t>
  </si>
  <si>
    <t>ENTRADA A PUERTO TIZAL</t>
  </si>
  <si>
    <t>SITIO PUERTO TIZAL 500 METROS ANTES DEL PUENTE LA VIOLETA</t>
  </si>
  <si>
    <t>052660647</t>
  </si>
  <si>
    <t>PAOLO GALLEGOS</t>
  </si>
  <si>
    <t>46727173099</t>
  </si>
  <si>
    <t>0992827629001</t>
  </si>
  <si>
    <t>MANTELLOD S.A.</t>
  </si>
  <si>
    <t>CARRETERO EL CARMEN PEDERNALES</t>
  </si>
  <si>
    <t>VIA EL CARMEN PEDERNALES</t>
  </si>
  <si>
    <t>6008388</t>
  </si>
  <si>
    <t>ANA ISABEL PATIÑO FLORES</t>
  </si>
  <si>
    <t>47038190098</t>
  </si>
  <si>
    <t>0992926228001</t>
  </si>
  <si>
    <t>DETERGENTES DEL ECUADOR DETCUADOR S.A.</t>
  </si>
  <si>
    <t>DURAN  YAGUACHI</t>
  </si>
  <si>
    <t>LOT LAS BRISAS</t>
  </si>
  <si>
    <t>FRENTE ESTACION DE SERVICIO PRIMAX</t>
  </si>
  <si>
    <t>046022893</t>
  </si>
  <si>
    <t>MARJORIE ALEXANDRA CEDEÑO RAMIREZ</t>
  </si>
  <si>
    <t>14722400098</t>
  </si>
  <si>
    <t>0992655275001</t>
  </si>
  <si>
    <t>EMPACADORA CRUSTAMAR S.A. EMPACRUSA</t>
  </si>
  <si>
    <t>CRUSTAMAR</t>
  </si>
  <si>
    <t>ECUALIPTO</t>
  </si>
  <si>
    <t>FRENTE A LA EMPRESA DISTHER</t>
  </si>
  <si>
    <t>042113599</t>
  </si>
  <si>
    <t>JULIE  CRUZ</t>
  </si>
  <si>
    <t>47273176094</t>
  </si>
  <si>
    <t>0992963956001</t>
  </si>
  <si>
    <t>COMEXCPLAST S.A.</t>
  </si>
  <si>
    <t>CALLE QUINQUELLA</t>
  </si>
  <si>
    <t>SL. 4</t>
  </si>
  <si>
    <t>MZ. 4</t>
  </si>
  <si>
    <t>VÍA A DAULE - JUNTO A LA EMPRESA FAVETEX</t>
  </si>
  <si>
    <t>042116938</t>
  </si>
  <si>
    <t>13706834090</t>
  </si>
  <si>
    <t>0991344527001</t>
  </si>
  <si>
    <t>IMPRODECU IMPORTADORA DE PRODUCTOS DE CUERO S.A.</t>
  </si>
  <si>
    <t>IMPRODECU</t>
  </si>
  <si>
    <t>11.26</t>
  </si>
  <si>
    <t>A LADO DE SWISSGAS DEL ECUADOR</t>
  </si>
  <si>
    <t>3724750</t>
  </si>
  <si>
    <t>JOSE ANTONIO ACEBO MERELLO</t>
  </si>
  <si>
    <t>14824809098</t>
  </si>
  <si>
    <t>0992475730001</t>
  </si>
  <si>
    <t>INDUSTRIAL LATINA S.A. LAINDUSA</t>
  </si>
  <si>
    <t>22</t>
  </si>
  <si>
    <t>COMUNA CASAS VIEJAS (EN LIQUIDACIÓN),</t>
  </si>
  <si>
    <t>COMUNA CASAS VIEJAS</t>
  </si>
  <si>
    <t>LOTE 14</t>
  </si>
  <si>
    <t>PRIMERA ENTRADA POR LA ESTACIÓN TERRENA COMUNA CASAS VIEJAS LOTE 14</t>
  </si>
  <si>
    <t>046043460</t>
  </si>
  <si>
    <t>ING LUZ YANEZ</t>
  </si>
  <si>
    <t>22314163099</t>
  </si>
  <si>
    <t>0991208844001</t>
  </si>
  <si>
    <t>FUTURCORP S.A.</t>
  </si>
  <si>
    <t>FUTURCORP SA</t>
  </si>
  <si>
    <t>VIA A PUEBLO VIEJO SAN JUAN</t>
  </si>
  <si>
    <t>FRENTE A HCDA BOLIVAR ANTES DE LLEGAR A LA CIUDAD PUEBLOVIEJO</t>
  </si>
  <si>
    <t>0994408936</t>
  </si>
  <si>
    <t>PAULO ROBERTO BERMUDEZ TITO</t>
  </si>
  <si>
    <t>13706297094</t>
  </si>
  <si>
    <t>0991157476001</t>
  </si>
  <si>
    <t>PINTURAS IMPERIAL CIA. LTDA.</t>
  </si>
  <si>
    <t>NEIRASOLVEN CIA. LTDA.</t>
  </si>
  <si>
    <t>VIA DAULE PERIMETRAL B</t>
  </si>
  <si>
    <t>PUERTAS DE COLOR BLANCO</t>
  </si>
  <si>
    <t>A LADO DE PATIO DE RETENCION VEHICULAR ATM</t>
  </si>
  <si>
    <t>046008112</t>
  </si>
  <si>
    <t>LENIN GONZALEZ</t>
  </si>
  <si>
    <t>80162</t>
  </si>
  <si>
    <t>13706446090</t>
  </si>
  <si>
    <t>0991254374001</t>
  </si>
  <si>
    <t>INDEUREC S.A.</t>
  </si>
  <si>
    <t>VIA DURAN BOLICHE</t>
  </si>
  <si>
    <t>2,5</t>
  </si>
  <si>
    <t>JUNTO A LAS RIELES DEL TREN, DIAGONAL AL SHOPPING</t>
  </si>
  <si>
    <t>043814000</t>
  </si>
  <si>
    <t>BELLA OSORIO MORA</t>
  </si>
  <si>
    <t>13705683098</t>
  </si>
  <si>
    <t>0990533105001</t>
  </si>
  <si>
    <t>PLANTACIONES DE BALSA PLANTABAL S.A.</t>
  </si>
  <si>
    <t>VIA A QUEVEDO VALENCIA</t>
  </si>
  <si>
    <t>EN LA VIA PRINCIPAL LETRERO PLANTABAL</t>
  </si>
  <si>
    <t>043884065</t>
  </si>
  <si>
    <t>SARA POVEDA</t>
  </si>
  <si>
    <t>JABÓN PARA LAVAR ROPA</t>
  </si>
  <si>
    <t>JABÓN/CREMA PARA LAVAR VAJILLA</t>
  </si>
  <si>
    <t>INODORO</t>
  </si>
  <si>
    <t>LAVAVO DE ALUMINIO</t>
  </si>
  <si>
    <t>TARRINAS Y VASOS DE PLÁSTICO</t>
  </si>
  <si>
    <t>ACEITE VEGETAL</t>
  </si>
  <si>
    <t>ACEITE DE SOYA</t>
  </si>
  <si>
    <t>CARAMELOS</t>
  </si>
  <si>
    <t>CHICLES</t>
  </si>
  <si>
    <t>PAPEL HIGIÉNICO</t>
  </si>
  <si>
    <t>SERVILLETAS</t>
  </si>
  <si>
    <t>CERAS PARA PISOS</t>
  </si>
  <si>
    <t>MEDIAS ENTERAS PARA MUJER</t>
  </si>
  <si>
    <t>VARILLAS DE ACERO</t>
  </si>
  <si>
    <t>MALLA DE CERRAMIENTO</t>
  </si>
  <si>
    <t>MARGARINA</t>
  </si>
  <si>
    <t>DESODORANTE PARA BAÑO</t>
  </si>
  <si>
    <t>CAJA DE FÓSFOROS</t>
  </si>
  <si>
    <t>POSTES DE ACERO</t>
  </si>
  <si>
    <t>HILO ACRILICO</t>
  </si>
  <si>
    <t>PALMA AFRICANA</t>
  </si>
  <si>
    <t>DESODORANTE</t>
  </si>
  <si>
    <t>PASTA DENTAL</t>
  </si>
  <si>
    <t>ENJUAGUES BUCALES</t>
  </si>
  <si>
    <t>CABLE DE COBRE</t>
  </si>
  <si>
    <t>ALAMBRE DE ALUMINIO SIN RECUBRIMIENTO</t>
  </si>
  <si>
    <t>MAICENA</t>
  </si>
  <si>
    <t>LEVADURA</t>
  </si>
  <si>
    <t>POLVO DE HORNEAR</t>
  </si>
  <si>
    <t>GELATINA EN POLVO</t>
  </si>
  <si>
    <t>FLAN EN POLVO</t>
  </si>
  <si>
    <t>IMPERPOL</t>
  </si>
  <si>
    <t>BÍTUMEN/BETÚN (PARA CARRETERAS)</t>
  </si>
  <si>
    <t>CEMENTO ASFALTICO</t>
  </si>
  <si>
    <t>CUBIERTA DE ACERO</t>
  </si>
  <si>
    <t>CORREAS DE ACERO</t>
  </si>
  <si>
    <t>DILUYENTE</t>
  </si>
  <si>
    <t>COMPLEJO B</t>
  </si>
  <si>
    <t>AMPICILINA</t>
  </si>
  <si>
    <t>ANTIBIÓTICO</t>
  </si>
  <si>
    <t>PENICILINA</t>
  </si>
  <si>
    <t>MEDICAMENTO ANTIFLAMATORIO</t>
  </si>
  <si>
    <t>PAÑALES DESECHABLES</t>
  </si>
  <si>
    <t>PAÑOS HÚMEDOS</t>
  </si>
  <si>
    <t>HILO DE POLIÉSTER PARA COSER</t>
  </si>
  <si>
    <t>TANQUES DE ACERO INOXIDABLE</t>
  </si>
  <si>
    <t>PLACAS ONDULADAS</t>
  </si>
  <si>
    <t>ESPAGUETI</t>
  </si>
  <si>
    <t>CONDIMENTOS Y SAZONADORES EN POLVO</t>
  </si>
  <si>
    <t>POSTES DE EUCALIPTO</t>
  </si>
  <si>
    <t>VIGUETAS, VIGAS Y PIEZAS DE COLORADO</t>
  </si>
  <si>
    <t>MANÍ  DE SAL (SNACK)</t>
  </si>
  <si>
    <t>ESCOBA</t>
  </si>
  <si>
    <t>TORRES DE ACERO</t>
  </si>
  <si>
    <t>ALMOHADA</t>
  </si>
  <si>
    <t>MANTECA DE CACAO</t>
  </si>
  <si>
    <t>ENVASES DE HOJALATA</t>
  </si>
  <si>
    <t>CANECAS, BALDES</t>
  </si>
  <si>
    <t>Gestionada</t>
  </si>
  <si>
    <t>21210.00.02.02</t>
  </si>
  <si>
    <t>3.20</t>
  </si>
  <si>
    <t>21210.00.99.01</t>
  </si>
  <si>
    <t>0.80</t>
  </si>
  <si>
    <t>0.90</t>
  </si>
  <si>
    <t>5.7</t>
  </si>
  <si>
    <t>1.2</t>
  </si>
  <si>
    <t>Guayas</t>
  </si>
  <si>
    <t>Guayaquil</t>
  </si>
  <si>
    <t>35260.39.99</t>
  </si>
  <si>
    <t>ANTIÁCIDOS</t>
  </si>
  <si>
    <t>35260.63.17.01</t>
  </si>
  <si>
    <t>ACICLOVIR</t>
  </si>
  <si>
    <t>35250.15.00</t>
  </si>
  <si>
    <t>35260.35.99.01</t>
  </si>
  <si>
    <t>41251.00.03.01</t>
  </si>
  <si>
    <t>42110.00.01.01</t>
  </si>
  <si>
    <t>ATÚN ENTERO CONGELADO DE EXPORTACIÓN</t>
  </si>
  <si>
    <t>PESCADO ENTERO CONGELADO DE EXPORTACIÓN</t>
  </si>
  <si>
    <t>PERFIL I</t>
  </si>
  <si>
    <t>PERFILES DE ACERO</t>
  </si>
  <si>
    <t>35323.02.07.01</t>
  </si>
  <si>
    <t>ACETONA</t>
  </si>
  <si>
    <t>0.4732</t>
  </si>
  <si>
    <t>2024-12-24 09:54:43.0</t>
  </si>
  <si>
    <t>190</t>
  </si>
  <si>
    <t>2024-12-23 03:49:45.0</t>
  </si>
  <si>
    <t>0.58</t>
  </si>
  <si>
    <t>2024-12-24 09:04:20.0</t>
  </si>
  <si>
    <t>42931.00.01.01</t>
  </si>
  <si>
    <t>TAMBORES DE ACERO</t>
  </si>
  <si>
    <t>33</t>
  </si>
  <si>
    <t>2024-12-18 12:09:59.0</t>
  </si>
  <si>
    <t>5.38</t>
  </si>
  <si>
    <t>2024-12-23 03:35:09.0</t>
  </si>
  <si>
    <t>2024-12-23 03:35:18.0</t>
  </si>
  <si>
    <t>35110.01.03.01</t>
  </si>
  <si>
    <t>PIGMENTOS</t>
  </si>
  <si>
    <t>70.85</t>
  </si>
  <si>
    <t>2024-12-11 04:41:06.0</t>
  </si>
  <si>
    <t>2024-12-11 04:40:27.0</t>
  </si>
  <si>
    <t>21.93</t>
  </si>
  <si>
    <t>2024-12-11 04:40:52.0</t>
  </si>
  <si>
    <t>52</t>
  </si>
  <si>
    <t>2024-12-24 08:38:32.0</t>
  </si>
  <si>
    <t>15.98</t>
  </si>
  <si>
    <t>0.11</t>
  </si>
  <si>
    <t>56.75</t>
  </si>
  <si>
    <t>46340.01.01.01</t>
  </si>
  <si>
    <t>CABLE DE MEDIA TENSIÓN</t>
  </si>
  <si>
    <t>157.6</t>
  </si>
  <si>
    <t>42190.02.17.01</t>
  </si>
  <si>
    <t>TUBOS ESTRUCTURALES</t>
  </si>
  <si>
    <t>2023/09/01</t>
  </si>
  <si>
    <t>2023/06/20</t>
  </si>
  <si>
    <t>36490.00.03.01</t>
  </si>
  <si>
    <t>BOTELLAS PLÁSTICAS</t>
  </si>
  <si>
    <t>44.1</t>
  </si>
  <si>
    <t>2024-12-11 04:35:24.0</t>
  </si>
  <si>
    <t>130</t>
  </si>
  <si>
    <t>2024-12-11 04:35:28.0</t>
  </si>
  <si>
    <t>43.08</t>
  </si>
  <si>
    <t>2024/05/01</t>
  </si>
  <si>
    <t>34.5</t>
  </si>
  <si>
    <t>2024/11/18</t>
  </si>
  <si>
    <t>16.74</t>
  </si>
  <si>
    <t>2023/07/01</t>
  </si>
  <si>
    <t>28.93</t>
  </si>
  <si>
    <t>30</t>
  </si>
  <si>
    <t>0.83</t>
  </si>
  <si>
    <t>2024-12-24 09:33:41.0</t>
  </si>
  <si>
    <t>7.8</t>
  </si>
  <si>
    <t>2024-12-18 12:07:29.0</t>
  </si>
  <si>
    <t>2024-12-13 12:40:12.0</t>
  </si>
  <si>
    <t>42</t>
  </si>
  <si>
    <t>2024-12-13 12:40:17.0</t>
  </si>
  <si>
    <t>150.31</t>
  </si>
  <si>
    <t>2024-12-13 12:43:47.0</t>
  </si>
  <si>
    <t>37540.00.99.01</t>
  </si>
  <si>
    <t>TANQUES DE CEMENTO</t>
  </si>
  <si>
    <t>890</t>
  </si>
  <si>
    <t>16330.00.01.01</t>
  </si>
  <si>
    <t>CARBONATO DE CALCIO MINERÍA</t>
  </si>
  <si>
    <t>7.69</t>
  </si>
  <si>
    <t>2024-12-23 03:59:44.0</t>
  </si>
  <si>
    <t>37191.00.01.01</t>
  </si>
  <si>
    <t>ENVASE DE VIDRIO GRANDE</t>
  </si>
  <si>
    <t>783.67</t>
  </si>
  <si>
    <t>2024-12-24 09:17:24.0</t>
  </si>
  <si>
    <t>287.33</t>
  </si>
  <si>
    <t>1900</t>
  </si>
  <si>
    <t>2024-12-24 08:42:46.0</t>
  </si>
  <si>
    <t>2080</t>
  </si>
  <si>
    <t>1150</t>
  </si>
  <si>
    <t>2024-12-23 03:39:47.0</t>
  </si>
  <si>
    <t>1120</t>
  </si>
  <si>
    <t>2023/11/13</t>
  </si>
  <si>
    <t>1185</t>
  </si>
  <si>
    <t>2024/12/01</t>
  </si>
  <si>
    <t>2023/11/01</t>
  </si>
  <si>
    <t>2140</t>
  </si>
  <si>
    <t>2024/12/09</t>
  </si>
  <si>
    <t>36950.00.02.01</t>
  </si>
  <si>
    <t>TANQUE PLÁSTICO</t>
  </si>
  <si>
    <t>150</t>
  </si>
  <si>
    <t>144</t>
  </si>
  <si>
    <t>247.5</t>
  </si>
  <si>
    <t>2024-12-24 11:25:32.0</t>
  </si>
  <si>
    <t>2.4</t>
  </si>
  <si>
    <t>2024-12-24 11:25:52.0</t>
  </si>
  <si>
    <t>14.68</t>
  </si>
  <si>
    <t>14.03</t>
  </si>
  <si>
    <t>34662.99.08.01</t>
  </si>
  <si>
    <t>FUNGICIDA</t>
  </si>
  <si>
    <t>27.42</t>
  </si>
  <si>
    <t>27.67</t>
  </si>
  <si>
    <t>1280</t>
  </si>
  <si>
    <t>2024-12-23 03:34:25.0</t>
  </si>
  <si>
    <t>1250</t>
  </si>
  <si>
    <t>1050</t>
  </si>
  <si>
    <t>2024-12-23 03:34:29.0</t>
  </si>
  <si>
    <t>3.6</t>
  </si>
  <si>
    <t>2024-12-24 12:03:26.0</t>
  </si>
  <si>
    <t>62.5</t>
  </si>
  <si>
    <t>2024-12-24 12:03:45.0</t>
  </si>
  <si>
    <t>35250.32.01.01</t>
  </si>
  <si>
    <t>AMOXICILINA</t>
  </si>
  <si>
    <t>2024-12-24 09:48:03.0</t>
  </si>
  <si>
    <t>4.81</t>
  </si>
  <si>
    <t>2024-12-24 09:48:07.0</t>
  </si>
  <si>
    <t>2024-12-18 11:59:16.0</t>
  </si>
  <si>
    <t>17.89</t>
  </si>
  <si>
    <t>32.82</t>
  </si>
  <si>
    <t>5.11</t>
  </si>
  <si>
    <t>41213.00.06.01</t>
  </si>
  <si>
    <t>PLANCHAS DE ACERO ALEADO</t>
  </si>
  <si>
    <t>0.88</t>
  </si>
  <si>
    <t>2024-12-24 11:39:24.0</t>
  </si>
  <si>
    <t>41251.00.02.01</t>
  </si>
  <si>
    <t>PERFIL L</t>
  </si>
  <si>
    <t>0.76</t>
  </si>
  <si>
    <t>2024-12-24 11:39:56.0</t>
  </si>
  <si>
    <t>0.9</t>
  </si>
  <si>
    <t>2024-12-24 11:39:38.0</t>
  </si>
  <si>
    <t>2024-12-24 11:02:46.0</t>
  </si>
  <si>
    <t>32193.04.01.01</t>
  </si>
  <si>
    <t>TOALLAS SANITARIAS</t>
  </si>
  <si>
    <t>31.56</t>
  </si>
  <si>
    <t>2024-12-24 11:16:40.0</t>
  </si>
  <si>
    <t>52.5</t>
  </si>
  <si>
    <t>10.44</t>
  </si>
  <si>
    <t>33.21</t>
  </si>
  <si>
    <t>145</t>
  </si>
  <si>
    <t>2024-12-24 08:55:10.0</t>
  </si>
  <si>
    <t>4.75</t>
  </si>
  <si>
    <t>2024-12-23 03:37:11.0</t>
  </si>
  <si>
    <t>3.91</t>
  </si>
  <si>
    <t>2024-12-23 03:38:02.0</t>
  </si>
  <si>
    <t>35420.07.02.01</t>
  </si>
  <si>
    <t>COLA BLANCA</t>
  </si>
  <si>
    <t>0.65</t>
  </si>
  <si>
    <t>359.11</t>
  </si>
  <si>
    <t>3.47</t>
  </si>
  <si>
    <t>4.84</t>
  </si>
  <si>
    <t>2024-12-23 04:45:14.0</t>
  </si>
  <si>
    <t>13.58</t>
  </si>
  <si>
    <t>2024-12-23 04:45:18.0</t>
  </si>
  <si>
    <t>3.79</t>
  </si>
  <si>
    <t>2.96</t>
  </si>
  <si>
    <t xml:space="preserve">Provincia </t>
  </si>
  <si>
    <t>ESMERALDAS</t>
  </si>
  <si>
    <t>SUCUMBÍOS</t>
  </si>
  <si>
    <t>TUNGURAHUA</t>
  </si>
  <si>
    <t>COTOPAXI</t>
  </si>
  <si>
    <t>PASTAZA</t>
  </si>
  <si>
    <t>CHIMBORAZO</t>
  </si>
  <si>
    <t>NAPO</t>
  </si>
  <si>
    <t>EL ORO</t>
  </si>
  <si>
    <t>AZUAY</t>
  </si>
  <si>
    <t>LOJA</t>
  </si>
  <si>
    <t>CAÑAR</t>
  </si>
  <si>
    <t>MANABÍ</t>
  </si>
  <si>
    <t>SANTA ELENA</t>
  </si>
  <si>
    <t>SANTO DOMINGO DE LOS TSÁCHILAS</t>
  </si>
  <si>
    <t>LOS RÍOS</t>
  </si>
  <si>
    <t xml:space="preserve">Establecimientos investigados </t>
  </si>
  <si>
    <t>Investigado</t>
  </si>
  <si>
    <t>No investigado</t>
  </si>
  <si>
    <t>GUAyas</t>
  </si>
  <si>
    <t>Efectividad empresa</t>
  </si>
  <si>
    <t>40901</t>
  </si>
  <si>
    <t>40891</t>
  </si>
  <si>
    <t>40895</t>
  </si>
  <si>
    <t>40900</t>
  </si>
  <si>
    <t>40899</t>
  </si>
  <si>
    <t>30398</t>
  </si>
  <si>
    <t>60491</t>
  </si>
  <si>
    <t>60494</t>
  </si>
  <si>
    <t>81824</t>
  </si>
  <si>
    <t>80175</t>
  </si>
  <si>
    <t>81826</t>
  </si>
  <si>
    <t>81111</t>
  </si>
  <si>
    <t>81819</t>
  </si>
  <si>
    <t>81115</t>
  </si>
  <si>
    <t>81095</t>
  </si>
  <si>
    <t>81109</t>
  </si>
  <si>
    <t>81823</t>
  </si>
  <si>
    <t>81827</t>
  </si>
  <si>
    <t>81110</t>
  </si>
  <si>
    <t>81822</t>
  </si>
  <si>
    <t>Efectiva</t>
  </si>
  <si>
    <t>Etiquetas de fila</t>
  </si>
  <si>
    <t>Total general</t>
  </si>
  <si>
    <t>36111.00.01.01</t>
  </si>
  <si>
    <t>NEUMÁTICO PARA AUTOMÓVIL</t>
  </si>
  <si>
    <t>35.57</t>
  </si>
  <si>
    <t>44.87</t>
  </si>
  <si>
    <t>36111.00.02.01</t>
  </si>
  <si>
    <t>NEUMÁTICO PARA CAMIONETA</t>
  </si>
  <si>
    <t>98.03</t>
  </si>
  <si>
    <t>104.47</t>
  </si>
  <si>
    <t>36113.01.02.01</t>
  </si>
  <si>
    <t>NEUMÁTICO DE CAMIÓN</t>
  </si>
  <si>
    <t>375.39</t>
  </si>
  <si>
    <t xml:space="preserve">Pichincha </t>
  </si>
  <si>
    <t xml:space="preserve">Quito </t>
  </si>
  <si>
    <t>Quito</t>
  </si>
  <si>
    <t xml:space="preserve">PAPEL HIGIÉNICO </t>
  </si>
  <si>
    <t>6.87</t>
  </si>
  <si>
    <t xml:space="preserve">BOTINES DE CUERO </t>
  </si>
  <si>
    <t xml:space="preserve">5.85 </t>
  </si>
  <si>
    <t xml:space="preserve">ACEITE DE PESCADO </t>
  </si>
  <si>
    <t xml:space="preserve">21525.04.00.01 </t>
  </si>
  <si>
    <t>3.65</t>
  </si>
  <si>
    <t>21215.00.01.01</t>
  </si>
  <si>
    <t>ATÚN ENTERO CONGELADO</t>
  </si>
  <si>
    <t>21222.00.03.01</t>
  </si>
  <si>
    <t>FILETE DE PESCADO DORADO CONGELADO</t>
  </si>
  <si>
    <t>4.65</t>
  </si>
  <si>
    <t>21222.00.02.01</t>
  </si>
  <si>
    <t xml:space="preserve">ATUN FILETE CONGELADO </t>
  </si>
  <si>
    <t>ATUN FILETE CONGELADO</t>
  </si>
  <si>
    <t>55.80</t>
  </si>
  <si>
    <t xml:space="preserve">HARINA DE PESCADO </t>
  </si>
  <si>
    <t>21291.00.02.01</t>
  </si>
  <si>
    <t>HARINA DE CAMARÓN</t>
  </si>
  <si>
    <t xml:space="preserve">21255.00.02.02 </t>
  </si>
  <si>
    <t xml:space="preserve">CAMARÓN CONGELADO DE EXPORTACIÓN </t>
  </si>
  <si>
    <t>416.64</t>
  </si>
  <si>
    <t>36490.00.03.02</t>
  </si>
  <si>
    <t>CANECAS, BALDES PLASTICAS</t>
  </si>
  <si>
    <t>712.8</t>
  </si>
  <si>
    <t>BOTELLAS, FRASCOS  PLÁSTICOS</t>
  </si>
  <si>
    <t>463.68</t>
  </si>
  <si>
    <t>5.2</t>
  </si>
  <si>
    <t>35260.31.99.01</t>
  </si>
  <si>
    <t>ANTIHIPERTENSIVOS</t>
  </si>
  <si>
    <t>5.28</t>
  </si>
  <si>
    <t>35250.15.00.01</t>
  </si>
  <si>
    <t>MULTIVITAMÍNICO</t>
  </si>
  <si>
    <t>3.33</t>
  </si>
  <si>
    <t>35260.57.27.01</t>
  </si>
  <si>
    <t>COLUFASE (NOITAZOXANIDA)</t>
  </si>
  <si>
    <t>10.8</t>
  </si>
  <si>
    <t>35260.68.99.01</t>
  </si>
  <si>
    <t>CREMA PARA LA PAÑALITIS</t>
  </si>
  <si>
    <t>4.33</t>
  </si>
  <si>
    <t>35260.57.02.01</t>
  </si>
  <si>
    <t>2.88</t>
  </si>
  <si>
    <t>35499.10.03.01</t>
  </si>
  <si>
    <t>21.02</t>
  </si>
  <si>
    <t>SOLVENTE Y DILUYENTE</t>
  </si>
  <si>
    <t>40.71</t>
  </si>
  <si>
    <t>35260.41.99.01</t>
  </si>
  <si>
    <t>ANALGÉSICO URINARIO</t>
  </si>
  <si>
    <t>18.6</t>
  </si>
  <si>
    <t>17.13</t>
  </si>
  <si>
    <t>10.6</t>
  </si>
  <si>
    <t>21651.00.00.01</t>
  </si>
  <si>
    <t>21691.00.02.01</t>
  </si>
  <si>
    <t>21255.00.02.02</t>
  </si>
  <si>
    <t>11.21</t>
  </si>
  <si>
    <t>34663.00.18.01</t>
  </si>
  <si>
    <t>HERBICIDA PARA MALEZA</t>
  </si>
  <si>
    <t>3.2</t>
  </si>
  <si>
    <t>34669.00.00.01</t>
  </si>
  <si>
    <t xml:space="preserve">MATAGUSANOS </t>
  </si>
  <si>
    <t>7.2</t>
  </si>
  <si>
    <t>34659.00.04.01</t>
  </si>
  <si>
    <t>10.98</t>
  </si>
  <si>
    <t>MATAGUSANOS</t>
  </si>
  <si>
    <t>1.3</t>
  </si>
  <si>
    <t>24131.05.06.01</t>
  </si>
  <si>
    <t>CREMA DE LICOR CACAO</t>
  </si>
  <si>
    <t>37.2</t>
  </si>
  <si>
    <t>4.9</t>
  </si>
  <si>
    <t>13.19</t>
  </si>
  <si>
    <t>74.7</t>
  </si>
  <si>
    <t>349.37</t>
  </si>
  <si>
    <t xml:space="preserve">21219.00.99.01 </t>
  </si>
  <si>
    <t xml:space="preserve">PESCADO ENTERO CONGELADO DE EXPORTACIÓN </t>
  </si>
  <si>
    <t>17.7</t>
  </si>
  <si>
    <t>29.5</t>
  </si>
  <si>
    <t>19.2</t>
  </si>
  <si>
    <t xml:space="preserve">35110.01.02.02 </t>
  </si>
  <si>
    <t xml:space="preserve">BARNIZ </t>
  </si>
  <si>
    <t>38.26</t>
  </si>
  <si>
    <t>33.6</t>
  </si>
  <si>
    <t xml:space="preserve">31102.01.02.01 </t>
  </si>
  <si>
    <t>BALSA</t>
  </si>
  <si>
    <t xml:space="preserve">42190.02.04.01 </t>
  </si>
  <si>
    <t xml:space="preserve">ESTRUCTURAS METÁLICAS </t>
  </si>
  <si>
    <t>2.75</t>
  </si>
  <si>
    <t xml:space="preserve">21255.00.02.01 </t>
  </si>
  <si>
    <t xml:space="preserve">CAMARÓN CONGELADO </t>
  </si>
  <si>
    <t>72.6</t>
  </si>
  <si>
    <t>4.03</t>
  </si>
  <si>
    <t>1.03</t>
  </si>
  <si>
    <t>ÁCIDO FÓLICO</t>
  </si>
  <si>
    <t>2.1</t>
  </si>
  <si>
    <t>9.58</t>
  </si>
  <si>
    <t>35260.39.99.01</t>
  </si>
  <si>
    <t>1.32</t>
  </si>
  <si>
    <t>2.08</t>
  </si>
  <si>
    <t>21255.00.02.01</t>
  </si>
  <si>
    <t>Cuenta de Código CPC 11 dígitos producto 1</t>
  </si>
  <si>
    <t>Numero de tomas</t>
  </si>
  <si>
    <t>Nombre</t>
  </si>
  <si>
    <t>nom</t>
  </si>
  <si>
    <t>35110.01.02.02</t>
  </si>
  <si>
    <t>Nombr</t>
  </si>
  <si>
    <t>Producto</t>
  </si>
  <si>
    <t>Produc</t>
  </si>
  <si>
    <t>No efectiva</t>
  </si>
  <si>
    <t>Establecimientos investigados (Columna AJ)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</si>
  <si>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Investigado</t>
    </r>
    <r>
      <rPr>
        <sz val="11"/>
        <color theme="1"/>
        <rFont val="Calibri"/>
        <family val="2"/>
        <scheme val="minor"/>
      </rPr>
      <t>: Se realizó alguna gestión o proceso a fin de obtener información sobre la empresa/ establecimiento económico.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</si>
  <si>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No investigado:</t>
    </r>
    <r>
      <rPr>
        <sz val="11"/>
        <color theme="1"/>
        <rFont val="Calibri"/>
        <family val="2"/>
        <scheme val="minor"/>
      </rPr>
      <t xml:space="preserve"> No se realizó ninguna gestión por lo que no se refleja novedad en la columna DC.</t>
    </r>
  </si>
  <si>
    <t>Empresa "Ubicada/No Ubicada" (Columna AK)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</si>
  <si>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Ubicada:</t>
    </r>
    <r>
      <rPr>
        <sz val="11"/>
        <color theme="1"/>
        <rFont val="Calibri"/>
        <family val="2"/>
        <scheme val="minor"/>
      </rPr>
      <t xml:space="preserve"> La empresa/establecimiento económico fue ubicada en la dirección proporcionada en la muestra.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</si>
  <si>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No Ubicada:</t>
    </r>
    <r>
      <rPr>
        <sz val="11"/>
        <color theme="1"/>
        <rFont val="Calibri"/>
        <family val="2"/>
        <scheme val="minor"/>
      </rPr>
      <t xml:space="preserve"> La empresa/establecimiento económico NO se encuentra en la ubicación proporcionada en la muestra.</t>
    </r>
  </si>
  <si>
    <t>Efectividad de la empresa (Columna DB)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</si>
  <si>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Efectiva:</t>
    </r>
    <r>
      <rPr>
        <sz val="11"/>
        <color theme="1"/>
        <rFont val="Calibri"/>
        <family val="2"/>
        <scheme val="minor"/>
      </rPr>
      <t xml:space="preserve"> Se refiere a las empresas/establecimientos económicos en las cuales el investigador ha levantado información de al menos 1 producto perteneciente a la canasta de investigación.</t>
    </r>
  </si>
  <si>
    <t>Novedad de la empresa (Columna DC)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</si>
  <si>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Absorbida:</t>
    </r>
    <r>
      <rPr>
        <sz val="11"/>
        <color theme="1"/>
        <rFont val="Calibri"/>
        <family val="2"/>
        <scheme val="minor"/>
      </rPr>
      <t xml:space="preserve"> Cuando una o más empresas son absorbidas por otra que continúa subsistiendo, manteniendo el registro de una de ellas.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</si>
  <si>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Embargada:</t>
    </r>
    <r>
      <rPr>
        <sz val="11"/>
        <color theme="1"/>
        <rFont val="Calibri"/>
        <family val="2"/>
        <scheme val="minor"/>
      </rPr>
      <t xml:space="preserve"> Se refiere a la retención de bienes de una empresa, como un método de seguridad para pagar las deudas en las que se haya incurrido con anterioridad.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</si>
  <si>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Fusionada:</t>
    </r>
    <r>
      <rPr>
        <sz val="11"/>
        <color theme="1"/>
        <rFont val="Calibri"/>
        <family val="2"/>
        <scheme val="minor"/>
      </rPr>
      <t xml:space="preserve"> Una fusión se da cuando dos o más empresas se unen dando lugar a una nueva que les sucede en sus derechos y obligaciones.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</si>
  <si>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Gestionada:</t>
    </r>
    <r>
      <rPr>
        <sz val="11"/>
        <color theme="1"/>
        <rFont val="Calibri"/>
        <family val="2"/>
        <scheme val="minor"/>
      </rPr>
      <t xml:space="preserve"> Esta novedad nos indica que se realizó algún acercamiento con el informante pero no se ha ingresado tomas en el sistema.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</si>
  <si>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Inactiva:</t>
    </r>
    <r>
      <rPr>
        <sz val="11"/>
        <color theme="1"/>
        <rFont val="Calibri"/>
        <family val="2"/>
        <scheme val="minor"/>
      </rPr>
      <t xml:space="preserve"> Esta novedad define a la empresa que por cualquier circunstancia ha paralizado su actividad en el periodo de investigación.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</si>
  <si>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Liquidada:</t>
    </r>
    <r>
      <rPr>
        <sz val="11"/>
        <color theme="1"/>
        <rFont val="Calibri"/>
        <family val="2"/>
        <scheme val="minor"/>
      </rPr>
      <t xml:space="preserve"> Son aquellas empresas que paralizan definitivamente sus operaciones.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</si>
  <si>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No produce:</t>
    </r>
    <r>
      <rPr>
        <sz val="11"/>
        <color theme="1"/>
        <rFont val="Calibri"/>
        <family val="2"/>
        <scheme val="minor"/>
      </rPr>
      <t xml:space="preserve"> Empresas o establecimientos económicos dedicados a la comercialización y no a la producción de bienes.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</si>
  <si>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No ubicada:</t>
    </r>
    <r>
      <rPr>
        <sz val="11"/>
        <color theme="1"/>
        <rFont val="Calibri"/>
        <family val="2"/>
        <scheme val="minor"/>
      </rPr>
      <t xml:space="preserve"> Corresponde a aquella empresa que posiblemente cambió de dirección o la información de la dirección que registra el directorio es incorrecta, de manera que se desconoce su ubicación.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</si>
  <si>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Normal:</t>
    </r>
    <r>
      <rPr>
        <sz val="11"/>
        <color theme="1"/>
        <rFont val="Calibri"/>
        <family val="2"/>
        <scheme val="minor"/>
      </rPr>
      <t xml:space="preserve"> Empresas o establecimientos económicos que se encuentran operando con normalidad pero las mismas no producen algun artículo investigado en la matriz de especificaciones actual o se dedican al comercio y no a la producción.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</si>
  <si>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Rechazo:</t>
    </r>
    <r>
      <rPr>
        <sz val="11"/>
        <color theme="1"/>
        <rFont val="Calibri"/>
        <family val="2"/>
        <scheme val="minor"/>
      </rPr>
      <t xml:space="preserve"> Ocurre cuando una empresa se niega a proporcionar información.</t>
    </r>
  </si>
  <si>
    <t>Descripcción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</si>
</sst>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;[Red]&quot;$&quot;#,##0.00"/>
    <numFmt numFmtId="165" formatCode="d\-m\-yy;@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b/>
      <sz val="8"/>
      <color theme="2" tint="-0.749992370372631"/>
      <name val="Calibri"/>
      <family val="2"/>
      <scheme val="minor"/>
    </font>
    <font>
      <sz val="8"/>
      <color theme="2" tint="-0.749992370372631"/>
      <name val="Century Gothic"/>
      <family val="2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6" fillId="0" borderId="0"/>
  </cellStyleXfs>
  <cellXfs count="132">
    <xf numFmtId="0" fontId="0" fillId="0" borderId="0" xfId="0"/>
    <xf numFmtId="0" fontId="3" fillId="0" borderId="1" xfId="0" applyNumberFormat="1" applyFont="1" applyFill="1" applyBorder="1" applyAlignment="1">
      <alignment vertical="center"/>
    </xf>
    <xf numFmtId="0" fontId="0" fillId="0" borderId="0" xfId="0" applyNumberFormat="1"/>
    <xf numFmtId="0" fontId="0" fillId="0" borderId="1" xfId="0" applyFill="1" applyBorder="1"/>
    <xf numFmtId="49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Fill="1" applyBorder="1" applyAlignment="1">
      <alignment horizontal="left" vertical="center"/>
    </xf>
    <xf numFmtId="49" fontId="0" fillId="0" borderId="1" xfId="0" applyNumberFormat="1" applyFill="1" applyBorder="1" applyAlignment="1" applyProtection="1">
      <alignment horizontal="left" vertical="center"/>
    </xf>
    <xf numFmtId="49" fontId="0" fillId="0" borderId="1" xfId="0" applyNumberFormat="1" applyFill="1" applyBorder="1" applyAlignment="1" applyProtection="1">
      <alignment horizontal="left" vertical="center"/>
      <protection locked="0"/>
    </xf>
    <xf numFmtId="0" fontId="3" fillId="0" borderId="1" xfId="0" applyNumberFormat="1" applyFont="1" applyFill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1" fillId="10" borderId="2" xfId="0" applyFont="1" applyFill="1" applyBorder="1"/>
    <xf numFmtId="0" fontId="7" fillId="0" borderId="0" xfId="0" applyFont="1"/>
    <xf numFmtId="0" fontId="8" fillId="0" borderId="1" xfId="0" applyFont="1" applyFill="1" applyBorder="1" applyAlignment="1" applyProtection="1">
      <alignment horizontal="center" vertical="center" wrapText="1"/>
    </xf>
    <xf numFmtId="49" fontId="8" fillId="0" borderId="1" xfId="0" applyNumberFormat="1" applyFont="1" applyFill="1" applyBorder="1" applyAlignment="1" applyProtection="1">
      <alignment horizontal="center" vertical="center" wrapText="1"/>
    </xf>
    <xf numFmtId="0" fontId="9" fillId="0" borderId="1" xfId="0" applyFont="1" applyFill="1" applyBorder="1" applyAlignment="1" applyProtection="1">
      <alignment horizontal="center" vertical="center" wrapText="1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9" fillId="4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9" fillId="8" borderId="1" xfId="0" applyFont="1" applyFill="1" applyBorder="1" applyAlignment="1" applyProtection="1">
      <alignment horizontal="center" vertical="center" wrapText="1"/>
      <protection locked="0"/>
    </xf>
    <xf numFmtId="14" fontId="9" fillId="0" borderId="1" xfId="0" applyNumberFormat="1" applyFont="1" applyFill="1" applyBorder="1" applyAlignment="1" applyProtection="1">
      <alignment horizontal="right" vertical="center" wrapText="1"/>
      <protection locked="0"/>
    </xf>
    <xf numFmtId="0" fontId="9" fillId="0" borderId="1" xfId="0" applyFont="1" applyFill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9" fillId="7" borderId="1" xfId="0" applyFont="1" applyFill="1" applyBorder="1" applyAlignment="1" applyProtection="1">
      <alignment horizontal="center" vertical="center" wrapText="1"/>
      <protection locked="0"/>
    </xf>
    <xf numFmtId="0" fontId="9" fillId="6" borderId="1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 applyProtection="1"/>
    <xf numFmtId="49" fontId="7" fillId="0" borderId="1" xfId="0" applyNumberFormat="1" applyFont="1" applyFill="1" applyBorder="1" applyAlignment="1" applyProtection="1"/>
    <xf numFmtId="0" fontId="7" fillId="0" borderId="1" xfId="0" applyNumberFormat="1" applyFont="1" applyFill="1" applyBorder="1" applyAlignment="1" applyProtection="1"/>
    <xf numFmtId="0" fontId="7" fillId="0" borderId="1" xfId="0" applyFont="1" applyFill="1" applyBorder="1" applyAlignment="1" applyProtection="1">
      <alignment horizontal="right"/>
    </xf>
    <xf numFmtId="0" fontId="7" fillId="0" borderId="1" xfId="0" applyFont="1" applyFill="1" applyBorder="1" applyAlignment="1" applyProtection="1">
      <alignment horizontal="center"/>
    </xf>
    <xf numFmtId="0" fontId="7" fillId="3" borderId="1" xfId="0" applyFont="1" applyFill="1" applyBorder="1" applyAlignment="1" applyProtection="1">
      <alignment horizontal="center"/>
      <protection locked="0"/>
    </xf>
    <xf numFmtId="0" fontId="7" fillId="4" borderId="1" xfId="0" applyFont="1" applyFill="1" applyBorder="1" applyAlignment="1" applyProtection="1">
      <alignment horizontal="center"/>
      <protection locked="0"/>
    </xf>
    <xf numFmtId="0" fontId="7" fillId="5" borderId="1" xfId="0" applyFont="1" applyFill="1" applyBorder="1"/>
    <xf numFmtId="0" fontId="7" fillId="8" borderId="1" xfId="0" applyFont="1" applyFill="1" applyBorder="1" applyAlignment="1" applyProtection="1">
      <protection locked="0"/>
    </xf>
    <xf numFmtId="14" fontId="7" fillId="0" borderId="1" xfId="0" applyNumberFormat="1" applyFont="1" applyFill="1" applyBorder="1" applyAlignment="1" applyProtection="1">
      <alignment horizontal="right"/>
      <protection locked="0"/>
    </xf>
    <xf numFmtId="0" fontId="7" fillId="0" borderId="1" xfId="0" applyFont="1" applyFill="1" applyBorder="1"/>
    <xf numFmtId="0" fontId="7" fillId="0" borderId="1" xfId="0" applyFont="1" applyFill="1" applyBorder="1" applyAlignment="1" applyProtection="1">
      <protection locked="0"/>
    </xf>
    <xf numFmtId="0" fontId="7" fillId="2" borderId="1" xfId="0" applyFont="1" applyFill="1" applyBorder="1" applyAlignment="1" applyProtection="1">
      <alignment horizontal="right"/>
      <protection locked="0"/>
    </xf>
    <xf numFmtId="0" fontId="7" fillId="7" borderId="1" xfId="0" applyFont="1" applyFill="1" applyBorder="1" applyAlignment="1" applyProtection="1">
      <alignment horizontal="right"/>
      <protection locked="0"/>
    </xf>
    <xf numFmtId="0" fontId="7" fillId="6" borderId="1" xfId="0" applyFont="1" applyFill="1" applyBorder="1" applyAlignment="1" applyProtection="1">
      <alignment horizontal="right"/>
    </xf>
    <xf numFmtId="0" fontId="7" fillId="0" borderId="0" xfId="0" applyFont="1" applyFill="1"/>
    <xf numFmtId="1" fontId="7" fillId="0" borderId="1" xfId="0" applyNumberFormat="1" applyFont="1" applyFill="1" applyBorder="1" applyAlignment="1" applyProtection="1">
      <alignment horizontal="left"/>
    </xf>
    <xf numFmtId="0" fontId="7" fillId="0" borderId="1" xfId="0" applyFont="1" applyFill="1" applyBorder="1" applyAlignment="1">
      <alignment horizontal="left" vertical="center"/>
    </xf>
    <xf numFmtId="0" fontId="7" fillId="0" borderId="1" xfId="0" applyNumberFormat="1" applyFont="1" applyFill="1" applyBorder="1" applyAlignment="1" applyProtection="1">
      <alignment horizontal="left" vertical="center"/>
    </xf>
    <xf numFmtId="49" fontId="7" fillId="0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right" vertical="center"/>
    </xf>
    <xf numFmtId="0" fontId="7" fillId="0" borderId="1" xfId="0" applyFont="1" applyFill="1" applyBorder="1" applyAlignment="1" applyProtection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 applyProtection="1">
      <alignment horizontal="left" vertical="center"/>
      <protection locked="0"/>
    </xf>
    <xf numFmtId="14" fontId="7" fillId="0" borderId="1" xfId="0" applyNumberFormat="1" applyFont="1" applyFill="1" applyBorder="1" applyAlignment="1">
      <alignment horizontal="right" vertical="center"/>
    </xf>
    <xf numFmtId="0" fontId="7" fillId="0" borderId="1" xfId="0" applyFont="1" applyFill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right" vertical="center"/>
      <protection locked="0"/>
    </xf>
    <xf numFmtId="0" fontId="7" fillId="7" borderId="1" xfId="0" applyFont="1" applyFill="1" applyBorder="1" applyAlignment="1" applyProtection="1">
      <alignment horizontal="right" vertical="center"/>
      <protection locked="0"/>
    </xf>
    <xf numFmtId="0" fontId="7" fillId="6" borderId="1" xfId="0" applyFont="1" applyFill="1" applyBorder="1" applyAlignment="1" applyProtection="1">
      <alignment horizontal="right" vertical="center"/>
    </xf>
    <xf numFmtId="14" fontId="7" fillId="0" borderId="1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4" fontId="7" fillId="0" borderId="1" xfId="0" applyNumberFormat="1" applyFont="1" applyFill="1" applyBorder="1" applyAlignment="1" applyProtection="1">
      <alignment horizontal="right" vertical="center"/>
      <protection locked="0"/>
    </xf>
    <xf numFmtId="0" fontId="7" fillId="9" borderId="1" xfId="0" applyFont="1" applyFill="1" applyBorder="1"/>
    <xf numFmtId="0" fontId="7" fillId="0" borderId="1" xfId="0" applyFont="1" applyFill="1" applyBorder="1" applyAlignment="1" applyProtection="1">
      <alignment horizontal="left"/>
    </xf>
    <xf numFmtId="0" fontId="7" fillId="3" borderId="1" xfId="0" applyFont="1" applyFill="1" applyBorder="1" applyAlignment="1" applyProtection="1">
      <alignment horizontal="left"/>
      <protection locked="0"/>
    </xf>
    <xf numFmtId="49" fontId="7" fillId="0" borderId="1" xfId="0" applyNumberFormat="1" applyFont="1" applyFill="1" applyBorder="1"/>
    <xf numFmtId="0" fontId="7" fillId="0" borderId="1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center"/>
    </xf>
    <xf numFmtId="0" fontId="7" fillId="0" borderId="1" xfId="0" applyFont="1" applyFill="1" applyBorder="1" applyAlignment="1" applyProtection="1">
      <alignment horizontal="left" vertical="center"/>
    </xf>
    <xf numFmtId="1" fontId="7" fillId="0" borderId="1" xfId="0" applyNumberFormat="1" applyFont="1" applyFill="1" applyBorder="1" applyAlignment="1" applyProtection="1">
      <alignment horizontal="left" vertical="center"/>
    </xf>
    <xf numFmtId="49" fontId="7" fillId="0" borderId="1" xfId="0" applyNumberFormat="1" applyFont="1" applyFill="1" applyBorder="1" applyAlignment="1" applyProtection="1">
      <alignment horizontal="left" vertical="center"/>
    </xf>
    <xf numFmtId="0" fontId="7" fillId="0" borderId="1" xfId="0" applyFont="1" applyFill="1" applyBorder="1" applyAlignment="1" applyProtection="1">
      <alignment horizontal="right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14" fontId="7" fillId="0" borderId="1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left" vertical="center"/>
      <protection locked="0"/>
    </xf>
    <xf numFmtId="0" fontId="7" fillId="4" borderId="1" xfId="0" applyFont="1" applyFill="1" applyBorder="1" applyAlignment="1" applyProtection="1">
      <alignment horizontal="center"/>
    </xf>
    <xf numFmtId="0" fontId="7" fillId="3" borderId="1" xfId="0" applyFont="1" applyFill="1" applyBorder="1"/>
    <xf numFmtId="14" fontId="7" fillId="0" borderId="1" xfId="0" applyNumberFormat="1" applyFont="1" applyFill="1" applyBorder="1" applyAlignment="1">
      <alignment horizontal="right"/>
    </xf>
    <xf numFmtId="0" fontId="7" fillId="4" borderId="1" xfId="0" applyFont="1" applyFill="1" applyBorder="1" applyAlignment="1" applyProtection="1">
      <alignment horizontal="center" vertic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right"/>
    </xf>
    <xf numFmtId="14" fontId="7" fillId="0" borderId="0" xfId="0" applyNumberFormat="1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1" fillId="0" borderId="0" xfId="0" applyFont="1" applyAlignment="1">
      <alignment horizontal="left" vertical="center" indent="5"/>
    </xf>
    <xf numFmtId="0" fontId="11" fillId="0" borderId="0" xfId="0" applyFont="1" applyAlignment="1">
      <alignment horizontal="left" vertical="center" indent="7"/>
    </xf>
    <xf numFmtId="0" fontId="1" fillId="0" borderId="0" xfId="0" applyFont="1" applyAlignment="1">
      <alignment horizontal="center"/>
    </xf>
    <xf numFmtId="49" fontId="9" fillId="11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11" borderId="1" xfId="0" applyFont="1" applyFill="1" applyBorder="1" applyAlignment="1" applyProtection="1">
      <alignment horizontal="center" vertical="center" wrapText="1"/>
      <protection locked="0"/>
    </xf>
    <xf numFmtId="165" fontId="9" fillId="11" borderId="1" xfId="0" applyNumberFormat="1" applyFont="1" applyFill="1" applyBorder="1" applyAlignment="1" applyProtection="1">
      <alignment horizontal="center" vertical="center" wrapText="1"/>
      <protection locked="0"/>
    </xf>
    <xf numFmtId="14" fontId="9" fillId="11" borderId="1" xfId="0" applyNumberFormat="1" applyFont="1" applyFill="1" applyBorder="1" applyAlignment="1" applyProtection="1">
      <alignment horizontal="center" vertical="center" wrapText="1"/>
      <protection locked="0"/>
    </xf>
    <xf numFmtId="49" fontId="7" fillId="11" borderId="1" xfId="0" applyNumberFormat="1" applyFont="1" applyFill="1" applyBorder="1" applyAlignment="1" applyProtection="1">
      <protection locked="0"/>
    </xf>
    <xf numFmtId="49" fontId="7" fillId="11" borderId="1" xfId="0" applyNumberFormat="1" applyFont="1" applyFill="1" applyBorder="1" applyAlignment="1" applyProtection="1"/>
    <xf numFmtId="0" fontId="7" fillId="11" borderId="1" xfId="0" applyFont="1" applyFill="1" applyBorder="1" applyAlignment="1" applyProtection="1">
      <protection locked="0"/>
    </xf>
    <xf numFmtId="165" fontId="7" fillId="11" borderId="1" xfId="0" applyNumberFormat="1" applyFont="1" applyFill="1" applyBorder="1" applyAlignment="1" applyProtection="1">
      <protection locked="0"/>
    </xf>
    <xf numFmtId="14" fontId="7" fillId="11" borderId="1" xfId="0" applyNumberFormat="1" applyFont="1" applyFill="1" applyBorder="1" applyAlignment="1" applyProtection="1">
      <protection locked="0"/>
    </xf>
    <xf numFmtId="0" fontId="7" fillId="11" borderId="1" xfId="0" applyFont="1" applyFill="1" applyBorder="1" applyAlignment="1">
      <alignment horizontal="left" vertical="center"/>
    </xf>
    <xf numFmtId="165" fontId="7" fillId="11" borderId="1" xfId="0" applyNumberFormat="1" applyFont="1" applyFill="1" applyBorder="1" applyAlignment="1">
      <alignment horizontal="left" vertical="center"/>
    </xf>
    <xf numFmtId="14" fontId="7" fillId="11" borderId="1" xfId="0" applyNumberFormat="1" applyFont="1" applyFill="1" applyBorder="1" applyAlignment="1">
      <alignment horizontal="left" vertical="center"/>
    </xf>
    <xf numFmtId="0" fontId="7" fillId="11" borderId="1" xfId="0" applyFont="1" applyFill="1" applyBorder="1"/>
    <xf numFmtId="165" fontId="7" fillId="11" borderId="1" xfId="0" applyNumberFormat="1" applyFont="1" applyFill="1" applyBorder="1"/>
    <xf numFmtId="14" fontId="7" fillId="11" borderId="1" xfId="0" applyNumberFormat="1" applyFont="1" applyFill="1" applyBorder="1"/>
    <xf numFmtId="49" fontId="7" fillId="11" borderId="1" xfId="0" applyNumberFormat="1" applyFont="1" applyFill="1" applyBorder="1" applyAlignment="1" applyProtection="1">
      <alignment horizontal="left" vertical="center"/>
      <protection locked="0"/>
    </xf>
    <xf numFmtId="49" fontId="7" fillId="11" borderId="1" xfId="0" applyNumberFormat="1" applyFont="1" applyFill="1" applyBorder="1" applyAlignment="1" applyProtection="1">
      <alignment horizontal="left" vertical="center"/>
    </xf>
    <xf numFmtId="0" fontId="7" fillId="11" borderId="1" xfId="0" applyFont="1" applyFill="1" applyBorder="1" applyAlignment="1" applyProtection="1">
      <alignment horizontal="left" vertical="center"/>
      <protection locked="0"/>
    </xf>
    <xf numFmtId="165" fontId="7" fillId="11" borderId="1" xfId="0" applyNumberFormat="1" applyFont="1" applyFill="1" applyBorder="1" applyAlignment="1" applyProtection="1">
      <alignment horizontal="left" vertical="center"/>
      <protection locked="0"/>
    </xf>
    <xf numFmtId="14" fontId="7" fillId="11" borderId="1" xfId="0" applyNumberFormat="1" applyFont="1" applyFill="1" applyBorder="1" applyAlignment="1" applyProtection="1">
      <alignment horizontal="left" vertical="center"/>
      <protection locked="0"/>
    </xf>
    <xf numFmtId="0" fontId="10" fillId="11" borderId="1" xfId="0" applyNumberFormat="1" applyFont="1" applyFill="1" applyBorder="1" applyAlignment="1">
      <alignment horizontal="left" vertical="center"/>
    </xf>
    <xf numFmtId="2" fontId="7" fillId="11" borderId="1" xfId="0" applyNumberFormat="1" applyFont="1" applyFill="1" applyBorder="1" applyAlignment="1" applyProtection="1">
      <alignment horizontal="left" vertical="center"/>
      <protection locked="0"/>
    </xf>
    <xf numFmtId="0" fontId="7" fillId="11" borderId="1" xfId="0" applyNumberFormat="1" applyFont="1" applyFill="1" applyBorder="1" applyAlignment="1" applyProtection="1">
      <alignment horizontal="left" vertical="center"/>
      <protection locked="0"/>
    </xf>
    <xf numFmtId="1" fontId="7" fillId="11" borderId="1" xfId="0" applyNumberFormat="1" applyFont="1" applyFill="1" applyBorder="1"/>
    <xf numFmtId="3" fontId="7" fillId="11" borderId="1" xfId="0" applyNumberFormat="1" applyFont="1" applyFill="1" applyBorder="1" applyAlignment="1" applyProtection="1">
      <alignment horizontal="left" vertical="center"/>
      <protection locked="0"/>
    </xf>
    <xf numFmtId="49" fontId="9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1" xfId="0" applyNumberFormat="1" applyFont="1" applyFill="1" applyBorder="1" applyAlignment="1" applyProtection="1">
      <protection locked="0"/>
    </xf>
    <xf numFmtId="49" fontId="7" fillId="2" borderId="1" xfId="0" applyNumberFormat="1" applyFont="1" applyFill="1" applyBorder="1" applyAlignment="1" applyProtection="1"/>
    <xf numFmtId="0" fontId="7" fillId="2" borderId="1" xfId="0" applyFont="1" applyFill="1" applyBorder="1" applyAlignment="1" applyProtection="1">
      <protection locked="0"/>
    </xf>
    <xf numFmtId="14" fontId="7" fillId="2" borderId="1" xfId="0" applyNumberFormat="1" applyFont="1" applyFill="1" applyBorder="1" applyAlignment="1" applyProtection="1">
      <protection locked="0"/>
    </xf>
    <xf numFmtId="0" fontId="7" fillId="2" borderId="1" xfId="0" applyFont="1" applyFill="1" applyBorder="1" applyAlignment="1">
      <alignment horizontal="left" vertical="center"/>
    </xf>
    <xf numFmtId="14" fontId="7" fillId="2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/>
    <xf numFmtId="14" fontId="7" fillId="2" borderId="1" xfId="0" applyNumberFormat="1" applyFont="1" applyFill="1" applyBorder="1"/>
    <xf numFmtId="49" fontId="7" fillId="2" borderId="1" xfId="0" applyNumberFormat="1" applyFont="1" applyFill="1" applyBorder="1" applyAlignment="1" applyProtection="1">
      <alignment horizontal="left" vertical="center"/>
      <protection locked="0"/>
    </xf>
    <xf numFmtId="49" fontId="7" fillId="2" borderId="1" xfId="0" applyNumberFormat="1" applyFont="1" applyFill="1" applyBorder="1" applyAlignment="1" applyProtection="1">
      <alignment horizontal="left" vertical="center"/>
    </xf>
    <xf numFmtId="0" fontId="7" fillId="2" borderId="1" xfId="0" applyFont="1" applyFill="1" applyBorder="1" applyAlignment="1" applyProtection="1">
      <alignment horizontal="left" vertical="center"/>
      <protection locked="0"/>
    </xf>
    <xf numFmtId="14" fontId="7" fillId="2" borderId="1" xfId="0" applyNumberFormat="1" applyFont="1" applyFill="1" applyBorder="1" applyAlignment="1" applyProtection="1">
      <alignment horizontal="left" vertical="center"/>
      <protection locked="0"/>
    </xf>
    <xf numFmtId="164" fontId="7" fillId="2" borderId="1" xfId="0" applyNumberFormat="1" applyFont="1" applyFill="1" applyBorder="1" applyAlignment="1" applyProtection="1">
      <alignment horizontal="left" vertical="center"/>
      <protection locked="0"/>
    </xf>
    <xf numFmtId="0" fontId="10" fillId="2" borderId="1" xfId="0" applyNumberFormat="1" applyFont="1" applyFill="1" applyBorder="1" applyAlignment="1">
      <alignment vertical="center"/>
    </xf>
    <xf numFmtId="0" fontId="8" fillId="7" borderId="1" xfId="0" applyFont="1" applyFill="1" applyBorder="1" applyAlignment="1" applyProtection="1">
      <alignment horizontal="center" vertical="center" wrapText="1"/>
      <protection locked="0"/>
    </xf>
    <xf numFmtId="0" fontId="7" fillId="7" borderId="1" xfId="0" applyFont="1" applyFill="1" applyBorder="1" applyAlignment="1" applyProtection="1">
      <protection locked="0"/>
    </xf>
    <xf numFmtId="0" fontId="7" fillId="7" borderId="1" xfId="0" applyFont="1" applyFill="1" applyBorder="1" applyAlignment="1" applyProtection="1">
      <alignment horizontal="left" vertical="center"/>
      <protection locked="0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/>
  </cellXfs>
  <cellStyles count="2">
    <cellStyle name="Normal" xfId="0" builtinId="0"/>
    <cellStyle name="Normal 2" xfId="1"/>
  </cellStyles>
  <dxfs count="2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pivotCacheDefinition" Target="pivotCache/pivotCacheDefinition1.xml"/><Relationship Id="rId26" Type="http://schemas.openxmlformats.org/officeDocument/2006/relationships/pivotCacheDefinition" Target="pivotCache/pivotCacheDefinition9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pivotCacheDefinition" Target="pivotCache/pivotCacheDefinition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pivotCacheDefinition" Target="pivotCache/pivotCacheDefinition3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7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pivotCacheDefinition" Target="pivotCache/pivotCacheDefinition6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pivotCacheDefinition" Target="pivotCache/pivotCacheDefinition5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balseca\AppData\Local\Microsoft\Windows\INetCache\Content.Outlook\SEB2ZE7P\Copia%20de%2001%20Muestra%20establecimientos%20CAB-SIPP%20AC%20CAMPO_sep_2024%20(Autoguardado)%20(00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balseca\AppData\Local\Microsoft\Windows\INetCache\Content.Outlook\SEB2ZE7P\Muestra%20establecimientos%20CAB-SIPP%20AC%20CAMPO_sep_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jvargas\Documents\CAB\MUESTRA\Copia%20de%2001%20Muestra%20establecimientos%20CAB-SIPP%20AC%20CAMPO_sep_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balseca\AppData\Local\Microsoft\Windows\INetCache\Content.Outlook\SEB2ZE7P\Copia%20de%2001%20Muestra%20establecimientos%20CAB-SIPP%20AC%20CAMPO_sep_2024_Maritza%20(003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balseca\AppData\Local\Microsoft\Windows\INetCache\Content.Outlook\SEB2ZE7P\9.Matriz_nacional_de_especificaciones_CABSIPP_2024_09_01%20(003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guerra\Desktop\ADRIAN\Ejercicio%20de%20muestreo\Muestra%20establecimientos%20CAB-SIPP%20AC%20CAMPO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Formulario Original"/>
      <sheetName val="Catálogo de productos"/>
      <sheetName val="Formulario Dist"/>
      <sheetName val="SI-N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Formulario Original"/>
      <sheetName val="Catálogo de productos"/>
      <sheetName val="Formulario Dist"/>
      <sheetName val="SI-NO"/>
    </sheetNames>
    <sheetDataSet>
      <sheetData sheetId="0" refreshError="1"/>
      <sheetData sheetId="1" refreshError="1"/>
      <sheetData sheetId="2"/>
      <sheetData sheetId="3" refreshError="1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Formulario Original"/>
      <sheetName val="Catálogo de productos"/>
      <sheetName val="Formulario Dist"/>
      <sheetName val="SI-NO"/>
    </sheetNames>
    <sheetDataSet>
      <sheetData sheetId="0"/>
      <sheetData sheetId="1"/>
      <sheetData sheetId="2">
        <row r="2">
          <cell r="A2" t="str">
            <v>Cód Artículo(CPC 11 DIG)</v>
          </cell>
        </row>
      </sheetData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Formulario Original"/>
      <sheetName val="Catálogo de productos"/>
      <sheetName val="Formulario Dist"/>
      <sheetName val="SI-N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Formulario Original"/>
      <sheetName val="Catalogo de productos "/>
      <sheetName val="Formulario Dist"/>
      <sheetName val="SI-N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Formulario Original"/>
      <sheetName val="Catálogo de productos"/>
      <sheetName val="Formulario Dist"/>
      <sheetName val="SI-NO"/>
    </sheetNames>
    <sheetDataSet>
      <sheetData sheetId="0"/>
      <sheetData sheetId="1"/>
      <sheetData sheetId="2"/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NEC Adrian Guerra" refreshedDate="45678.443672337962" createdVersion="6" refreshedVersion="6" minRefreshableVersion="3" recordCount="137">
  <cacheSource type="worksheet">
    <worksheetSource ref="A1:B138" sheet="Hoja6"/>
  </cacheSource>
  <cacheFields count="2">
    <cacheField name="Código CPC 11 dígitos producto 1" numFmtId="49">
      <sharedItems count="78">
        <s v="29330.01.99.01"/>
        <s v="35322.01.02.01"/>
        <s v="37210.00.06.01"/>
        <s v="21535.00.00.01"/>
        <s v="36940.01.02.01"/>
        <s v="21545.00.00.01"/>
        <s v="35110.01.01.01"/>
        <s v="23670.01.02.01"/>
        <s v="32193.01.02.01"/>
        <s v="26790.99.01.01"/>
        <s v="26630.09.99.01"/>
        <s v="35322.01.99.01"/>
        <s v="28210.00.00.02"/>
        <s v="41241.00.01.01"/>
        <s v="27110.01.03.01"/>
        <s v="21550.00.02.01"/>
        <s v="38998.00.00.01"/>
        <s v="36120.00.01.01"/>
        <s v="42190.02.09.01"/>
        <s v="44821.00.06.01"/>
        <s v="26410.02.03.01"/>
        <s v="27310.00.04.01"/>
        <s v="35323.01.01.01"/>
        <s v="35323.04.01.01"/>
        <s v="46340.02.03.01"/>
        <s v="23220.01.02.01"/>
        <s v="37930.00.03.01"/>
        <s v="42190.02.15.01"/>
        <s v="26790.01.99.01"/>
        <s v="27120.17.05.01"/>
        <s v="23995.01.02.01"/>
        <s v="35110.02.07.01"/>
        <s v="35250.08.03.01"/>
        <s v="35260.00.00.01"/>
        <s v="32193.04.03.01"/>
        <s v="26410.02.02.01"/>
        <s v="42210.00.04.01"/>
        <s v="34659.00.99.01"/>
        <s v="37570.00.02.01"/>
        <s v="34710.01.03.01"/>
        <s v="41251.00.03.01"/>
        <s v="29520.99.07.01"/>
        <s v="34240.02.09.01"/>
        <s v="42912.03.16.01"/>
        <s v="23670.01.01.01"/>
        <s v="32193.03.02.01"/>
        <s v="35333.00.04.01"/>
        <s v="28210.00.00.01"/>
        <s v="35321.01.04.01"/>
        <s v="42943.00.04.01"/>
        <s v="44817.03.07.01"/>
        <s v="01491.00.01.01"/>
        <s v="42942.02.01.01"/>
        <s v="23996.01.99.01"/>
        <s v="37940.00.03.01"/>
        <s v="42190.02.16.01"/>
        <s v="23995.01.14.01"/>
        <s v="35110.02.09.01"/>
        <s v="35323.04.06.01"/>
        <s v="32193.04.04.01"/>
        <s v="26410.04.02.01"/>
        <s v="21541.00.00.01"/>
        <s v="35130.00.99.01"/>
        <s v="28210.00.00.03"/>
        <s v="35323.06.00.01"/>
        <s v="23996.03.00.01"/>
        <s v="15330.01.01.01"/>
        <s v="23995.99.00.01"/>
        <s v="35260.00.00.04"/>
        <s v="35321.01.01.01"/>
        <s v="23999.01.01.01"/>
        <s v="23995.01.01.01"/>
        <s v="35250.32.99.01"/>
        <s v="42110.00.01.01"/>
        <s v="35321.01.02.01"/>
        <s v="23999.01.04.01"/>
        <s v="35260.00.00.19"/>
        <s v="35323.02.18.01"/>
      </sharedItems>
    </cacheField>
    <cacheField name="Producto 1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INEC Adrian Guerra" refreshedDate="45678.451824074073" createdVersion="6" refreshedVersion="6" minRefreshableVersion="3" recordCount="29">
  <cacheSource type="worksheet">
    <worksheetSource ref="A2:B31" sheet="Hoja7"/>
  </cacheSource>
  <cacheFields count="2">
    <cacheField name="Código CPC 11 dígitos producto 1" numFmtId="0">
      <sharedItems count="24">
        <s v="29330.01.01.01"/>
        <s v="24131.02.01.01"/>
        <s v="26790.99.01.01"/>
        <s v="29120.02.02.01"/>
        <s v="35260.00.00.08"/>
        <s v="26790.01.99.01"/>
        <s v="29320.99.99.01"/>
        <s v="28225.01.02.01"/>
        <s v="26630.09.99.01"/>
        <s v="29330.01.99.01"/>
        <s v="24131.03.01.01"/>
        <s v="28222.03.01.01"/>
        <s v="35260.00.00.05"/>
        <s v="28234.01.99.01"/>
        <s v="24131.04.00.01"/>
        <s v="35260.00.00.14"/>
        <s v="29520.99.07.01"/>
        <s v="28222.01.02.01"/>
        <s v="24131.05.99.01"/>
        <s v="28224.03.01.01"/>
        <s v="35260.00.00.15"/>
        <s v="29310.00.02.01"/>
        <s v="35260.00.00.07"/>
        <s v="28225.01.01.01"/>
      </sharedItems>
    </cacheField>
    <cacheField name="Producto 1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INEC Adrian Guerra" refreshedDate="45678.460905324071" createdVersion="6" refreshedVersion="6" minRefreshableVersion="3" recordCount="137">
  <cacheSource type="worksheet">
    <worksheetSource ref="B2:C139" sheet="Hoja8"/>
  </cacheSource>
  <cacheFields count="2">
    <cacheField name="Código CPC 11 dígitos producto 1" numFmtId="0">
      <sharedItems count="84">
        <s v="35250.08.03.01"/>
        <s v="35110.01.03.01"/>
        <s v="35250.07.03.01"/>
        <s v="32193.04.04.01"/>
        <s v="23999.04.00.01"/>
        <s v="21255.00.02.01 "/>
        <s v="42931.00.04.01"/>
        <s v="46340.02.03.01"/>
        <s v="42190.02.17.01"/>
        <s v="42190.02.04.01 "/>
        <s v="31102.01.02.01 "/>
        <s v="36490.00.03.01"/>
        <s v="35323.04.06.01"/>
        <s v="21525.04.00.01"/>
        <s v="35110.01.02.02 "/>
        <s v="35322.01.02.01"/>
        <s v="35331.00.03.01"/>
        <s v="21250.01.01.01"/>
        <s v="21219.00.99.01 "/>
        <s v="37540.00.07.01"/>
        <s v="32193.01.02.01"/>
        <s v="37540.00.05.01"/>
        <s v="16330.00.01.01"/>
        <s v="24131.05.06.01"/>
        <s v="37191.00.01.01"/>
        <s v="21539.00.02.01"/>
        <s v="21535.00.00.01"/>
        <s v="34663.00.18.01"/>
        <s v="36950.00.02.01"/>
        <s v="35323.06.00.01"/>
        <s v="21255.00.02.02"/>
        <s v="21651.00.00.01"/>
        <s v="42190.02.04.01"/>
        <s v="21255.00.02.01"/>
        <s v="35260.41.99.01"/>
        <s v="35499.10.03.01"/>
        <s v="35260.31.99.01"/>
        <s v="34661.07.04.01"/>
        <s v="21215.00.01.01"/>
        <s v="35250.32.01.01"/>
        <s v="21255.00.02.02 "/>
        <s v="21291.00.01.01"/>
        <s v="32193.03.02.01"/>
        <s v="41213.00.06.01"/>
        <s v="21545.00.00.01"/>
        <s v="35322.01.01.01"/>
        <s v="21525.04.00.01 "/>
        <s v="29330.01.01.01"/>
        <s v="35110.02.09.01"/>
        <s v="35110.01.01.01"/>
        <s v="35323.02.18.01"/>
        <s v="46340.01.01.01"/>
        <s v="35322.01.99.01"/>
        <s v="35321.01.02.01"/>
        <s v="37540.00.99.01"/>
        <s v="24131.05.99.01"/>
        <s v="37191.00.03.01"/>
        <s v="34669.00.00.01"/>
        <s v="35321.01.03.01"/>
        <s v="21691.00.02.01"/>
        <s v="35260.35.99.01"/>
        <s v="35250.15.00.01"/>
        <s v="34662.99.08.01"/>
        <s v="21222.00.03.01"/>
        <s v="36490.00.03.02"/>
        <s v="21291.00.02.01"/>
        <s v="32193.04.03.01"/>
        <s v="41251.00.02.01"/>
        <s v="32193.04.01.01"/>
        <s v="35490.10.03.01"/>
        <s v="35110.02.07.01"/>
        <s v="35260.39.99.01"/>
        <s v="34240.02.09.01"/>
        <s v="24211.01.00.01"/>
        <s v="34659.00.04.01"/>
        <s v="35260.57.27.01"/>
        <s v="41251.00.03.01"/>
        <s v="21222.00.02.01"/>
        <s v="35420.07.02.01"/>
        <s v="35260.68.99.01"/>
        <s v="36490.00.05.01"/>
        <s v="35321.01.04.01"/>
        <s v="35260.57.02.01"/>
        <s v="35321.01.01.01"/>
      </sharedItems>
    </cacheField>
    <cacheField name="Producto 1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INEC Adrian Guerra" refreshedDate="45678.473737962966" createdVersion="6" refreshedVersion="6" minRefreshableVersion="3" recordCount="52">
  <cacheSource type="worksheet">
    <worksheetSource ref="A1:B53" sheet="Hoja9"/>
  </cacheSource>
  <cacheFields count="2">
    <cacheField name="Código CPC 11 dígitos producto 1" numFmtId="0">
      <sharedItems count="37">
        <s v="44817.03.07.01"/>
        <s v="33500.10.02.01"/>
        <s v="37540.00.01.01"/>
        <s v="24131.04.00.01"/>
        <s v="23995.04.01.01"/>
        <s v="27180.06.00.01"/>
        <s v="04210.03.02.01"/>
        <s v="44811.01.01.01"/>
        <s v="21250.01.01.02"/>
        <s v="23995.01.02.01"/>
        <s v="26790.99.01.01"/>
        <s v="36111.00.01.01"/>
        <s v="42912.03.21.01"/>
        <s v="44821.00.06.01"/>
        <s v="34710.01.03.01"/>
        <s v="37690.00.01.01"/>
        <s v="24211.01.00.01"/>
        <s v="23999.03.01.01"/>
        <s v="27120.17.05.01"/>
        <s v="21250.01.01.01"/>
        <s v="23995.01.14.01"/>
        <s v="42220.00.02.01"/>
        <s v="35110.01.01.01"/>
        <s v="24131.02.01.01"/>
        <s v="23999.03.05.01"/>
        <s v="24131.03.01.01"/>
        <s v="35490.10.99.01"/>
        <s v="36111.00.02.01"/>
        <s v="35110.01.02.02"/>
        <s v="23999.03.02.01"/>
        <s v="23995.99.00.01"/>
        <s v="35490.10.03.01"/>
        <s v="35110.02.07.01"/>
        <s v="23913.01.01.01"/>
        <s v="23995.03.00.01"/>
        <s v="37510.00.99.01"/>
        <s v="36113.01.02.01"/>
      </sharedItems>
    </cacheField>
    <cacheField name="Producto 1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INEC Adrian Guerra" refreshedDate="45678.486078009257" createdVersion="6" refreshedVersion="6" minRefreshableVersion="3" recordCount="131">
  <cacheSource type="worksheet">
    <worksheetSource ref="B2:C133" sheet="Hoja10"/>
  </cacheSource>
  <cacheFields count="2">
    <cacheField name="Código CPC 11 dígitos producto 1" numFmtId="0">
      <sharedItems count="70">
        <s v="23670.01.02.01"/>
        <s v="23924.00.04.01"/>
        <s v="28210.00.00.01"/>
        <s v="31600.00.00.06"/>
        <s v="32193.03.02.01"/>
        <s v="37510.00.99.01"/>
        <s v="21535.00.00.01"/>
        <s v="21495.01.01.01"/>
        <s v="38993.00.99.01"/>
        <s v="42110.00.02.01"/>
        <s v="21210.00.02.02"/>
        <s v="23995.01.02.01"/>
        <s v="26790.99.01.01"/>
        <s v="26410.02.03.01"/>
        <s v="26790.01.99.01"/>
        <s v="27120.17.05.01"/>
        <s v="29330.01.01.01"/>
        <s v="29520.99.07.01"/>
        <s v="35110.01.01.01"/>
        <s v="35322.01.01.01"/>
        <s v="35250.08.03.01"/>
        <s v="23620.01.01.01"/>
        <s v="37940.00.03.01"/>
        <s v="42931.00.04.01"/>
        <s v="36490.00.99.01"/>
        <s v="28224.03.01.01"/>
        <s v="34659.00.99.01"/>
        <s v="34661.07.04.01"/>
        <s v="35321.01.12.01"/>
        <s v="35260.39.99"/>
        <s v="21499.06.05.01"/>
        <s v="23995.01.13.01"/>
        <s v="27180.06.00.01"/>
        <s v="38140.02.01.01"/>
        <s v="35331.00.03.01"/>
        <s v="36990.00.02.01"/>
        <s v="23710.01.01.01"/>
        <s v="28210.00.00.02"/>
        <s v="31600.00.00.04"/>
        <s v="21210.00.99.01"/>
        <s v="23995.04.01.01"/>
        <s v="27180.01.01.01"/>
        <s v="29330.01.99.01"/>
        <s v="35322.01.02.01"/>
        <s v="35323.02.99.01"/>
        <s v="35260.63.17.01"/>
        <s v="21499.99.00.01"/>
        <s v="23995.01.01.01"/>
        <s v="27110.01.03.01"/>
        <s v="34240.02.09.01"/>
        <s v="21250.01.01.02"/>
        <s v="35110.02.09.01"/>
        <s v="35322.01.99.01"/>
        <s v="28224.04.02.01"/>
        <s v="35250.15.00"/>
        <s v="32700.00.12.01"/>
        <s v="23995.04.02.01"/>
        <s v="28210.00.00.04"/>
        <s v="35260.35.99.01"/>
        <s v="35321.01.03.01"/>
        <s v="24131.01.05.01"/>
        <s v="35110.01.02.01"/>
        <s v="43913.01.04.01"/>
        <s v="24131.03.01.01"/>
        <s v="44811.01.01.01"/>
        <s v="24131.04.00.01"/>
        <s v="44821.00.06.01"/>
        <s v="24211.01.00.01"/>
        <s v="44821.00.07.01"/>
        <s v="44821.00.10.01"/>
      </sharedItems>
    </cacheField>
    <cacheField name="Producto 1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INEC Adrian Guerra" refreshedDate="45678.492643750003" createdVersion="6" refreshedVersion="6" minRefreshableVersion="3" recordCount="78">
  <cacheSource type="worksheet">
    <worksheetSource ref="A2:B80" sheet="Hoja11"/>
  </cacheSource>
  <cacheFields count="2">
    <cacheField name="Código CPC 11 dígitos producto 1" numFmtId="0">
      <sharedItems count="53">
        <s v="21499.99.00.01"/>
        <s v="23110.00.02.01"/>
        <s v="24131.02.01.01"/>
        <s v="28225.01.02.01"/>
        <s v="29120.02.02.01"/>
        <s v="21151.00.99.01"/>
        <s v="35321.01.03.01"/>
        <s v="37690.00.01.01"/>
        <s v="42190.02.01.01"/>
        <s v="44821.00.07.01"/>
        <s v="24490.00.01.01"/>
        <s v="26790.01.99.01"/>
        <s v="29520.99.07.01"/>
        <s v="28224.03.01.01"/>
        <s v="28210.00.00.04"/>
        <s v="29320.99.02.01"/>
        <s v="24410.00.01.01"/>
        <s v="24211.01.00.01"/>
        <s v="28234.01.99.01"/>
        <s v="35322.01.01.01"/>
        <s v="37540.00.07.01"/>
        <s v="44821.00.10.01"/>
        <s v="23995.01.13.01"/>
        <s v="27120.17.05.01"/>
        <s v="26790.99.01.01"/>
        <s v="28222.03.01.01"/>
        <s v="28210.00.00.02"/>
        <s v="21499.06.05.01"/>
        <s v="28222.01.02.01"/>
        <s v="35322.01.02.01"/>
        <s v="37540.00.05.01"/>
        <s v="28210.00.00.03"/>
        <s v="35322.01.99.01"/>
        <s v="21494.01.01.01"/>
        <s v="28225.01.01.01"/>
        <s v="28221.03.02.01"/>
        <s v="34659.00.99.01"/>
        <s v="36490.00.05.01"/>
        <s v="27310.00.04.01"/>
        <s v="37114.00.99.01"/>
        <s v="26410.02.02.01"/>
        <s v="29340.01.02.01"/>
        <s v="35250.07.03.01"/>
        <s v="23120.02.00.01"/>
        <s v="21179.01.07.01"/>
        <s v="28233.02.05.01"/>
        <s v="35260.00.00.21"/>
        <s v="28224.01.02.01"/>
        <s v="36320.02.02.01"/>
        <s v="23120.03.01.01"/>
        <s v="35323.02.18.01"/>
        <s v="23170.00.03.01"/>
        <s v="35323.02.99.01"/>
      </sharedItems>
    </cacheField>
    <cacheField name="Producto 1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INEC Adrian Guerra" refreshedDate="45678.497055324071" createdVersion="6" refreshedVersion="6" minRefreshableVersion="3" recordCount="17">
  <cacheSource type="worksheet">
    <worksheetSource ref="A1:B18" sheet="Hoja12"/>
  </cacheSource>
  <cacheFields count="2">
    <cacheField name="Código CPC 11 dígitos producto 1" numFmtId="0">
      <sharedItems count="11">
        <s v="35323.02.07.01"/>
        <s v="37940.00.03.01"/>
        <s v="42931.00.01.01"/>
        <s v="21291.00.01.01"/>
        <s v="42210.00.04.01"/>
        <s v="23999.04.00.01"/>
        <s v="31100.05.02.01"/>
        <s v="35331.00.03.01"/>
        <s v="37510.00.99.01"/>
        <s v="21535.00.00.01"/>
        <s v="35130.00.99.01"/>
      </sharedItems>
    </cacheField>
    <cacheField name="Producto 1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freshedBy="INEC Adrian Guerra" refreshedDate="45678.502184953701" createdVersion="6" refreshedVersion="6" minRefreshableVersion="3" recordCount="35">
  <cacheSource type="worksheet">
    <worksheetSource ref="A2:B37" sheet="Hoja13"/>
  </cacheSource>
  <cacheFields count="2">
    <cacheField name="Código CPC 11 dígitos producto 1" numFmtId="0">
      <sharedItems count="21">
        <s v="23925.00.01.01"/>
        <s v="34240.02.09.01"/>
        <s v="37191.00.03.01"/>
        <s v="23170.00.03.01"/>
        <s v="23140.03.00.01"/>
        <s v="27120.17.05.01"/>
        <s v="37540.00.07.01"/>
        <s v="44821.00.07.01"/>
        <s v="27180.06.00.01"/>
        <s v="42190.02.04.01"/>
        <s v="23995.04.01.01"/>
        <s v="23120.02.00.01"/>
        <s v="23924.00.04.01"/>
        <s v="35321.01.03.01"/>
        <s v="35110.02.07.01"/>
        <s v="35490.10.03.01"/>
        <s v="36310.00.01.01"/>
        <s v="37510.00.99.01"/>
        <s v="44821.00.10.01"/>
        <s v="35322.01.01.01"/>
        <s v="35490.10.99.01"/>
      </sharedItems>
    </cacheField>
    <cacheField name="Producto 1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r:id="rId1" refreshedBy="INEC Adrian Guerra" refreshedDate="45678.576706944441" createdVersion="6" refreshedVersion="6" minRefreshableVersion="3" recordCount="616">
  <cacheSource type="worksheet">
    <worksheetSource ref="A1:B617" sheet="Hoja14"/>
  </cacheSource>
  <cacheFields count="2">
    <cacheField name="Código CPC 11 dígitos producto 1" numFmtId="0">
      <sharedItems count="234">
        <s v="29330.01.99.01"/>
        <s v="35322.01.02.01"/>
        <s v="37210.00.06.01"/>
        <s v="21535.00.00.01"/>
        <s v="36940.01.02.01"/>
        <s v="21545.00.00.01"/>
        <s v="35110.01.01.01"/>
        <s v="23670.01.02.01"/>
        <s v="32193.01.02.01"/>
        <s v="26790.99.01.01"/>
        <s v="26630.09.99.01"/>
        <s v="35322.01.99.01"/>
        <s v="28210.00.00.02"/>
        <s v="41241.00.01.01"/>
        <s v="27110.01.03.01"/>
        <s v="21550.00.02.01"/>
        <s v="38998.00.00.01"/>
        <s v="36120.00.01.01"/>
        <s v="42190.02.09.01"/>
        <s v="44821.00.06.01"/>
        <s v="26410.02.03.01"/>
        <s v="27310.00.04.01"/>
        <s v="35323.01.01.01"/>
        <s v="35323.04.01.01"/>
        <s v="46340.02.03.01"/>
        <s v="23220.01.02.01"/>
        <s v="37930.00.03.01"/>
        <s v="42190.02.15.01"/>
        <s v="26790.01.99.01"/>
        <s v="27120.17.05.01"/>
        <s v="23995.01.02.01"/>
        <s v="35110.02.07.01"/>
        <s v="35250.08.03.01"/>
        <s v="35260.00.00.01"/>
        <s v="32193.04.03.01"/>
        <s v="26410.02.02.01"/>
        <s v="42210.00.04.01"/>
        <s v="34659.00.99.01"/>
        <s v="37570.00.02.01"/>
        <s v="34710.01.03.01"/>
        <s v="41251.00.03.01"/>
        <s v="29520.99.07.01"/>
        <s v="34240.02.09.01"/>
        <s v="42912.03.16.01"/>
        <s v="23670.01.01.01"/>
        <s v="32193.03.02.01"/>
        <s v="35333.00.04.01"/>
        <s v="28210.00.00.01"/>
        <s v="35321.01.04.01"/>
        <s v="42943.00.04.01"/>
        <s v="44817.03.07.01"/>
        <s v="01491.00.01.01"/>
        <s v="42942.02.01.01"/>
        <s v="23996.01.99.01"/>
        <s v="37940.00.03.01"/>
        <s v="42190.02.16.01"/>
        <s v="23995.01.14.01"/>
        <s v="35110.02.09.01"/>
        <s v="35323.04.06.01"/>
        <s v="32193.04.04.01"/>
        <s v="26410.04.02.01"/>
        <s v="21541.00.00.01"/>
        <s v="35130.00.99.01"/>
        <s v="28210.00.00.03"/>
        <s v="35323.06.00.01"/>
        <s v="23996.03.00.01"/>
        <s v="15330.01.01.01"/>
        <s v="23995.99.00.01"/>
        <s v="35260.00.00.04"/>
        <s v="35321.01.01.01"/>
        <s v="23999.01.01.01"/>
        <s v="23995.01.01.01"/>
        <s v="35250.32.99.01"/>
        <s v="42110.00.01.01"/>
        <s v="35321.01.02.01"/>
        <s v="23999.01.04.01"/>
        <s v="35260.00.00.19"/>
        <s v="35323.02.18.01"/>
        <s v="29330.01.01.01"/>
        <s v="24131.02.01.01"/>
        <s v="29120.02.02.01"/>
        <s v="35260.00.00.08"/>
        <s v="29320.99.99.01"/>
        <s v="28225.01.02.01"/>
        <s v="24131.03.01.01"/>
        <s v="28222.03.01.01"/>
        <s v="35260.00.00.05"/>
        <s v="28234.01.99.01"/>
        <s v="24131.04.00.01"/>
        <s v="35260.00.00.14"/>
        <s v="28222.01.02.01"/>
        <s v="24131.05.99.01"/>
        <s v="28224.03.01.01"/>
        <s v="35260.00.00.15"/>
        <s v="29310.00.02.01"/>
        <s v="35260.00.00.07"/>
        <s v="28225.01.01.01"/>
        <s v="35110.01.03.01"/>
        <s v="35250.07.03.01"/>
        <s v="23999.04.00.01"/>
        <s v="21255.00.02.01 "/>
        <s v="42931.00.04.01"/>
        <s v="42190.02.17.01"/>
        <s v="42190.02.04.01 "/>
        <s v="31102.01.02.01 "/>
        <s v="36490.00.03.01"/>
        <s v="21525.04.00.01"/>
        <s v="35110.01.02.02 "/>
        <s v="35331.00.03.01"/>
        <s v="21250.01.01.01"/>
        <s v="21219.00.99.01 "/>
        <s v="37540.00.07.01"/>
        <s v="37540.00.05.01"/>
        <s v="16330.00.01.01"/>
        <s v="24131.05.06.01"/>
        <s v="37191.00.01.01"/>
        <s v="21539.00.02.01"/>
        <s v="34663.00.18.01"/>
        <s v="36950.00.02.01"/>
        <s v="21255.00.02.02"/>
        <s v="21651.00.00.01"/>
        <s v="42190.02.04.01"/>
        <s v="21255.00.02.01"/>
        <s v="35260.41.99.01"/>
        <s v="35499.10.03.01"/>
        <s v="35260.31.99.01"/>
        <s v="34661.07.04.01"/>
        <s v="21215.00.01.01"/>
        <s v="35250.32.01.01"/>
        <s v="21255.00.02.02 "/>
        <s v="21291.00.01.01"/>
        <s v="41213.00.06.01"/>
        <s v="35322.01.01.01"/>
        <s v="21525.04.00.01 "/>
        <s v="46340.01.01.01"/>
        <s v="37540.00.99.01"/>
        <s v="37191.00.03.01"/>
        <s v="34669.00.00.01"/>
        <s v="35321.01.03.01"/>
        <s v="21691.00.02.01"/>
        <s v="35260.35.99.01"/>
        <s v="35250.15.00.01"/>
        <s v="34662.99.08.01"/>
        <s v="21222.00.03.01"/>
        <s v="36490.00.03.02"/>
        <s v="21291.00.02.01"/>
        <s v="41251.00.02.01"/>
        <s v="32193.04.01.01"/>
        <s v="35490.10.03.01"/>
        <s v="35260.39.99.01"/>
        <s v="24211.01.00.01"/>
        <s v="34659.00.04.01"/>
        <s v="35260.57.27.01"/>
        <s v="21222.00.02.01"/>
        <s v="35420.07.02.01"/>
        <s v="35260.68.99.01"/>
        <s v="36490.00.05.01"/>
        <s v="35260.57.02.01"/>
        <s v="33500.10.02.01"/>
        <s v="37540.00.01.01"/>
        <s v="23995.04.01.01"/>
        <s v="27180.06.00.01"/>
        <s v="04210.03.02.01"/>
        <s v="44811.01.01.01"/>
        <s v="21250.01.01.02"/>
        <s v="36111.00.01.01"/>
        <s v="42912.03.21.01"/>
        <s v="37690.00.01.01"/>
        <s v="23999.03.01.01"/>
        <s v="42220.00.02.01"/>
        <s v="23999.03.05.01"/>
        <s v="35490.10.99.01"/>
        <s v="36111.00.02.01"/>
        <s v="35110.01.02.02"/>
        <s v="23999.03.02.01"/>
        <s v="23913.01.01.01"/>
        <s v="23995.03.00.01"/>
        <s v="37510.00.99.01"/>
        <s v="36113.01.02.01"/>
        <s v="23924.00.04.01"/>
        <s v="31600.00.00.06"/>
        <s v="21495.01.01.01"/>
        <s v="38993.00.99.01"/>
        <s v="42110.00.02.01"/>
        <s v="21210.00.02.02"/>
        <s v="23620.01.01.01"/>
        <s v="36490.00.99.01"/>
        <s v="35321.01.12.01"/>
        <s v="35260.39.99"/>
        <s v="21499.06.05.01"/>
        <s v="23995.01.13.01"/>
        <s v="38140.02.01.01"/>
        <s v="36990.00.02.01"/>
        <s v="23710.01.01.01"/>
        <s v="31600.00.00.04"/>
        <s v="21210.00.99.01"/>
        <s v="27180.01.01.01"/>
        <s v="35323.02.99.01"/>
        <s v="35260.63.17.01"/>
        <s v="21499.99.00.01"/>
        <s v="28224.04.02.01"/>
        <s v="35250.15.00"/>
        <s v="32700.00.12.01"/>
        <s v="23995.04.02.01"/>
        <s v="28210.00.00.04"/>
        <s v="24131.01.05.01"/>
        <s v="35110.01.02.01"/>
        <s v="43913.01.04.01"/>
        <s v="44821.00.07.01"/>
        <s v="44821.00.10.01"/>
        <s v="23110.00.02.01"/>
        <s v="21151.00.99.01"/>
        <s v="42190.02.01.01"/>
        <s v="24490.00.01.01"/>
        <s v="29320.99.02.01"/>
        <s v="24410.00.01.01"/>
        <s v="21494.01.01.01"/>
        <s v="28221.03.02.01"/>
        <s v="37114.00.99.01"/>
        <s v="29340.01.02.01"/>
        <s v="23120.02.00.01"/>
        <s v="21179.01.07.01"/>
        <s v="28233.02.05.01"/>
        <s v="35260.00.00.21"/>
        <s v="28224.01.02.01"/>
        <s v="36320.02.02.01"/>
        <s v="23120.03.01.01"/>
        <s v="23170.00.03.01"/>
        <s v="35323.02.07.01"/>
        <s v="42931.00.01.01"/>
        <s v="31100.05.02.01"/>
        <s v="23925.00.01.01"/>
        <s v="23140.03.00.01"/>
        <s v="36310.00.01.01"/>
      </sharedItems>
    </cacheField>
    <cacheField name="Producto 1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7">
  <r>
    <x v="0"/>
    <s v="ZAPATOS DE CUERO PARA HOMBRE Y MUJER"/>
  </r>
  <r>
    <x v="1"/>
    <s v="DETERGENTE DE ROPA"/>
  </r>
  <r>
    <x v="2"/>
    <s v="INODORO"/>
  </r>
  <r>
    <x v="3"/>
    <s v="ACEITE CRUDO DE PALMA AFRICANA"/>
  </r>
  <r>
    <x v="4"/>
    <s v="TARRINAS Y VASOS DE PLÁSTICO"/>
  </r>
  <r>
    <x v="5"/>
    <s v="ACEITE VEGETAL"/>
  </r>
  <r>
    <x v="6"/>
    <s v="PINTURA"/>
  </r>
  <r>
    <x v="7"/>
    <s v="CARAMELOS"/>
  </r>
  <r>
    <x v="8"/>
    <s v="PAPEL HIGIÉNICO"/>
  </r>
  <r>
    <x v="9"/>
    <s v="TELA DE PUNTO POLIESTER"/>
  </r>
  <r>
    <x v="10"/>
    <s v="TELA DE ALGODÓN CON FIBRA SINTÉTICA"/>
  </r>
  <r>
    <x v="11"/>
    <s v="SUAVIZANTE DE ROPA"/>
  </r>
  <r>
    <x v="12"/>
    <s v="MEDIAS DE NIÑO"/>
  </r>
  <r>
    <x v="13"/>
    <s v="VARILLAS DE ACERO"/>
  </r>
  <r>
    <x v="14"/>
    <s v="COBIJA DE POLIESTER"/>
  </r>
  <r>
    <x v="15"/>
    <s v="MARGARINA"/>
  </r>
  <r>
    <x v="16"/>
    <s v="CAJA DE FÓSFOROS"/>
  </r>
  <r>
    <x v="17"/>
    <s v="NEUMÁTICOS REENCAUCHADOS"/>
  </r>
  <r>
    <x v="10"/>
    <s v="TELA DE ALGODÓN CON FIBRA SINTÉTICA"/>
  </r>
  <r>
    <x v="18"/>
    <s v="POSTES DE ACERO"/>
  </r>
  <r>
    <x v="19"/>
    <s v="COCINETA DE GAS"/>
  </r>
  <r>
    <x v="20"/>
    <s v="HILO ACRILICO"/>
  </r>
  <r>
    <x v="3"/>
    <s v="ACEITE CRUDO DE PALMA AFRICANA"/>
  </r>
  <r>
    <x v="21"/>
    <s v="CABOS SINTÉTICOS"/>
  </r>
  <r>
    <x v="22"/>
    <s v="COLONIA"/>
  </r>
  <r>
    <x v="23"/>
    <s v="PASTA DENTAL"/>
  </r>
  <r>
    <x v="24"/>
    <s v="CABLE DE COBRE"/>
  </r>
  <r>
    <x v="25"/>
    <s v="MAICENA"/>
  </r>
  <r>
    <x v="26"/>
    <s v="IMPERPOL"/>
  </r>
  <r>
    <x v="27"/>
    <s v="CUBIERTA DE ACERO"/>
  </r>
  <r>
    <x v="9"/>
    <s v="TELA DE PUNTO POLIESTER"/>
  </r>
  <r>
    <x v="28"/>
    <s v="TELA POLIESTER"/>
  </r>
  <r>
    <x v="29"/>
    <s v="TOALLAS DE BAÑO DE ALGODÓN"/>
  </r>
  <r>
    <x v="30"/>
    <s v="SALSA DE TOMATE"/>
  </r>
  <r>
    <x v="31"/>
    <s v="SELLANTE"/>
  </r>
  <r>
    <x v="8"/>
    <s v="PAPEL HIGIÉNICO"/>
  </r>
  <r>
    <x v="32"/>
    <s v="COMPLEJO B"/>
  </r>
  <r>
    <x v="33"/>
    <s v="AMPICILINA"/>
  </r>
  <r>
    <x v="34"/>
    <s v="PAÑALES DESECHABLES"/>
  </r>
  <r>
    <x v="9"/>
    <s v="TELA DE PUNTO POLIESTER"/>
  </r>
  <r>
    <x v="15"/>
    <s v="MARGARINA"/>
  </r>
  <r>
    <x v="35"/>
    <s v="HILO DE POLIÉSTER PARA TELA"/>
  </r>
  <r>
    <x v="31"/>
    <s v="SELLANTE"/>
  </r>
  <r>
    <x v="36"/>
    <s v="TANQUES DE ACERO INOXIDABLE"/>
  </r>
  <r>
    <x v="37"/>
    <s v="ABONO COMPUESTO"/>
  </r>
  <r>
    <x v="38"/>
    <s v="PLACAS ONDULADAS"/>
  </r>
  <r>
    <x v="39"/>
    <s v="RESINA"/>
  </r>
  <r>
    <x v="40"/>
    <s v="PERFIL I"/>
  </r>
  <r>
    <x v="41"/>
    <s v="CALZADO DE LONA"/>
  </r>
  <r>
    <x v="42"/>
    <s v="CLORO LIQUIDO"/>
  </r>
  <r>
    <x v="43"/>
    <s v="LAVAVO DE ALUMINIO"/>
  </r>
  <r>
    <x v="5"/>
    <s v="ACEITE VEGETAL"/>
  </r>
  <r>
    <x v="6"/>
    <s v="PINTURA"/>
  </r>
  <r>
    <x v="44"/>
    <s v="CHICLES"/>
  </r>
  <r>
    <x v="45"/>
    <s v="SERVILLETAS"/>
  </r>
  <r>
    <x v="10"/>
    <s v="TELA DE ALGODÓN CON FIBRA SINTÉTICA"/>
  </r>
  <r>
    <x v="10"/>
    <s v="TELA DE ALGODÓN CON FIBRA SINTÉTICA"/>
  </r>
  <r>
    <x v="46"/>
    <s v="CERAS PARA PISOS"/>
  </r>
  <r>
    <x v="47"/>
    <s v="MEDIAS ENTERAS PARA MUJER"/>
  </r>
  <r>
    <x v="13"/>
    <s v="VARILLAS DE ACERO"/>
  </r>
  <r>
    <x v="14"/>
    <s v="COBIJA DE POLIESTER"/>
  </r>
  <r>
    <x v="48"/>
    <s v="DESODORANTE PARA BAÑO"/>
  </r>
  <r>
    <x v="16"/>
    <s v="CAJA DE FÓSFOROS"/>
  </r>
  <r>
    <x v="17"/>
    <s v="NEUMÁTICOS REENCAUCHADOS"/>
  </r>
  <r>
    <x v="10"/>
    <s v="TELA DE ALGODÓN CON FIBRA SINTÉTICA"/>
  </r>
  <r>
    <x v="49"/>
    <s v="MALLA DE CERRAMIENTO"/>
  </r>
  <r>
    <x v="50"/>
    <s v="HORNO ELECTRICO"/>
  </r>
  <r>
    <x v="51"/>
    <s v="PALMA AFRICANA"/>
  </r>
  <r>
    <x v="21"/>
    <s v="CABOS SINTÉTICOS"/>
  </r>
  <r>
    <x v="22"/>
    <s v="COLONIA"/>
  </r>
  <r>
    <x v="23"/>
    <s v="PASTA DENTAL"/>
  </r>
  <r>
    <x v="52"/>
    <s v="ALAMBRE DE ALUMINIO SIN RECUBRIMIENTO"/>
  </r>
  <r>
    <x v="53"/>
    <s v="LEVADURA"/>
  </r>
  <r>
    <x v="54"/>
    <s v="BÍTUMEN/BETÚN (PARA CARRETERAS)"/>
  </r>
  <r>
    <x v="55"/>
    <s v="CORREAS DE ACERO"/>
  </r>
  <r>
    <x v="56"/>
    <s v="MAYONESA"/>
  </r>
  <r>
    <x v="57"/>
    <s v="DILUYENTE"/>
  </r>
  <r>
    <x v="8"/>
    <s v="PAPEL HIGIÉNICO"/>
  </r>
  <r>
    <x v="58"/>
    <s v="ENJUAGUES BUCALES"/>
  </r>
  <r>
    <x v="32"/>
    <s v="COMPLEJO B"/>
  </r>
  <r>
    <x v="59"/>
    <s v="PAÑOS HÚMEDOS"/>
  </r>
  <r>
    <x v="9"/>
    <s v="TELA DE PUNTO POLIESTER"/>
  </r>
  <r>
    <x v="5"/>
    <s v="ACEITE VEGETAL"/>
  </r>
  <r>
    <x v="60"/>
    <s v="HILO DE POLIÉSTER PARA COSER"/>
  </r>
  <r>
    <x v="57"/>
    <s v="DILUYENTE"/>
  </r>
  <r>
    <x v="36"/>
    <s v="TANQUES DE ACERO INOXIDABLE"/>
  </r>
  <r>
    <x v="38"/>
    <s v="PLACAS ONDULADAS"/>
  </r>
  <r>
    <x v="18"/>
    <s v="POSTES DE ACERO"/>
  </r>
  <r>
    <x v="42"/>
    <s v="CLORO LIQUIDO"/>
  </r>
  <r>
    <x v="61"/>
    <s v="ACEITE DE SOYA"/>
  </r>
  <r>
    <x v="62"/>
    <s v="TINTA DE COLORES"/>
  </r>
  <r>
    <x v="44"/>
    <s v="CHICLES"/>
  </r>
  <r>
    <x v="10"/>
    <s v="TELA DE ALGODÓN CON FIBRA SINTÉTICA"/>
  </r>
  <r>
    <x v="63"/>
    <s v="MEDIAS DE FÚTBOL"/>
  </r>
  <r>
    <x v="49"/>
    <s v="MALLA DE CERRAMIENTO"/>
  </r>
  <r>
    <x v="5"/>
    <s v="ACEITE VEGETAL"/>
  </r>
  <r>
    <x v="16"/>
    <s v="CAJA DE FÓSFOROS"/>
  </r>
  <r>
    <x v="17"/>
    <s v="NEUMÁTICOS REENCAUCHADOS"/>
  </r>
  <r>
    <x v="10"/>
    <s v="TELA DE ALGODÓN CON FIBRA SINTÉTICA"/>
  </r>
  <r>
    <x v="21"/>
    <s v="CABOS SINTÉTICOS"/>
  </r>
  <r>
    <x v="64"/>
    <s v="DESODORANTE"/>
  </r>
  <r>
    <x v="58"/>
    <s v="ENJUAGUES BUCALES"/>
  </r>
  <r>
    <x v="52"/>
    <s v="ALAMBRE DE ALUMINIO SIN RECUBRIMIENTO"/>
  </r>
  <r>
    <x v="65"/>
    <s v="POLVO DE HORNEAR"/>
  </r>
  <r>
    <x v="66"/>
    <s v="CEMENTO ASFALTICO"/>
  </r>
  <r>
    <x v="67"/>
    <s v="PASTA DE TOMATE"/>
  </r>
  <r>
    <x v="39"/>
    <s v="RESINA"/>
  </r>
  <r>
    <x v="45"/>
    <s v="SERVILLETAS"/>
  </r>
  <r>
    <x v="23"/>
    <s v="PASTA DENTAL"/>
  </r>
  <r>
    <x v="68"/>
    <s v="ANTIBIÓTICO"/>
  </r>
  <r>
    <x v="9"/>
    <s v="TELA DE PUNTO POLIESTER"/>
  </r>
  <r>
    <x v="6"/>
    <s v="PINTURA"/>
  </r>
  <r>
    <x v="36"/>
    <s v="TANQUES DE ACERO INOXIDABLE"/>
  </r>
  <r>
    <x v="55"/>
    <s v="CORREAS DE ACERO"/>
  </r>
  <r>
    <x v="69"/>
    <s v="JABÓN PARA LAVAR ROPA"/>
  </r>
  <r>
    <x v="69"/>
    <s v="JABÓN PARA LAVAR ROPA"/>
  </r>
  <r>
    <x v="44"/>
    <s v="CHICLES"/>
  </r>
  <r>
    <x v="10"/>
    <s v="TELA DE ALGODÓN CON FIBRA SINTÉTICA"/>
  </r>
  <r>
    <x v="47"/>
    <s v="MEDIAS ENTERAS PARA MUJER"/>
  </r>
  <r>
    <x v="69"/>
    <s v="JABÓN PARA LAVAR ROPA"/>
  </r>
  <r>
    <x v="10"/>
    <s v="TELA DE ALGODÓN CON FIBRA SINTÉTICA"/>
  </r>
  <r>
    <x v="28"/>
    <s v="TELA POLIESTER"/>
  </r>
  <r>
    <x v="64"/>
    <s v="DESODORANTE"/>
  </r>
  <r>
    <x v="52"/>
    <s v="ALAMBRE DE ALUMINIO SIN RECUBRIMIENTO"/>
  </r>
  <r>
    <x v="70"/>
    <s v="GELATINA EN POLVO"/>
  </r>
  <r>
    <x v="71"/>
    <s v="SALSA DE SOYA"/>
  </r>
  <r>
    <x v="45"/>
    <s v="SERVILLETAS"/>
  </r>
  <r>
    <x v="72"/>
    <s v="PENICILINA"/>
  </r>
  <r>
    <x v="73"/>
    <s v="PERFILES DE ACERO"/>
  </r>
  <r>
    <x v="74"/>
    <s v="JABÓN/CREMA PARA LAVAR VAJILLA"/>
  </r>
  <r>
    <x v="74"/>
    <s v="JABÓN/CREMA PARA LAVAR VAJILLA"/>
  </r>
  <r>
    <x v="28"/>
    <s v="TELA POLIESTER"/>
  </r>
  <r>
    <x v="64"/>
    <s v="DESODORANTE"/>
  </r>
  <r>
    <x v="75"/>
    <s v="FLAN EN POLVO"/>
  </r>
  <r>
    <x v="76"/>
    <s v="MEDICAMENTO ANTIFLAMATORIO"/>
  </r>
  <r>
    <x v="77"/>
    <s v="VASELINA"/>
  </r>
  <r>
    <x v="22"/>
    <s v="COLONI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9">
  <r>
    <x v="0"/>
    <s v="BOTINES DE CUERO"/>
  </r>
  <r>
    <x v="1"/>
    <s v="WHISKY"/>
  </r>
  <r>
    <x v="2"/>
    <s v="TELA DE PUNTO POLIESTER"/>
  </r>
  <r>
    <x v="3"/>
    <s v="CUERO DIVIDIDO"/>
  </r>
  <r>
    <x v="4"/>
    <s v="ANTIÁCIDOS (A02A)"/>
  </r>
  <r>
    <x v="5"/>
    <s v="TELA POLIESTER"/>
  </r>
  <r>
    <x v="6"/>
    <s v="ZAPATOS PARA MUJER"/>
  </r>
  <r>
    <x v="7"/>
    <s v="BIVIDÍ"/>
  </r>
  <r>
    <x v="8"/>
    <s v="TELA DE ALGODÓN CON FIBRA SINTÉTICA"/>
  </r>
  <r>
    <x v="9"/>
    <s v="ZAPATOS DE CUERO PARA HOMBRE Y MUJER"/>
  </r>
  <r>
    <x v="10"/>
    <s v="RON"/>
  </r>
  <r>
    <x v="11"/>
    <s v="CALZONCILLO PARA HOMBRE ALGODÓN"/>
  </r>
  <r>
    <x v="12"/>
    <s v="PARACETAMOL"/>
  </r>
  <r>
    <x v="2"/>
    <s v="TELA DE PUNTO POLIESTER"/>
  </r>
  <r>
    <x v="9"/>
    <s v="ZAPATOS DE CUERO PARA HOMBRE Y MUJER"/>
  </r>
  <r>
    <x v="13"/>
    <s v="BLUSA PARA MUJER"/>
  </r>
  <r>
    <x v="14"/>
    <s v="VODKA"/>
  </r>
  <r>
    <x v="7"/>
    <s v="BIVIDÍ"/>
  </r>
  <r>
    <x v="15"/>
    <s v="METRONIDAZOL"/>
  </r>
  <r>
    <x v="2"/>
    <s v="TELA DE PUNTO POLIESTER"/>
  </r>
  <r>
    <x v="16"/>
    <s v="CALZADO DE LONA"/>
  </r>
  <r>
    <x v="17"/>
    <s v="CAMISETA DEPORTIVA DE HOMBRE"/>
  </r>
  <r>
    <x v="18"/>
    <s v="LICORES"/>
  </r>
  <r>
    <x v="19"/>
    <s v="CALZONARIA PARA MUJER ALGODÓN"/>
  </r>
  <r>
    <x v="20"/>
    <s v="SECNIDAZOL"/>
  </r>
  <r>
    <x v="21"/>
    <s v="BOTAS DE CAUCHO"/>
  </r>
  <r>
    <x v="19"/>
    <s v="CALZONARIA PARA MUJER ALGODÓN"/>
  </r>
  <r>
    <x v="22"/>
    <s v="ANTIGRIPALES"/>
  </r>
  <r>
    <x v="23"/>
    <s v="CAMISETA DE HOMBRE DE ALGODÓN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37">
  <r>
    <x v="0"/>
    <s v="COMPLEJO B"/>
  </r>
  <r>
    <x v="1"/>
    <s v="PIGMENTOS"/>
  </r>
  <r>
    <x v="2"/>
    <s v="ÁCIDO FÓLICO"/>
  </r>
  <r>
    <x v="3"/>
    <s v="PAÑOS HÚMEDOS"/>
  </r>
  <r>
    <x v="4"/>
    <s v="SAL REFINADA"/>
  </r>
  <r>
    <x v="5"/>
    <s v="CAMARÓN CONGELADO "/>
  </r>
  <r>
    <x v="5"/>
    <s v="CAMARÓN CONGELADO "/>
  </r>
  <r>
    <x v="6"/>
    <s v="ENVASES DE HOJALATA"/>
  </r>
  <r>
    <x v="7"/>
    <s v="CABLE DE COBRE"/>
  </r>
  <r>
    <x v="8"/>
    <s v="TUBOS ESTRUCTURALES"/>
  </r>
  <r>
    <x v="9"/>
    <s v="ESTRUCTURAS METÁLICAS "/>
  </r>
  <r>
    <x v="10"/>
    <s v="BALSA"/>
  </r>
  <r>
    <x v="11"/>
    <s v="BOTELLAS PLÁSTICAS"/>
  </r>
  <r>
    <x v="12"/>
    <s v="ENJUAGUES BUCALES"/>
  </r>
  <r>
    <x v="13"/>
    <s v="ACEITE DE PESCADO"/>
  </r>
  <r>
    <x v="14"/>
    <s v="BARNIZ "/>
  </r>
  <r>
    <x v="15"/>
    <s v="DETERGENTE DE ROPA"/>
  </r>
  <r>
    <x v="16"/>
    <s v="DESODORANTE AMBIENTAL"/>
  </r>
  <r>
    <x v="2"/>
    <s v="ÁCIDO FOLICO"/>
  </r>
  <r>
    <x v="17"/>
    <s v="CAMARÓN CONGELADO"/>
  </r>
  <r>
    <x v="18"/>
    <s v="PESCADO ENTERO CONGELADO DE EXPORTACIÓN "/>
  </r>
  <r>
    <x v="19"/>
    <s v="TUBOS DE HORMIGÓN"/>
  </r>
  <r>
    <x v="20"/>
    <s v="PAPEL HIGIÉNICO"/>
  </r>
  <r>
    <x v="21"/>
    <s v="PILOTES DE HORMIGÓN"/>
  </r>
  <r>
    <x v="7"/>
    <s v="CABLE DE COBRE"/>
  </r>
  <r>
    <x v="22"/>
    <s v="CARBONATO DE CALCIO MINERÍA"/>
  </r>
  <r>
    <x v="23"/>
    <s v="CREMA DE LICOR CACAO"/>
  </r>
  <r>
    <x v="24"/>
    <s v="ENVASE DE VIDRIO GRANDE"/>
  </r>
  <r>
    <x v="25"/>
    <s v="ACEITE DE PALMISTE"/>
  </r>
  <r>
    <x v="26"/>
    <s v="ACEITE CRUDO DE PALMA AFRICANA"/>
  </r>
  <r>
    <x v="27"/>
    <s v="HERBICIDA PARA MALEZA"/>
  </r>
  <r>
    <x v="28"/>
    <s v="TANQUE PLÁSTICO"/>
  </r>
  <r>
    <x v="29"/>
    <s v="DESODORANTE"/>
  </r>
  <r>
    <x v="30"/>
    <s v="CAMARÓN CONGELADO DE EXPORTACIÓN"/>
  </r>
  <r>
    <x v="31"/>
    <s v="ACEITE CRUDO DE PALMA AFRICANA"/>
  </r>
  <r>
    <x v="32"/>
    <s v="ESTRUCTURAS METÁLICAS"/>
  </r>
  <r>
    <x v="33"/>
    <s v="CAMARÓN CONGELADO "/>
  </r>
  <r>
    <x v="34"/>
    <s v="ANALGÉSICO URINARIO"/>
  </r>
  <r>
    <x v="35"/>
    <s v="MORTERO"/>
  </r>
  <r>
    <x v="36"/>
    <s v="ANTIHIPERTENSIVOS"/>
  </r>
  <r>
    <x v="37"/>
    <s v="INSECTICIDAS AGRICOLAS"/>
  </r>
  <r>
    <x v="26"/>
    <s v="ACEITE CRUDO DE PALMA AFRICANA"/>
  </r>
  <r>
    <x v="38"/>
    <s v="ATÚN ENTERO CONGELADO"/>
  </r>
  <r>
    <x v="13"/>
    <s v="ACEITE DE PESCADO"/>
  </r>
  <r>
    <x v="39"/>
    <s v="AMOXICILINA"/>
  </r>
  <r>
    <x v="6"/>
    <s v="ENVASES DE HOJALATA"/>
  </r>
  <r>
    <x v="21"/>
    <s v="PILOTES DE HORMIGÓN"/>
  </r>
  <r>
    <x v="40"/>
    <s v="CAMARÓN CONGELADO DE EXPORTACIÓN "/>
  </r>
  <r>
    <x v="41"/>
    <s v="HARINA DE PESCADO "/>
  </r>
  <r>
    <x v="42"/>
    <s v="SERVILLETAS"/>
  </r>
  <r>
    <x v="20"/>
    <s v="PAPEL HIGIÉNICO "/>
  </r>
  <r>
    <x v="43"/>
    <s v="PLANCHAS DE ACERO ALEADO"/>
  </r>
  <r>
    <x v="44"/>
    <s v="ACEITE VEGETAL"/>
  </r>
  <r>
    <x v="38"/>
    <s v="ATÚN ENTERO CONGELADO"/>
  </r>
  <r>
    <x v="45"/>
    <s v="DESGRASANTES"/>
  </r>
  <r>
    <x v="46"/>
    <s v="ACEITE DE PESCADO "/>
  </r>
  <r>
    <x v="47"/>
    <s v="BOTINES DE CUERO "/>
  </r>
  <r>
    <x v="48"/>
    <s v="DILUYENTE"/>
  </r>
  <r>
    <x v="49"/>
    <s v="PINTURA"/>
  </r>
  <r>
    <x v="1"/>
    <s v="PIGMENTOS"/>
  </r>
  <r>
    <x v="39"/>
    <s v="AMOXICILINA"/>
  </r>
  <r>
    <x v="50"/>
    <s v="VASELINA"/>
  </r>
  <r>
    <x v="4"/>
    <s v="SAL REFINADA"/>
  </r>
  <r>
    <x v="51"/>
    <s v="CABLE DE MEDIA TENSIÓN"/>
  </r>
  <r>
    <x v="6"/>
    <s v="ENVASES DE HOJALATA"/>
  </r>
  <r>
    <x v="12"/>
    <s v="ENJUAGUES BUCALES"/>
  </r>
  <r>
    <x v="41"/>
    <s v="HARINA DE PESCADO "/>
  </r>
  <r>
    <x v="52"/>
    <s v="SUAVIZANTE DE ROPA"/>
  </r>
  <r>
    <x v="53"/>
    <s v="JABÓN/CREMA PARA LAVAR VAJILLA"/>
  </r>
  <r>
    <x v="19"/>
    <s v="TUBOS DE HORMIGÓN"/>
  </r>
  <r>
    <x v="42"/>
    <s v="SERVILLETAS"/>
  </r>
  <r>
    <x v="54"/>
    <s v="TANQUES DE CEMENTO"/>
  </r>
  <r>
    <x v="51"/>
    <s v="CABLE DE MEDIA TENSIÓN"/>
  </r>
  <r>
    <x v="55"/>
    <s v="LICORES"/>
  </r>
  <r>
    <x v="56"/>
    <s v="ENVASE DE VIDRIO PEQUEÑO"/>
  </r>
  <r>
    <x v="26"/>
    <s v="ACEITE CRUDO DE PALMA AFRICANA"/>
  </r>
  <r>
    <x v="25"/>
    <s v="ACEITE DE PALMISTE"/>
  </r>
  <r>
    <x v="57"/>
    <s v="MATAGUSANOS "/>
  </r>
  <r>
    <x v="58"/>
    <s v="JABÓN LÍQUIDO"/>
  </r>
  <r>
    <x v="59"/>
    <s v="ACEITE DE PALMISTE"/>
  </r>
  <r>
    <x v="8"/>
    <s v="TUBOS ESTRUCTURALES"/>
  </r>
  <r>
    <x v="60"/>
    <s v="ANTIGRIPALES"/>
  </r>
  <r>
    <x v="48"/>
    <s v="SOLVENTE Y DILUYENTE"/>
  </r>
  <r>
    <x v="61"/>
    <s v="MULTIVITAMÍNICO"/>
  </r>
  <r>
    <x v="62"/>
    <s v="FUNGICIDA"/>
  </r>
  <r>
    <x v="44"/>
    <s v="ACEITE VEGETAL"/>
  </r>
  <r>
    <x v="63"/>
    <s v="FILETE DE PESCADO DORADO CONGELADO"/>
  </r>
  <r>
    <x v="41"/>
    <s v="HARINA DE PESCADO"/>
  </r>
  <r>
    <x v="39"/>
    <s v="AMOXICILINA"/>
  </r>
  <r>
    <x v="64"/>
    <s v="CANECAS, BALDES PLASTICAS"/>
  </r>
  <r>
    <x v="65"/>
    <s v="HARINA DE CAMARÓN"/>
  </r>
  <r>
    <x v="66"/>
    <s v="PAÑALES DESECHABLES"/>
  </r>
  <r>
    <x v="67"/>
    <s v="PERFIL L"/>
  </r>
  <r>
    <x v="68"/>
    <s v="TOALLAS SANITARIAS"/>
  </r>
  <r>
    <x v="63"/>
    <s v="FILETE DE PESCADO DORADO CONGELADO"/>
  </r>
  <r>
    <x v="69"/>
    <s v="MORTERO"/>
  </r>
  <r>
    <x v="70"/>
    <s v="SELLANTE"/>
  </r>
  <r>
    <x v="71"/>
    <s v="ANTIÁCIDOS"/>
  </r>
  <r>
    <x v="41"/>
    <s v="HARINA DE PESCADO "/>
  </r>
  <r>
    <x v="29"/>
    <s v="DESODORANTE"/>
  </r>
  <r>
    <x v="72"/>
    <s v="CLORO LIQUIDO"/>
  </r>
  <r>
    <x v="19"/>
    <s v="TUBOS DE HORMIGÓN"/>
  </r>
  <r>
    <x v="73"/>
    <s v="VINO ESPUMANTE"/>
  </r>
  <r>
    <x v="74"/>
    <s v="ABONO COMPUESTO"/>
  </r>
  <r>
    <x v="60"/>
    <s v="ANTIGRIPALES"/>
  </r>
  <r>
    <x v="75"/>
    <s v="COLUFASE (NOITAZOXANIDA)"/>
  </r>
  <r>
    <x v="11"/>
    <s v="BOTELLAS, FRASCOS  PLÁSTICOS"/>
  </r>
  <r>
    <x v="65"/>
    <s v="HARINA DE CAMARÓN"/>
  </r>
  <r>
    <x v="20"/>
    <s v="PAPEL HIGIÉNICO"/>
  </r>
  <r>
    <x v="76"/>
    <s v="PERFIL I"/>
  </r>
  <r>
    <x v="66"/>
    <s v="PAÑALES DESECHABLES"/>
  </r>
  <r>
    <x v="77"/>
    <s v="ATUN FILETE CONGELADO "/>
  </r>
  <r>
    <x v="78"/>
    <s v="COLA BLANCA"/>
  </r>
  <r>
    <x v="48"/>
    <s v="DILUYENTE"/>
  </r>
  <r>
    <x v="60"/>
    <s v="ANTIGRIPALES"/>
  </r>
  <r>
    <x v="41"/>
    <s v="HARINA DE PESCADO "/>
  </r>
  <r>
    <x v="16"/>
    <s v="DESODORANTE AMBIENTAL"/>
  </r>
  <r>
    <x v="27"/>
    <s v="HERBICIDA PARA MALEZA"/>
  </r>
  <r>
    <x v="79"/>
    <s v="CREMA PARA LA PAÑALITIS"/>
  </r>
  <r>
    <x v="80"/>
    <s v="TAPAS PLÁSTICAS"/>
  </r>
  <r>
    <x v="3"/>
    <s v="PAÑOS HÚMEDOS"/>
  </r>
  <r>
    <x v="77"/>
    <s v="ATUN FILETE CONGELADO"/>
  </r>
  <r>
    <x v="48"/>
    <s v="DILUYENTE"/>
  </r>
  <r>
    <x v="45"/>
    <s v="DESGRASANTES"/>
  </r>
  <r>
    <x v="0"/>
    <s v="COMPLEJO B"/>
  </r>
  <r>
    <x v="81"/>
    <s v="DESODORANTE PARA BAÑO"/>
  </r>
  <r>
    <x v="57"/>
    <s v="MATAGUSANOS"/>
  </r>
  <r>
    <x v="82"/>
    <s v="METRONIDAZOL"/>
  </r>
  <r>
    <x v="83"/>
    <s v="JABÓN PARA LAVAR ROPA"/>
  </r>
  <r>
    <x v="49"/>
    <s v="PINTURA"/>
  </r>
  <r>
    <x v="41"/>
    <s v="HARINA DE PESCADO"/>
  </r>
  <r>
    <x v="41"/>
    <s v="HARINA DE PESCADO"/>
  </r>
  <r>
    <x v="25"/>
    <s v="ACEITE DE PALMISTE"/>
  </r>
  <r>
    <x v="15"/>
    <s v="DETERGENTE DE ROPA"/>
  </r>
  <r>
    <x v="13"/>
    <s v="ACEITE DE PESCADO"/>
  </r>
  <r>
    <x v="13"/>
    <s v="ACEITE DE PESCADO"/>
  </r>
  <r>
    <x v="15"/>
    <s v="DETERGENTE DE ROPA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52">
  <r>
    <x v="0"/>
    <s v="HORNO ELECTRICO"/>
  </r>
  <r>
    <x v="1"/>
    <s v="CEMENTO DE CONTACTO"/>
  </r>
  <r>
    <x v="2"/>
    <s v="BLOQUES"/>
  </r>
  <r>
    <x v="3"/>
    <s v="VODKA"/>
  </r>
  <r>
    <x v="4"/>
    <s v="ALIÑOS PREPARADOS"/>
  </r>
  <r>
    <x v="5"/>
    <s v="EDREDON"/>
  </r>
  <r>
    <x v="6"/>
    <s v="CAMARÓN FRESCO"/>
  </r>
  <r>
    <x v="7"/>
    <s v="REFRIGERADORA DOS PUERTAS"/>
  </r>
  <r>
    <x v="8"/>
    <s v="CAMARÓN CONGELADO DE EXPORTACIÓN"/>
  </r>
  <r>
    <x v="9"/>
    <s v="SALSA DE TOMATE"/>
  </r>
  <r>
    <x v="10"/>
    <s v="TELA DE PUNTO POLIESTER"/>
  </r>
  <r>
    <x v="8"/>
    <s v="CAMARÓN CONGELADO DE EXPORTACIÓN"/>
  </r>
  <r>
    <x v="2"/>
    <s v="BLOQUES"/>
  </r>
  <r>
    <x v="11"/>
    <s v="NEUMÁTICO PARA AUTOMÓVIL"/>
  </r>
  <r>
    <x v="12"/>
    <s v="OLLA DE METAL"/>
  </r>
  <r>
    <x v="13"/>
    <s v="COCINETA DE GAS"/>
  </r>
  <r>
    <x v="14"/>
    <s v="RESINA"/>
  </r>
  <r>
    <x v="15"/>
    <s v="ADOQUINES"/>
  </r>
  <r>
    <x v="16"/>
    <s v="VINO ESPUMANTE"/>
  </r>
  <r>
    <x v="17"/>
    <s v="TÉ DE CEDRÓN"/>
  </r>
  <r>
    <x v="18"/>
    <s v="TOALLAS DE BAÑO DE ALGODÓN"/>
  </r>
  <r>
    <x v="6"/>
    <s v="CAMARÓN FRESCO"/>
  </r>
  <r>
    <x v="7"/>
    <s v="REFRIGERADORA DOS PUERTAS"/>
  </r>
  <r>
    <x v="19"/>
    <s v="CAMARÓN CONGELADO"/>
  </r>
  <r>
    <x v="20"/>
    <s v="MAYONESA"/>
  </r>
  <r>
    <x v="10"/>
    <s v="TELA DE PUNTO POLIESTER"/>
  </r>
  <r>
    <x v="8"/>
    <s v="CAMARÓN CONGELADO DE EXPORTACIÓN"/>
  </r>
  <r>
    <x v="15"/>
    <s v="ADOQUINES"/>
  </r>
  <r>
    <x v="11"/>
    <s v="NEUMÁTICO PARA AUTOMÓVIL"/>
  </r>
  <r>
    <x v="12"/>
    <s v="OLLA DE METAL"/>
  </r>
  <r>
    <x v="21"/>
    <s v="ENVASES METÁLICO"/>
  </r>
  <r>
    <x v="22"/>
    <s v="PINTURA"/>
  </r>
  <r>
    <x v="15"/>
    <s v="ADOQUINES"/>
  </r>
  <r>
    <x v="23"/>
    <s v="WHISKY"/>
  </r>
  <r>
    <x v="24"/>
    <s v="TÉ DE HIERBA LUISA"/>
  </r>
  <r>
    <x v="18"/>
    <s v="TOALLAS DE BAÑO DE ALGODÓN"/>
  </r>
  <r>
    <x v="25"/>
    <s v="RON"/>
  </r>
  <r>
    <x v="19"/>
    <s v="CAMARÓN CONGELADO"/>
  </r>
  <r>
    <x v="26"/>
    <s v="EMPASTE"/>
  </r>
  <r>
    <x v="27"/>
    <s v="NEUMÁTICO PARA CAMIONETA"/>
  </r>
  <r>
    <x v="12"/>
    <s v="OLLA DE METAL"/>
  </r>
  <r>
    <x v="28"/>
    <s v="BARNIZ"/>
  </r>
  <r>
    <x v="29"/>
    <s v="TÉ DE MANZANILLA"/>
  </r>
  <r>
    <x v="30"/>
    <s v="PASTA DE TOMATE"/>
  </r>
  <r>
    <x v="19"/>
    <s v="CAMARÓN CONGELADO"/>
  </r>
  <r>
    <x v="31"/>
    <s v="MORTERO"/>
  </r>
  <r>
    <x v="27"/>
    <s v="NEUMÁTICO PARA CAMIONETA"/>
  </r>
  <r>
    <x v="32"/>
    <s v="SELLANTE"/>
  </r>
  <r>
    <x v="33"/>
    <s v="TÉ VERDE"/>
  </r>
  <r>
    <x v="34"/>
    <s v="MOSTAZA"/>
  </r>
  <r>
    <x v="35"/>
    <s v="HORMIGÓN PRÉ-MEZCLADO"/>
  </r>
  <r>
    <x v="36"/>
    <s v="NEUMÁTICO DE CAMIÓN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31">
  <r>
    <x v="0"/>
    <s v="CARAMELOS"/>
  </r>
  <r>
    <x v="1"/>
    <s v="COMINO EN POLVO"/>
  </r>
  <r>
    <x v="2"/>
    <s v="MEDIAS ENTERAS PARA MUJER"/>
  </r>
  <r>
    <x v="3"/>
    <s v="POSTES DE EUCALIPTO"/>
  </r>
  <r>
    <x v="4"/>
    <s v="SERVILLETAS"/>
  </r>
  <r>
    <x v="5"/>
    <s v="HORMIGÓN PRÉ-MEZCLADO"/>
  </r>
  <r>
    <x v="5"/>
    <s v="HORMIGÓN PRÉ-MEZCLADO"/>
  </r>
  <r>
    <x v="6"/>
    <s v="ACEITE CRUDO DE PALMA AFRICANA"/>
  </r>
  <r>
    <x v="7"/>
    <s v="MANÍ  DE SAL (SNACK)"/>
  </r>
  <r>
    <x v="8"/>
    <s v="ESCOBA"/>
  </r>
  <r>
    <x v="5"/>
    <s v="HORMIGÓN PRÉ-MEZCLADO"/>
  </r>
  <r>
    <x v="9"/>
    <s v="TORRES DE ACERO"/>
  </r>
  <r>
    <x v="10"/>
    <s v="ATÚN ENTERO CONGELADO DE EXPORTACIÓN"/>
  </r>
  <r>
    <x v="6"/>
    <s v="ACEITE CRUDO DE PALMA AFRICANA"/>
  </r>
  <r>
    <x v="7"/>
    <s v="MANÍ  DE SAL (SNACK)"/>
  </r>
  <r>
    <x v="11"/>
    <s v="SALSA DE TOMATE"/>
  </r>
  <r>
    <x v="12"/>
    <s v="TELA DE PUNTO POLIESTER"/>
  </r>
  <r>
    <x v="13"/>
    <s v="HILO ACRILICO"/>
  </r>
  <r>
    <x v="14"/>
    <s v="TELA POLIESTER"/>
  </r>
  <r>
    <x v="15"/>
    <s v="TOALLAS DE BAÑO DE ALGODÓN"/>
  </r>
  <r>
    <x v="2"/>
    <s v="MEDIAS ENTERAS PARA MUJER"/>
  </r>
  <r>
    <x v="16"/>
    <s v="BOTINES DE CUERO"/>
  </r>
  <r>
    <x v="17"/>
    <s v="CALZADO DE LONA"/>
  </r>
  <r>
    <x v="16"/>
    <s v="BOTINES DE CUERO"/>
  </r>
  <r>
    <x v="18"/>
    <s v="PINTURA"/>
  </r>
  <r>
    <x v="18"/>
    <s v="PINTURA"/>
  </r>
  <r>
    <x v="19"/>
    <s v="DESGRASANTES"/>
  </r>
  <r>
    <x v="19"/>
    <s v="DESGRASANTES"/>
  </r>
  <r>
    <x v="20"/>
    <s v="COMPLEJO B"/>
  </r>
  <r>
    <x v="21"/>
    <s v="MANTECA DE CACAO"/>
  </r>
  <r>
    <x v="5"/>
    <s v="HORMIGÓN PRÉ-MEZCLADO"/>
  </r>
  <r>
    <x v="22"/>
    <s v="BÍTUMEN/BETÚN (PARA CARRETERAS)"/>
  </r>
  <r>
    <x v="23"/>
    <s v="ENVASES DE HOJALATA"/>
  </r>
  <r>
    <x v="24"/>
    <s v="CANECAS, BALDES"/>
  </r>
  <r>
    <x v="25"/>
    <s v="CALZONARIA PARA MUJER ALGODÓN"/>
  </r>
  <r>
    <x v="26"/>
    <s v="ABONO COMPUESTO"/>
  </r>
  <r>
    <x v="27"/>
    <s v="INSECTICIDAS AGRICOLAS"/>
  </r>
  <r>
    <x v="28"/>
    <s v="JABON INDUSTRIAL"/>
  </r>
  <r>
    <x v="29"/>
    <s v="ANTIÁCIDOS"/>
  </r>
  <r>
    <x v="30"/>
    <s v="PULPA DE FRUTILLA"/>
  </r>
  <r>
    <x v="31"/>
    <s v="SALSA DE AJÍ"/>
  </r>
  <r>
    <x v="12"/>
    <s v="TELA DE PUNTO POLIESTER"/>
  </r>
  <r>
    <x v="32"/>
    <s v="EDREDON"/>
  </r>
  <r>
    <x v="33"/>
    <s v="CAMA DE MADERA"/>
  </r>
  <r>
    <x v="34"/>
    <s v="DESODORANTE AMBIENTAL"/>
  </r>
  <r>
    <x v="5"/>
    <s v="HORMIGÓN PRÉ-MEZCLADO"/>
  </r>
  <r>
    <x v="35"/>
    <s v="CARPETA PLÁSTICA/FORROS PLASTICOS"/>
  </r>
  <r>
    <x v="0"/>
    <s v="CARAMELOS"/>
  </r>
  <r>
    <x v="36"/>
    <s v="ESPAGUETI"/>
  </r>
  <r>
    <x v="37"/>
    <s v="MEDIAS DE NIÑO"/>
  </r>
  <r>
    <x v="38"/>
    <s v="VIGUETAS, VIGAS Y PIEZAS DE COLORADO"/>
  </r>
  <r>
    <x v="6"/>
    <s v="ACEITE CRUDO DE PALMA AFRICANA"/>
  </r>
  <r>
    <x v="7"/>
    <s v="MANÍ  DE SAL (SNACK)"/>
  </r>
  <r>
    <x v="39"/>
    <s v="PESCADO ENTERO CONGELADO DE EXPORTACIÓN"/>
  </r>
  <r>
    <x v="40"/>
    <s v="ALIÑOS PREPARADOS"/>
  </r>
  <r>
    <x v="41"/>
    <s v="ALMOHADA"/>
  </r>
  <r>
    <x v="13"/>
    <s v="HILO ACRILICO"/>
  </r>
  <r>
    <x v="15"/>
    <s v="TOALLAS DE BAÑO DE ALGODÓN"/>
  </r>
  <r>
    <x v="2"/>
    <s v="MEDIAS ENTERAS PARA MUJER"/>
  </r>
  <r>
    <x v="16"/>
    <s v="BOTINES DE CUERO"/>
  </r>
  <r>
    <x v="42"/>
    <s v="ZAPATOS DE CUERO PARA HOMBRE Y MUJER"/>
  </r>
  <r>
    <x v="16"/>
    <s v="BOTINES DE CUERO"/>
  </r>
  <r>
    <x v="18"/>
    <s v="PINTURA"/>
  </r>
  <r>
    <x v="43"/>
    <s v="DETERGENTE DE ROPA"/>
  </r>
  <r>
    <x v="44"/>
    <s v="GEL ANTIBACTERIAL"/>
  </r>
  <r>
    <x v="23"/>
    <s v="ENVASES DE HOJALATA"/>
  </r>
  <r>
    <x v="8"/>
    <s v="ESCOBA"/>
  </r>
  <r>
    <x v="25"/>
    <s v="CALZONARIA PARA MUJER ALGODÓN"/>
  </r>
  <r>
    <x v="26"/>
    <s v="ABONO COMPUESTO"/>
  </r>
  <r>
    <x v="19"/>
    <s v="DESGRASANTES"/>
  </r>
  <r>
    <x v="45"/>
    <s v="ACICLOVIR"/>
  </r>
  <r>
    <x v="46"/>
    <s v="PULPA DE FRUTAS"/>
  </r>
  <r>
    <x v="47"/>
    <s v="SALSA DE SOYA"/>
  </r>
  <r>
    <x v="48"/>
    <s v="COBIJA DE POLIESTER"/>
  </r>
  <r>
    <x v="49"/>
    <s v="CLORO LIQUIDO"/>
  </r>
  <r>
    <x v="35"/>
    <s v="CARPETA PLÁSTICA/FORROS PLASTICOS"/>
  </r>
  <r>
    <x v="0"/>
    <s v="CARAMELOS"/>
  </r>
  <r>
    <x v="40"/>
    <s v="ALIÑOS PREPARADOS"/>
  </r>
  <r>
    <x v="37"/>
    <s v="MEDIAS DE NIÑO"/>
  </r>
  <r>
    <x v="50"/>
    <s v="CAMARÓN CONGELADO DE EXPORTACIÓN"/>
  </r>
  <r>
    <x v="15"/>
    <s v="TOALLAS DE BAÑO DE ALGODÓN"/>
  </r>
  <r>
    <x v="42"/>
    <s v="ZAPATOS DE CUERO PARA HOMBRE Y MUJER"/>
  </r>
  <r>
    <x v="51"/>
    <s v="DILUYENTE"/>
  </r>
  <r>
    <x v="52"/>
    <s v="SUAVIZANTE DE ROPA"/>
  </r>
  <r>
    <x v="23"/>
    <s v="ENVASES DE HOJALATA"/>
  </r>
  <r>
    <x v="8"/>
    <s v="ESCOBA"/>
  </r>
  <r>
    <x v="53"/>
    <s v="PIJAMAS DE MUJER SINTÉTICO"/>
  </r>
  <r>
    <x v="26"/>
    <s v="ABONO COMPUESTO"/>
  </r>
  <r>
    <x v="19"/>
    <s v="DESGRASANTES"/>
  </r>
  <r>
    <x v="54"/>
    <s v="MULTIVITAMINICO"/>
  </r>
  <r>
    <x v="46"/>
    <s v="PULPA DE FRUTAS"/>
  </r>
  <r>
    <x v="43"/>
    <s v="DETERGENTE DE ROPA"/>
  </r>
  <r>
    <x v="55"/>
    <s v="CARPETAS DE CARTÓN"/>
  </r>
  <r>
    <x v="56"/>
    <s v="CONDIMENTOS Y SAZONADORES EN POLVO"/>
  </r>
  <r>
    <x v="57"/>
    <s v="MEDIAS PARA ADULTOS"/>
  </r>
  <r>
    <x v="50"/>
    <s v="CAMARÓN CONGELADO DE EXPORTACIÓN"/>
  </r>
  <r>
    <x v="49"/>
    <s v="CLORO LIQUIDO"/>
  </r>
  <r>
    <x v="8"/>
    <s v="ESCOBA"/>
  </r>
  <r>
    <x v="19"/>
    <s v="DESGRASANTES"/>
  </r>
  <r>
    <x v="58"/>
    <s v="ANTIGRIPALES"/>
  </r>
  <r>
    <x v="46"/>
    <s v="PULPA DE FRUTAS"/>
  </r>
  <r>
    <x v="57"/>
    <s v="MEDIAS PARA ADULTOS"/>
  </r>
  <r>
    <x v="39"/>
    <s v="PESCADO ENTERO CONGELADO DE EXPORTACIÓN"/>
  </r>
  <r>
    <x v="59"/>
    <s v="JABÓN LÍQUIDO"/>
  </r>
  <r>
    <x v="19"/>
    <s v="DESGRASANTES"/>
  </r>
  <r>
    <x v="46"/>
    <s v="PULPA DE FRUTAS"/>
  </r>
  <r>
    <x v="13"/>
    <s v="HILO DE POLIESTER"/>
  </r>
  <r>
    <x v="26"/>
    <s v="ABONO COMPUESTO"/>
  </r>
  <r>
    <x v="46"/>
    <s v="PULPA DE FRUTA "/>
  </r>
  <r>
    <x v="60"/>
    <s v="AGUARDIENTE DE CAÑA"/>
  </r>
  <r>
    <x v="61"/>
    <s v="PINTURA NO A BASE DE AGUA"/>
  </r>
  <r>
    <x v="62"/>
    <s v="FRIGORIFICO"/>
  </r>
  <r>
    <x v="13"/>
    <s v="HILO DE POLIESTER"/>
  </r>
  <r>
    <x v="26"/>
    <s v="ABONO COMPUESTO"/>
  </r>
  <r>
    <x v="46"/>
    <s v="PULPA DE FRUTA "/>
  </r>
  <r>
    <x v="63"/>
    <s v="RON"/>
  </r>
  <r>
    <x v="64"/>
    <s v="REFRIGERADORA DOS PUERTAS"/>
  </r>
  <r>
    <x v="13"/>
    <s v="HILO DE POLIESTER"/>
  </r>
  <r>
    <x v="26"/>
    <s v="ABONO COMPUESTO"/>
  </r>
  <r>
    <x v="46"/>
    <s v="PULPA DE FRUTILLA"/>
  </r>
  <r>
    <x v="65"/>
    <s v="VODKA"/>
  </r>
  <r>
    <x v="66"/>
    <s v="COCINETA DE GAS"/>
  </r>
  <r>
    <x v="13"/>
    <s v="HILO DE POLIESTER"/>
  </r>
  <r>
    <x v="26"/>
    <s v="ABONO COMPUESTO"/>
  </r>
  <r>
    <x v="46"/>
    <s v="PULPA DE FRUTA "/>
  </r>
  <r>
    <x v="67"/>
    <s v="VINO ESPUMANTE"/>
  </r>
  <r>
    <x v="68"/>
    <s v="COCINA DE GAS"/>
  </r>
  <r>
    <x v="13"/>
    <s v="HILO DE POLIESTER"/>
  </r>
  <r>
    <x v="26"/>
    <s v="ABONO COMPUESTO"/>
  </r>
  <r>
    <x v="46"/>
    <s v="PULPA DE FRUTA "/>
  </r>
  <r>
    <x v="69"/>
    <s v="HORNOS A GAS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78">
  <r>
    <x v="0"/>
    <s v="PULPA DE FRUTAS"/>
  </r>
  <r>
    <x v="1"/>
    <s v="HARINA DE TRIGO"/>
  </r>
  <r>
    <x v="2"/>
    <s v="WHISKY"/>
  </r>
  <r>
    <x v="3"/>
    <s v="BIVIDÍ"/>
  </r>
  <r>
    <x v="4"/>
    <s v="CUERO DIVIDIDO"/>
  </r>
  <r>
    <x v="5"/>
    <s v="CARNAZA"/>
  </r>
  <r>
    <x v="6"/>
    <s v="JABÓN LÍQUIDO"/>
  </r>
  <r>
    <x v="7"/>
    <s v="ADOQUINES"/>
  </r>
  <r>
    <x v="8"/>
    <s v="PASAMANOS DE ACERO"/>
  </r>
  <r>
    <x v="9"/>
    <s v="COCINA DE GAS"/>
  </r>
  <r>
    <x v="0"/>
    <s v="PULPA DE FRUTAS"/>
  </r>
  <r>
    <x v="10"/>
    <s v="GASEOSA"/>
  </r>
  <r>
    <x v="11"/>
    <s v="TELA POLIESTER"/>
  </r>
  <r>
    <x v="5"/>
    <s v="CARNAZA"/>
  </r>
  <r>
    <x v="4"/>
    <s v="CUERO DIVIDIDO"/>
  </r>
  <r>
    <x v="12"/>
    <s v="CALZADO DE LONA"/>
  </r>
  <r>
    <x v="11"/>
    <s v="TELA POLIESTER"/>
  </r>
  <r>
    <x v="3"/>
    <s v="BIVIDÍ"/>
  </r>
  <r>
    <x v="13"/>
    <s v="CALZONARIA PARA MUJER ALGODÓN"/>
  </r>
  <r>
    <x v="14"/>
    <s v="MEDIAS PARA ADULTOS"/>
  </r>
  <r>
    <x v="15"/>
    <s v="CALZADO CON PUNTA METALIZADA"/>
  </r>
  <r>
    <x v="16"/>
    <s v="AGUA NATURAL"/>
  </r>
  <r>
    <x v="17"/>
    <s v="VINO ESPUMANTE"/>
  </r>
  <r>
    <x v="18"/>
    <s v="BLUSA PARA MUJER"/>
  </r>
  <r>
    <x v="4"/>
    <s v="CUERO DIVIDIDO"/>
  </r>
  <r>
    <x v="4"/>
    <s v="CUERO DIVIDIDO"/>
  </r>
  <r>
    <x v="19"/>
    <s v="DESGRASANTES"/>
  </r>
  <r>
    <x v="20"/>
    <s v="TUBOS DE HORMIGÓN"/>
  </r>
  <r>
    <x v="21"/>
    <s v="HORNOS A GAS"/>
  </r>
  <r>
    <x v="22"/>
    <s v="SALSA DE AJÍ"/>
  </r>
  <r>
    <x v="23"/>
    <s v="TOALLAS DE BAÑO DE ALGODÓN"/>
  </r>
  <r>
    <x v="4"/>
    <s v="CUERO DIVIDIDO"/>
  </r>
  <r>
    <x v="24"/>
    <s v="TELA DE PUNTO POLIESTER"/>
  </r>
  <r>
    <x v="25"/>
    <s v="CALZONCILLO PARA HOMBRE ALGODÓN"/>
  </r>
  <r>
    <x v="26"/>
    <s v="MEDIAS DE NIÑO"/>
  </r>
  <r>
    <x v="27"/>
    <s v="PULPA DE FRUTILLA"/>
  </r>
  <r>
    <x v="28"/>
    <s v="CAMISETA DEPORTIVA DE HOMBRE"/>
  </r>
  <r>
    <x v="29"/>
    <s v="DETERGENTE DE ROPA"/>
  </r>
  <r>
    <x v="30"/>
    <s v="PILOTES DE HORMIGÓN"/>
  </r>
  <r>
    <x v="27"/>
    <s v="PULPA DE FRUTILLA"/>
  </r>
  <r>
    <x v="23"/>
    <s v="TOALLAS DE BAÑO DE ALGODÓN"/>
  </r>
  <r>
    <x v="31"/>
    <s v="MEDIAS DE FÚTBOL"/>
  </r>
  <r>
    <x v="0"/>
    <s v="PULPA DE FRUTAS"/>
  </r>
  <r>
    <x v="13"/>
    <s v="CALZONARIA PARA MUJER ALGODÓN"/>
  </r>
  <r>
    <x v="32"/>
    <s v="SUAVIZANTE DE ROPA"/>
  </r>
  <r>
    <x v="33"/>
    <s v="MERMELADA DE PIÑA"/>
  </r>
  <r>
    <x v="33"/>
    <s v="MERMELADA DE PIÑA"/>
  </r>
  <r>
    <x v="34"/>
    <s v="CAMISETA DE HOMBRE DE ALGODÓN"/>
  </r>
  <r>
    <x v="35"/>
    <s v="CONJUNTO PARA HOMBRE"/>
  </r>
  <r>
    <x v="25"/>
    <s v="CALZONCILLO PARA HOMBRE ALGODÓN"/>
  </r>
  <r>
    <x v="14"/>
    <s v="MEDIAS PARA ADULTOS"/>
  </r>
  <r>
    <x v="36"/>
    <s v="ABONO COMPUESTO"/>
  </r>
  <r>
    <x v="37"/>
    <s v="TAPAS PLÁSTICAS"/>
  </r>
  <r>
    <x v="38"/>
    <s v="CABOS SINTÉTICOS"/>
  </r>
  <r>
    <x v="39"/>
    <s v="VIDRIO LAMINADO"/>
  </r>
  <r>
    <x v="40"/>
    <s v="HILO DE POLIÉSTER PARA TELA"/>
  </r>
  <r>
    <x v="23"/>
    <s v="TOALLAS DE BAÑO DE ALGODÓN"/>
  </r>
  <r>
    <x v="4"/>
    <s v="CUERO DIVIDIDO"/>
  </r>
  <r>
    <x v="41"/>
    <s v="SANDALIA PARA MUJER"/>
  </r>
  <r>
    <x v="42"/>
    <s v="ÁCIDO FOLICO"/>
  </r>
  <r>
    <x v="43"/>
    <s v="HARINA DE MAIZ"/>
  </r>
  <r>
    <x v="44"/>
    <s v="SNACK A BASE DE CUERO DE CERDO (CRONQUIS)"/>
  </r>
  <r>
    <x v="30"/>
    <s v="PILOTES DE HORMIGÓN"/>
  </r>
  <r>
    <x v="45"/>
    <s v="CONJUNTO PARA MUJER SINTETICO(CPC 28233.02.06.01 )"/>
  </r>
  <r>
    <x v="38"/>
    <s v="CABOS SINTÉTICOS"/>
  </r>
  <r>
    <x v="4"/>
    <s v="CUERO DIVIDIDO"/>
  </r>
  <r>
    <x v="46"/>
    <s v="MULTIVITAMINICO"/>
  </r>
  <r>
    <x v="1"/>
    <s v="HARINA DE TRIGO"/>
  </r>
  <r>
    <x v="44"/>
    <s v="SNACK A BASE DE CUERO DE CERDO (CRONQUIS)"/>
  </r>
  <r>
    <x v="47"/>
    <s v="CAMISETA DE  MUJER POLIESTER"/>
  </r>
  <r>
    <x v="48"/>
    <s v="TUBO DE ALCANTARILLADO"/>
  </r>
  <r>
    <x v="23"/>
    <s v="TOALLAS DE BAÑO DE ALGODÓN"/>
  </r>
  <r>
    <x v="4"/>
    <s v="CUERO DIVIDIDO"/>
  </r>
  <r>
    <x v="46"/>
    <s v="MULTIVITAMINICO"/>
  </r>
  <r>
    <x v="49"/>
    <s v="HARINA DE CEBADA"/>
  </r>
  <r>
    <x v="50"/>
    <s v="VASELINA"/>
  </r>
  <r>
    <x v="51"/>
    <s v="HARINA DE PLÁTANO"/>
  </r>
  <r>
    <x v="52"/>
    <s v="GEL ANTIBACTERIAL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17">
  <r>
    <x v="0"/>
    <s v="ACETONA"/>
  </r>
  <r>
    <x v="1"/>
    <s v="BÍTUMEN/BETÚN (PARA CARRETERAS)"/>
  </r>
  <r>
    <x v="0"/>
    <s v="ACETONA"/>
  </r>
  <r>
    <x v="2"/>
    <s v="TAMBORES DE ACERO"/>
  </r>
  <r>
    <x v="3"/>
    <s v="HARINA DE PESCADO"/>
  </r>
  <r>
    <x v="4"/>
    <s v="TANQUE DE ACERO INOXIDABLE"/>
  </r>
  <r>
    <x v="5"/>
    <s v="SAL REFINADA"/>
  </r>
  <r>
    <x v="6"/>
    <s v="BLOQUE DE BALSA CERRADA"/>
  </r>
  <r>
    <x v="7"/>
    <s v="DESODORANTE AMBIENTAL"/>
  </r>
  <r>
    <x v="8"/>
    <s v="HORMIGÓN PRÉ-MEZCLADO"/>
  </r>
  <r>
    <x v="3"/>
    <s v="HARINA DE PESCADO"/>
  </r>
  <r>
    <x v="9"/>
    <s v="ACEITE CRUDO DE PALMA AFRICANA"/>
  </r>
  <r>
    <x v="10"/>
    <s v="TINTA DE COLORES"/>
  </r>
  <r>
    <x v="4"/>
    <s v="TANQUE DE ACERO INOXIDABLE"/>
  </r>
  <r>
    <x v="7"/>
    <s v="DESODORANTE AMBIENTAL"/>
  </r>
  <r>
    <x v="4"/>
    <s v="TANQUE DE ACERO INOXIDABLE"/>
  </r>
  <r>
    <x v="7"/>
    <s v="DESODORANTE AMBIENTAL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35">
  <r>
    <x v="0"/>
    <s v="CANELA"/>
  </r>
  <r>
    <x v="0"/>
    <s v="CANELA"/>
  </r>
  <r>
    <x v="1"/>
    <s v="CLORO LIQUIDO"/>
  </r>
  <r>
    <x v="2"/>
    <s v="ENVASE DE VIDRIO PEQUEÑO"/>
  </r>
  <r>
    <x v="3"/>
    <s v="HARINA DE PLÁTANO"/>
  </r>
  <r>
    <x v="4"/>
    <s v="GRANOLA"/>
  </r>
  <r>
    <x v="5"/>
    <s v="TOALLAS DE BAÑO DE ALGODÓN"/>
  </r>
  <r>
    <x v="6"/>
    <s v="Tubos de Hormigón "/>
  </r>
  <r>
    <x v="7"/>
    <s v="COCINA DE GAS"/>
  </r>
  <r>
    <x v="8"/>
    <s v="EDREDON"/>
  </r>
  <r>
    <x v="9"/>
    <s v="ESTRUCTURAS METÁLICAS"/>
  </r>
  <r>
    <x v="10"/>
    <s v="ALIÑOS PREPARADOS"/>
  </r>
  <r>
    <x v="11"/>
    <s v="HARINA DE MAIZ"/>
  </r>
  <r>
    <x v="1"/>
    <s v="CLORO LIQUIDO"/>
  </r>
  <r>
    <x v="2"/>
    <s v="ENVASE DE VIDRIO PEQUEÑO"/>
  </r>
  <r>
    <x v="4"/>
    <s v="GRANOLA"/>
  </r>
  <r>
    <x v="7"/>
    <s v="COCINA DE GAS"/>
  </r>
  <r>
    <x v="12"/>
    <s v="COMINO EN POLVO"/>
  </r>
  <r>
    <x v="12"/>
    <s v="COMINO EN POLVO"/>
  </r>
  <r>
    <x v="13"/>
    <s v="JABÓN LÍQUIDO"/>
  </r>
  <r>
    <x v="14"/>
    <s v="SELLANTE"/>
  </r>
  <r>
    <x v="2"/>
    <s v="ENVASE DE VIDRIO PEQUEÑO"/>
  </r>
  <r>
    <x v="7"/>
    <s v="COCINA DE GAS"/>
  </r>
  <r>
    <x v="15"/>
    <s v="MORTERO"/>
  </r>
  <r>
    <x v="16"/>
    <s v="ESQUINEROS (ANGULOS PLASTICOS)"/>
  </r>
  <r>
    <x v="17"/>
    <s v="HORMIGÓN PRÉ-MEZCLADO"/>
  </r>
  <r>
    <x v="14"/>
    <s v="SELLANTE"/>
  </r>
  <r>
    <x v="2"/>
    <s v="ENVASE DE VIDRIO PEQUEÑO"/>
  </r>
  <r>
    <x v="18"/>
    <s v="HORNOS A GAS"/>
  </r>
  <r>
    <x v="15"/>
    <s v="MORTERO"/>
  </r>
  <r>
    <x v="17"/>
    <s v="HORMIGÓN PRÉ-MEZCLADO"/>
  </r>
  <r>
    <x v="19"/>
    <s v="DESGRASANTES"/>
  </r>
  <r>
    <x v="15"/>
    <s v="MORTERO"/>
  </r>
  <r>
    <x v="20"/>
    <s v="EMPASTE"/>
  </r>
  <r>
    <x v="20"/>
    <s v="EMPASTE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616">
  <r>
    <x v="0"/>
    <s v="ZAPATOS DE CUERO PARA HOMBRE Y MUJER"/>
  </r>
  <r>
    <x v="1"/>
    <s v="DETERGENTE DE ROPA"/>
  </r>
  <r>
    <x v="2"/>
    <s v="INODORO"/>
  </r>
  <r>
    <x v="3"/>
    <s v="ACEITE CRUDO DE PALMA AFRICANA"/>
  </r>
  <r>
    <x v="4"/>
    <s v="TARRINAS Y VASOS DE PLÁSTICO"/>
  </r>
  <r>
    <x v="5"/>
    <s v="ACEITE VEGETAL"/>
  </r>
  <r>
    <x v="6"/>
    <s v="PINTURA"/>
  </r>
  <r>
    <x v="7"/>
    <s v="CARAMELOS"/>
  </r>
  <r>
    <x v="8"/>
    <s v="PAPEL HIGIÉNICO"/>
  </r>
  <r>
    <x v="9"/>
    <s v="TELA DE PUNTO POLIESTER"/>
  </r>
  <r>
    <x v="10"/>
    <s v="TELA DE ALGODÓN CON FIBRA SINTÉTICA"/>
  </r>
  <r>
    <x v="11"/>
    <s v="SUAVIZANTE DE ROPA"/>
  </r>
  <r>
    <x v="12"/>
    <s v="MEDIAS DE NIÑO"/>
  </r>
  <r>
    <x v="13"/>
    <s v="VARILLAS DE ACERO"/>
  </r>
  <r>
    <x v="14"/>
    <s v="COBIJA DE POLIESTER"/>
  </r>
  <r>
    <x v="15"/>
    <s v="MARGARINA"/>
  </r>
  <r>
    <x v="16"/>
    <s v="CAJA DE FÓSFOROS"/>
  </r>
  <r>
    <x v="17"/>
    <s v="NEUMÁTICOS REENCAUCHADOS"/>
  </r>
  <r>
    <x v="10"/>
    <s v="TELA DE ALGODÓN CON FIBRA SINTÉTICA"/>
  </r>
  <r>
    <x v="18"/>
    <s v="POSTES DE ACERO"/>
  </r>
  <r>
    <x v="19"/>
    <s v="COCINETA DE GAS"/>
  </r>
  <r>
    <x v="20"/>
    <s v="HILO ACRILICO"/>
  </r>
  <r>
    <x v="3"/>
    <s v="ACEITE CRUDO DE PALMA AFRICANA"/>
  </r>
  <r>
    <x v="21"/>
    <s v="CABOS SINTÉTICOS"/>
  </r>
  <r>
    <x v="22"/>
    <s v="COLONIA"/>
  </r>
  <r>
    <x v="23"/>
    <s v="PASTA DENTAL"/>
  </r>
  <r>
    <x v="24"/>
    <s v="CABLE DE COBRE"/>
  </r>
  <r>
    <x v="25"/>
    <s v="MAICENA"/>
  </r>
  <r>
    <x v="26"/>
    <s v="IMPERPOL"/>
  </r>
  <r>
    <x v="27"/>
    <s v="CUBIERTA DE ACERO"/>
  </r>
  <r>
    <x v="9"/>
    <s v="TELA DE PUNTO POLIESTER"/>
  </r>
  <r>
    <x v="28"/>
    <s v="TELA POLIESTER"/>
  </r>
  <r>
    <x v="29"/>
    <s v="TOALLAS DE BAÑO DE ALGODÓN"/>
  </r>
  <r>
    <x v="30"/>
    <s v="SALSA DE TOMATE"/>
  </r>
  <r>
    <x v="31"/>
    <s v="SELLANTE"/>
  </r>
  <r>
    <x v="8"/>
    <s v="PAPEL HIGIÉNICO"/>
  </r>
  <r>
    <x v="32"/>
    <s v="COMPLEJO B"/>
  </r>
  <r>
    <x v="33"/>
    <s v="AMPICILINA"/>
  </r>
  <r>
    <x v="34"/>
    <s v="PAÑALES DESECHABLES"/>
  </r>
  <r>
    <x v="9"/>
    <s v="TELA DE PUNTO POLIESTER"/>
  </r>
  <r>
    <x v="15"/>
    <s v="MARGARINA"/>
  </r>
  <r>
    <x v="35"/>
    <s v="HILO DE POLIÉSTER PARA TELA"/>
  </r>
  <r>
    <x v="31"/>
    <s v="SELLANTE"/>
  </r>
  <r>
    <x v="36"/>
    <s v="TANQUES DE ACERO INOXIDABLE"/>
  </r>
  <r>
    <x v="37"/>
    <s v="ABONO COMPUESTO"/>
  </r>
  <r>
    <x v="38"/>
    <s v="PLACAS ONDULADAS"/>
  </r>
  <r>
    <x v="39"/>
    <s v="RESINA"/>
  </r>
  <r>
    <x v="40"/>
    <s v="PERFIL I"/>
  </r>
  <r>
    <x v="41"/>
    <s v="CALZADO DE LONA"/>
  </r>
  <r>
    <x v="42"/>
    <s v="CLORO LIQUIDO"/>
  </r>
  <r>
    <x v="43"/>
    <s v="LAVAVO DE ALUMINIO"/>
  </r>
  <r>
    <x v="5"/>
    <s v="ACEITE VEGETAL"/>
  </r>
  <r>
    <x v="6"/>
    <s v="PINTURA"/>
  </r>
  <r>
    <x v="44"/>
    <s v="CHICLES"/>
  </r>
  <r>
    <x v="45"/>
    <s v="SERVILLETAS"/>
  </r>
  <r>
    <x v="10"/>
    <s v="TELA DE ALGODÓN CON FIBRA SINTÉTICA"/>
  </r>
  <r>
    <x v="10"/>
    <s v="TELA DE ALGODÓN CON FIBRA SINTÉTICA"/>
  </r>
  <r>
    <x v="46"/>
    <s v="CERAS PARA PISOS"/>
  </r>
  <r>
    <x v="47"/>
    <s v="MEDIAS ENTERAS PARA MUJER"/>
  </r>
  <r>
    <x v="13"/>
    <s v="VARILLAS DE ACERO"/>
  </r>
  <r>
    <x v="14"/>
    <s v="COBIJA DE POLIESTER"/>
  </r>
  <r>
    <x v="48"/>
    <s v="DESODORANTE PARA BAÑO"/>
  </r>
  <r>
    <x v="16"/>
    <s v="CAJA DE FÓSFOROS"/>
  </r>
  <r>
    <x v="17"/>
    <s v="NEUMÁTICOS REENCAUCHADOS"/>
  </r>
  <r>
    <x v="10"/>
    <s v="TELA DE ALGODÓN CON FIBRA SINTÉTICA"/>
  </r>
  <r>
    <x v="49"/>
    <s v="MALLA DE CERRAMIENTO"/>
  </r>
  <r>
    <x v="50"/>
    <s v="HORNO ELECTRICO"/>
  </r>
  <r>
    <x v="51"/>
    <s v="PALMA AFRICANA"/>
  </r>
  <r>
    <x v="21"/>
    <s v="CABOS SINTÉTICOS"/>
  </r>
  <r>
    <x v="22"/>
    <s v="COLONIA"/>
  </r>
  <r>
    <x v="23"/>
    <s v="PASTA DENTAL"/>
  </r>
  <r>
    <x v="52"/>
    <s v="ALAMBRE DE ALUMINIO SIN RECUBRIMIENTO"/>
  </r>
  <r>
    <x v="53"/>
    <s v="LEVADURA"/>
  </r>
  <r>
    <x v="54"/>
    <s v="BÍTUMEN/BETÚN (PARA CARRETERAS)"/>
  </r>
  <r>
    <x v="55"/>
    <s v="CORREAS DE ACERO"/>
  </r>
  <r>
    <x v="56"/>
    <s v="MAYONESA"/>
  </r>
  <r>
    <x v="57"/>
    <s v="DILUYENTE"/>
  </r>
  <r>
    <x v="8"/>
    <s v="PAPEL HIGIÉNICO"/>
  </r>
  <r>
    <x v="58"/>
    <s v="ENJUAGUES BUCALES"/>
  </r>
  <r>
    <x v="32"/>
    <s v="COMPLEJO B"/>
  </r>
  <r>
    <x v="59"/>
    <s v="PAÑOS HÚMEDOS"/>
  </r>
  <r>
    <x v="9"/>
    <s v="TELA DE PUNTO POLIESTER"/>
  </r>
  <r>
    <x v="5"/>
    <s v="ACEITE VEGETAL"/>
  </r>
  <r>
    <x v="60"/>
    <s v="HILO DE POLIÉSTER PARA COSER"/>
  </r>
  <r>
    <x v="57"/>
    <s v="DILUYENTE"/>
  </r>
  <r>
    <x v="36"/>
    <s v="TANQUES DE ACERO INOXIDABLE"/>
  </r>
  <r>
    <x v="38"/>
    <s v="PLACAS ONDULADAS"/>
  </r>
  <r>
    <x v="18"/>
    <s v="POSTES DE ACERO"/>
  </r>
  <r>
    <x v="42"/>
    <s v="CLORO LIQUIDO"/>
  </r>
  <r>
    <x v="61"/>
    <s v="ACEITE DE SOYA"/>
  </r>
  <r>
    <x v="62"/>
    <s v="TINTA DE COLORES"/>
  </r>
  <r>
    <x v="44"/>
    <s v="CHICLES"/>
  </r>
  <r>
    <x v="10"/>
    <s v="TELA DE ALGODÓN CON FIBRA SINTÉTICA"/>
  </r>
  <r>
    <x v="63"/>
    <s v="MEDIAS DE FÚTBOL"/>
  </r>
  <r>
    <x v="49"/>
    <s v="MALLA DE CERRAMIENTO"/>
  </r>
  <r>
    <x v="5"/>
    <s v="ACEITE VEGETAL"/>
  </r>
  <r>
    <x v="16"/>
    <s v="CAJA DE FÓSFOROS"/>
  </r>
  <r>
    <x v="17"/>
    <s v="NEUMÁTICOS REENCAUCHADOS"/>
  </r>
  <r>
    <x v="10"/>
    <s v="TELA DE ALGODÓN CON FIBRA SINTÉTICA"/>
  </r>
  <r>
    <x v="21"/>
    <s v="CABOS SINTÉTICOS"/>
  </r>
  <r>
    <x v="64"/>
    <s v="DESODORANTE"/>
  </r>
  <r>
    <x v="58"/>
    <s v="ENJUAGUES BUCALES"/>
  </r>
  <r>
    <x v="52"/>
    <s v="ALAMBRE DE ALUMINIO SIN RECUBRIMIENTO"/>
  </r>
  <r>
    <x v="65"/>
    <s v="POLVO DE HORNEAR"/>
  </r>
  <r>
    <x v="66"/>
    <s v="CEMENTO ASFALTICO"/>
  </r>
  <r>
    <x v="67"/>
    <s v="PASTA DE TOMATE"/>
  </r>
  <r>
    <x v="39"/>
    <s v="RESINA"/>
  </r>
  <r>
    <x v="45"/>
    <s v="SERVILLETAS"/>
  </r>
  <r>
    <x v="23"/>
    <s v="PASTA DENTAL"/>
  </r>
  <r>
    <x v="68"/>
    <s v="ANTIBIÓTICO"/>
  </r>
  <r>
    <x v="9"/>
    <s v="TELA DE PUNTO POLIESTER"/>
  </r>
  <r>
    <x v="6"/>
    <s v="PINTURA"/>
  </r>
  <r>
    <x v="36"/>
    <s v="TANQUES DE ACERO INOXIDABLE"/>
  </r>
  <r>
    <x v="55"/>
    <s v="CORREAS DE ACERO"/>
  </r>
  <r>
    <x v="69"/>
    <s v="JABÓN PARA LAVAR ROPA"/>
  </r>
  <r>
    <x v="69"/>
    <s v="JABÓN PARA LAVAR ROPA"/>
  </r>
  <r>
    <x v="44"/>
    <s v="CHICLES"/>
  </r>
  <r>
    <x v="10"/>
    <s v="TELA DE ALGODÓN CON FIBRA SINTÉTICA"/>
  </r>
  <r>
    <x v="47"/>
    <s v="MEDIAS ENTERAS PARA MUJER"/>
  </r>
  <r>
    <x v="69"/>
    <s v="JABÓN PARA LAVAR ROPA"/>
  </r>
  <r>
    <x v="10"/>
    <s v="TELA DE ALGODÓN CON FIBRA SINTÉTICA"/>
  </r>
  <r>
    <x v="28"/>
    <s v="TELA POLIESTER"/>
  </r>
  <r>
    <x v="64"/>
    <s v="DESODORANTE"/>
  </r>
  <r>
    <x v="52"/>
    <s v="ALAMBRE DE ALUMINIO SIN RECUBRIMIENTO"/>
  </r>
  <r>
    <x v="70"/>
    <s v="GELATINA EN POLVO"/>
  </r>
  <r>
    <x v="71"/>
    <s v="SALSA DE SOYA"/>
  </r>
  <r>
    <x v="45"/>
    <s v="SERVILLETAS"/>
  </r>
  <r>
    <x v="72"/>
    <s v="PENICILINA"/>
  </r>
  <r>
    <x v="73"/>
    <s v="PERFILES DE ACERO"/>
  </r>
  <r>
    <x v="74"/>
    <s v="JABÓN/CREMA PARA LAVAR VAJILLA"/>
  </r>
  <r>
    <x v="74"/>
    <s v="JABÓN/CREMA PARA LAVAR VAJILLA"/>
  </r>
  <r>
    <x v="28"/>
    <s v="TELA POLIESTER"/>
  </r>
  <r>
    <x v="64"/>
    <s v="DESODORANTE"/>
  </r>
  <r>
    <x v="75"/>
    <s v="FLAN EN POLVO"/>
  </r>
  <r>
    <x v="76"/>
    <s v="MEDICAMENTO ANTIFLAMATORIO"/>
  </r>
  <r>
    <x v="77"/>
    <s v="VASELINA"/>
  </r>
  <r>
    <x v="22"/>
    <s v="COLONIA"/>
  </r>
  <r>
    <x v="78"/>
    <s v="BOTINES DE CUERO"/>
  </r>
  <r>
    <x v="79"/>
    <s v="WHISKY"/>
  </r>
  <r>
    <x v="9"/>
    <s v="TELA DE PUNTO POLIESTER"/>
  </r>
  <r>
    <x v="80"/>
    <s v="CUERO DIVIDIDO"/>
  </r>
  <r>
    <x v="81"/>
    <s v="ANTIÁCIDOS (A02A)"/>
  </r>
  <r>
    <x v="28"/>
    <s v="TELA POLIESTER"/>
  </r>
  <r>
    <x v="82"/>
    <s v="ZAPATOS PARA MUJER"/>
  </r>
  <r>
    <x v="83"/>
    <s v="BIVIDÍ"/>
  </r>
  <r>
    <x v="10"/>
    <s v="TELA DE ALGODÓN CON FIBRA SINTÉTICA"/>
  </r>
  <r>
    <x v="0"/>
    <s v="ZAPATOS DE CUERO PARA HOMBRE Y MUJER"/>
  </r>
  <r>
    <x v="84"/>
    <s v="RON"/>
  </r>
  <r>
    <x v="85"/>
    <s v="CALZONCILLO PARA HOMBRE ALGODÓN"/>
  </r>
  <r>
    <x v="86"/>
    <s v="PARACETAMOL"/>
  </r>
  <r>
    <x v="9"/>
    <s v="TELA DE PUNTO POLIESTER"/>
  </r>
  <r>
    <x v="0"/>
    <s v="ZAPATOS DE CUERO PARA HOMBRE Y MUJER"/>
  </r>
  <r>
    <x v="87"/>
    <s v="BLUSA PARA MUJER"/>
  </r>
  <r>
    <x v="88"/>
    <s v="VODKA"/>
  </r>
  <r>
    <x v="83"/>
    <s v="BIVIDÍ"/>
  </r>
  <r>
    <x v="89"/>
    <s v="METRONIDAZOL"/>
  </r>
  <r>
    <x v="9"/>
    <s v="TELA DE PUNTO POLIESTER"/>
  </r>
  <r>
    <x v="41"/>
    <s v="CALZADO DE LONA"/>
  </r>
  <r>
    <x v="90"/>
    <s v="CAMISETA DEPORTIVA DE HOMBRE"/>
  </r>
  <r>
    <x v="91"/>
    <s v="LICORES"/>
  </r>
  <r>
    <x v="92"/>
    <s v="CALZONARIA PARA MUJER ALGODÓN"/>
  </r>
  <r>
    <x v="93"/>
    <s v="SECNIDAZOL"/>
  </r>
  <r>
    <x v="94"/>
    <s v="BOTAS DE CAUCHO"/>
  </r>
  <r>
    <x v="92"/>
    <s v="CALZONARIA PARA MUJER ALGODÓN"/>
  </r>
  <r>
    <x v="95"/>
    <s v="ANTIGRIPALES"/>
  </r>
  <r>
    <x v="96"/>
    <s v="CAMISETA DE HOMBRE DE ALGODÓN"/>
  </r>
  <r>
    <x v="32"/>
    <s v="COMPLEJO B"/>
  </r>
  <r>
    <x v="97"/>
    <s v="PIGMENTOS"/>
  </r>
  <r>
    <x v="98"/>
    <s v="ÁCIDO FÓLICO"/>
  </r>
  <r>
    <x v="59"/>
    <s v="PAÑOS HÚMEDOS"/>
  </r>
  <r>
    <x v="99"/>
    <s v="SAL REFINADA"/>
  </r>
  <r>
    <x v="100"/>
    <s v="CAMARÓN CONGELADO "/>
  </r>
  <r>
    <x v="100"/>
    <s v="CAMARÓN CONGELADO "/>
  </r>
  <r>
    <x v="101"/>
    <s v="ENVASES DE HOJALATA"/>
  </r>
  <r>
    <x v="24"/>
    <s v="CABLE DE COBRE"/>
  </r>
  <r>
    <x v="102"/>
    <s v="TUBOS ESTRUCTURALES"/>
  </r>
  <r>
    <x v="103"/>
    <s v="ESTRUCTURAS METÁLICAS "/>
  </r>
  <r>
    <x v="104"/>
    <s v="BALSA"/>
  </r>
  <r>
    <x v="105"/>
    <s v="BOTELLAS PLÁSTICAS"/>
  </r>
  <r>
    <x v="58"/>
    <s v="ENJUAGUES BUCALES"/>
  </r>
  <r>
    <x v="106"/>
    <s v="ACEITE DE PESCADO"/>
  </r>
  <r>
    <x v="107"/>
    <s v="BARNIZ "/>
  </r>
  <r>
    <x v="1"/>
    <s v="DETERGENTE DE ROPA"/>
  </r>
  <r>
    <x v="108"/>
    <s v="DESODORANTE AMBIENTAL"/>
  </r>
  <r>
    <x v="98"/>
    <s v="ÁCIDO FOLICO"/>
  </r>
  <r>
    <x v="109"/>
    <s v="CAMARÓN CONGELADO"/>
  </r>
  <r>
    <x v="110"/>
    <s v="PESCADO ENTERO CONGELADO DE EXPORTACIÓN "/>
  </r>
  <r>
    <x v="111"/>
    <s v="TUBOS DE HORMIGÓN"/>
  </r>
  <r>
    <x v="8"/>
    <s v="PAPEL HIGIÉNICO"/>
  </r>
  <r>
    <x v="112"/>
    <s v="PILOTES DE HORMIGÓN"/>
  </r>
  <r>
    <x v="24"/>
    <s v="CABLE DE COBRE"/>
  </r>
  <r>
    <x v="113"/>
    <s v="CARBONATO DE CALCIO MINERÍA"/>
  </r>
  <r>
    <x v="114"/>
    <s v="CREMA DE LICOR CACAO"/>
  </r>
  <r>
    <x v="115"/>
    <s v="ENVASE DE VIDRIO GRANDE"/>
  </r>
  <r>
    <x v="116"/>
    <s v="ACEITE DE PALMISTE"/>
  </r>
  <r>
    <x v="3"/>
    <s v="ACEITE CRUDO DE PALMA AFRICANA"/>
  </r>
  <r>
    <x v="117"/>
    <s v="HERBICIDA PARA MALEZA"/>
  </r>
  <r>
    <x v="118"/>
    <s v="TANQUE PLÁSTICO"/>
  </r>
  <r>
    <x v="64"/>
    <s v="DESODORANTE"/>
  </r>
  <r>
    <x v="119"/>
    <s v="CAMARÓN CONGELADO DE EXPORTACIÓN"/>
  </r>
  <r>
    <x v="120"/>
    <s v="ACEITE CRUDO DE PALMA AFRICANA"/>
  </r>
  <r>
    <x v="121"/>
    <s v="ESTRUCTURAS METÁLICAS"/>
  </r>
  <r>
    <x v="122"/>
    <s v="CAMARÓN CONGELADO "/>
  </r>
  <r>
    <x v="123"/>
    <s v="ANALGÉSICO URINARIO"/>
  </r>
  <r>
    <x v="124"/>
    <s v="MORTERO"/>
  </r>
  <r>
    <x v="125"/>
    <s v="ANTIHIPERTENSIVOS"/>
  </r>
  <r>
    <x v="126"/>
    <s v="INSECTICIDAS AGRICOLAS"/>
  </r>
  <r>
    <x v="3"/>
    <s v="ACEITE CRUDO DE PALMA AFRICANA"/>
  </r>
  <r>
    <x v="127"/>
    <s v="ATÚN ENTERO CONGELADO"/>
  </r>
  <r>
    <x v="106"/>
    <s v="ACEITE DE PESCADO"/>
  </r>
  <r>
    <x v="128"/>
    <s v="AMOXICILINA"/>
  </r>
  <r>
    <x v="101"/>
    <s v="ENVASES DE HOJALATA"/>
  </r>
  <r>
    <x v="112"/>
    <s v="PILOTES DE HORMIGÓN"/>
  </r>
  <r>
    <x v="129"/>
    <s v="CAMARÓN CONGELADO DE EXPORTACIÓN "/>
  </r>
  <r>
    <x v="130"/>
    <s v="HARINA DE PESCADO "/>
  </r>
  <r>
    <x v="45"/>
    <s v="SERVILLETAS"/>
  </r>
  <r>
    <x v="8"/>
    <s v="PAPEL HIGIÉNICO "/>
  </r>
  <r>
    <x v="131"/>
    <s v="PLANCHAS DE ACERO ALEADO"/>
  </r>
  <r>
    <x v="5"/>
    <s v="ACEITE VEGETAL"/>
  </r>
  <r>
    <x v="127"/>
    <s v="ATÚN ENTERO CONGELADO"/>
  </r>
  <r>
    <x v="132"/>
    <s v="DESGRASANTES"/>
  </r>
  <r>
    <x v="133"/>
    <s v="ACEITE DE PESCADO "/>
  </r>
  <r>
    <x v="78"/>
    <s v="BOTINES DE CUERO "/>
  </r>
  <r>
    <x v="57"/>
    <s v="DILUYENTE"/>
  </r>
  <r>
    <x v="6"/>
    <s v="PINTURA"/>
  </r>
  <r>
    <x v="97"/>
    <s v="PIGMENTOS"/>
  </r>
  <r>
    <x v="128"/>
    <s v="AMOXICILINA"/>
  </r>
  <r>
    <x v="77"/>
    <s v="VASELINA"/>
  </r>
  <r>
    <x v="99"/>
    <s v="SAL REFINADA"/>
  </r>
  <r>
    <x v="134"/>
    <s v="CABLE DE MEDIA TENSIÓN"/>
  </r>
  <r>
    <x v="101"/>
    <s v="ENVASES DE HOJALATA"/>
  </r>
  <r>
    <x v="58"/>
    <s v="ENJUAGUES BUCALES"/>
  </r>
  <r>
    <x v="130"/>
    <s v="HARINA DE PESCADO "/>
  </r>
  <r>
    <x v="11"/>
    <s v="SUAVIZANTE DE ROPA"/>
  </r>
  <r>
    <x v="74"/>
    <s v="JABÓN/CREMA PARA LAVAR VAJILLA"/>
  </r>
  <r>
    <x v="111"/>
    <s v="TUBOS DE HORMIGÓN"/>
  </r>
  <r>
    <x v="45"/>
    <s v="SERVILLETAS"/>
  </r>
  <r>
    <x v="135"/>
    <s v="TANQUES DE CEMENTO"/>
  </r>
  <r>
    <x v="134"/>
    <s v="CABLE DE MEDIA TENSIÓN"/>
  </r>
  <r>
    <x v="91"/>
    <s v="LICORES"/>
  </r>
  <r>
    <x v="136"/>
    <s v="ENVASE DE VIDRIO PEQUEÑO"/>
  </r>
  <r>
    <x v="3"/>
    <s v="ACEITE CRUDO DE PALMA AFRICANA"/>
  </r>
  <r>
    <x v="116"/>
    <s v="ACEITE DE PALMISTE"/>
  </r>
  <r>
    <x v="137"/>
    <s v="MATAGUSANOS "/>
  </r>
  <r>
    <x v="138"/>
    <s v="JABÓN LÍQUIDO"/>
  </r>
  <r>
    <x v="139"/>
    <s v="ACEITE DE PALMISTE"/>
  </r>
  <r>
    <x v="102"/>
    <s v="TUBOS ESTRUCTURALES"/>
  </r>
  <r>
    <x v="140"/>
    <s v="ANTIGRIPALES"/>
  </r>
  <r>
    <x v="57"/>
    <s v="SOLVENTE Y DILUYENTE"/>
  </r>
  <r>
    <x v="141"/>
    <s v="MULTIVITAMÍNICO"/>
  </r>
  <r>
    <x v="142"/>
    <s v="FUNGICIDA"/>
  </r>
  <r>
    <x v="5"/>
    <s v="ACEITE VEGETAL"/>
  </r>
  <r>
    <x v="143"/>
    <s v="FILETE DE PESCADO DORADO CONGELADO"/>
  </r>
  <r>
    <x v="130"/>
    <s v="HARINA DE PESCADO"/>
  </r>
  <r>
    <x v="128"/>
    <s v="AMOXICILINA"/>
  </r>
  <r>
    <x v="144"/>
    <s v="CANECAS, BALDES PLASTICAS"/>
  </r>
  <r>
    <x v="145"/>
    <s v="HARINA DE CAMARÓN"/>
  </r>
  <r>
    <x v="34"/>
    <s v="PAÑALES DESECHABLES"/>
  </r>
  <r>
    <x v="146"/>
    <s v="PERFIL L"/>
  </r>
  <r>
    <x v="147"/>
    <s v="TOALLAS SANITARIAS"/>
  </r>
  <r>
    <x v="143"/>
    <s v="FILETE DE PESCADO DORADO CONGELADO"/>
  </r>
  <r>
    <x v="148"/>
    <s v="MORTERO"/>
  </r>
  <r>
    <x v="31"/>
    <s v="SELLANTE"/>
  </r>
  <r>
    <x v="149"/>
    <s v="ANTIÁCIDOS"/>
  </r>
  <r>
    <x v="130"/>
    <s v="HARINA DE PESCADO "/>
  </r>
  <r>
    <x v="64"/>
    <s v="DESODORANTE"/>
  </r>
  <r>
    <x v="42"/>
    <s v="CLORO LIQUIDO"/>
  </r>
  <r>
    <x v="111"/>
    <s v="TUBOS DE HORMIGÓN"/>
  </r>
  <r>
    <x v="150"/>
    <s v="VINO ESPUMANTE"/>
  </r>
  <r>
    <x v="151"/>
    <s v="ABONO COMPUESTO"/>
  </r>
  <r>
    <x v="140"/>
    <s v="ANTIGRIPALES"/>
  </r>
  <r>
    <x v="152"/>
    <s v="COLUFASE (NOITAZOXANIDA)"/>
  </r>
  <r>
    <x v="105"/>
    <s v="BOTELLAS, FRASCOS  PLÁSTICOS"/>
  </r>
  <r>
    <x v="145"/>
    <s v="HARINA DE CAMARÓN"/>
  </r>
  <r>
    <x v="8"/>
    <s v="PAPEL HIGIÉNICO"/>
  </r>
  <r>
    <x v="40"/>
    <s v="PERFIL I"/>
  </r>
  <r>
    <x v="34"/>
    <s v="PAÑALES DESECHABLES"/>
  </r>
  <r>
    <x v="153"/>
    <s v="ATUN FILETE CONGELADO "/>
  </r>
  <r>
    <x v="154"/>
    <s v="COLA BLANCA"/>
  </r>
  <r>
    <x v="57"/>
    <s v="DILUYENTE"/>
  </r>
  <r>
    <x v="140"/>
    <s v="ANTIGRIPALES"/>
  </r>
  <r>
    <x v="130"/>
    <s v="HARINA DE PESCADO "/>
  </r>
  <r>
    <x v="108"/>
    <s v="DESODORANTE AMBIENTAL"/>
  </r>
  <r>
    <x v="117"/>
    <s v="HERBICIDA PARA MALEZA"/>
  </r>
  <r>
    <x v="155"/>
    <s v="CREMA PARA LA PAÑALITIS"/>
  </r>
  <r>
    <x v="156"/>
    <s v="TAPAS PLÁSTICAS"/>
  </r>
  <r>
    <x v="59"/>
    <s v="PAÑOS HÚMEDOS"/>
  </r>
  <r>
    <x v="153"/>
    <s v="ATUN FILETE CONGELADO"/>
  </r>
  <r>
    <x v="57"/>
    <s v="DILUYENTE"/>
  </r>
  <r>
    <x v="132"/>
    <s v="DESGRASANTES"/>
  </r>
  <r>
    <x v="32"/>
    <s v="COMPLEJO B"/>
  </r>
  <r>
    <x v="48"/>
    <s v="DESODORANTE PARA BAÑO"/>
  </r>
  <r>
    <x v="137"/>
    <s v="MATAGUSANOS"/>
  </r>
  <r>
    <x v="157"/>
    <s v="METRONIDAZOL"/>
  </r>
  <r>
    <x v="69"/>
    <s v="JABÓN PARA LAVAR ROPA"/>
  </r>
  <r>
    <x v="6"/>
    <s v="PINTURA"/>
  </r>
  <r>
    <x v="130"/>
    <s v="HARINA DE PESCADO"/>
  </r>
  <r>
    <x v="130"/>
    <s v="HARINA DE PESCADO"/>
  </r>
  <r>
    <x v="116"/>
    <s v="ACEITE DE PALMISTE"/>
  </r>
  <r>
    <x v="1"/>
    <s v="DETERGENTE DE ROPA"/>
  </r>
  <r>
    <x v="106"/>
    <s v="ACEITE DE PESCADO"/>
  </r>
  <r>
    <x v="106"/>
    <s v="ACEITE DE PESCADO"/>
  </r>
  <r>
    <x v="1"/>
    <s v="DETERGENTE DE ROPA"/>
  </r>
  <r>
    <x v="50"/>
    <s v="HORNO ELECTRICO"/>
  </r>
  <r>
    <x v="158"/>
    <s v="CEMENTO DE CONTACTO"/>
  </r>
  <r>
    <x v="159"/>
    <s v="BLOQUES"/>
  </r>
  <r>
    <x v="88"/>
    <s v="VODKA"/>
  </r>
  <r>
    <x v="160"/>
    <s v="ALIÑOS PREPARADOS"/>
  </r>
  <r>
    <x v="161"/>
    <s v="EDREDON"/>
  </r>
  <r>
    <x v="162"/>
    <s v="CAMARÓN FRESCO"/>
  </r>
  <r>
    <x v="163"/>
    <s v="REFRIGERADORA DOS PUERTAS"/>
  </r>
  <r>
    <x v="164"/>
    <s v="CAMARÓN CONGELADO DE EXPORTACIÓN"/>
  </r>
  <r>
    <x v="30"/>
    <s v="SALSA DE TOMATE"/>
  </r>
  <r>
    <x v="9"/>
    <s v="TELA DE PUNTO POLIESTER"/>
  </r>
  <r>
    <x v="164"/>
    <s v="CAMARÓN CONGELADO DE EXPORTACIÓN"/>
  </r>
  <r>
    <x v="159"/>
    <s v="BLOQUES"/>
  </r>
  <r>
    <x v="165"/>
    <s v="NEUMÁTICO PARA AUTOMÓVIL"/>
  </r>
  <r>
    <x v="166"/>
    <s v="OLLA DE METAL"/>
  </r>
  <r>
    <x v="19"/>
    <s v="COCINETA DE GAS"/>
  </r>
  <r>
    <x v="39"/>
    <s v="RESINA"/>
  </r>
  <r>
    <x v="167"/>
    <s v="ADOQUINES"/>
  </r>
  <r>
    <x v="150"/>
    <s v="VINO ESPUMANTE"/>
  </r>
  <r>
    <x v="168"/>
    <s v="TÉ DE CEDRÓN"/>
  </r>
  <r>
    <x v="29"/>
    <s v="TOALLAS DE BAÑO DE ALGODÓN"/>
  </r>
  <r>
    <x v="162"/>
    <s v="CAMARÓN FRESCO"/>
  </r>
  <r>
    <x v="163"/>
    <s v="REFRIGERADORA DOS PUERTAS"/>
  </r>
  <r>
    <x v="109"/>
    <s v="CAMARÓN CONGELADO"/>
  </r>
  <r>
    <x v="56"/>
    <s v="MAYONESA"/>
  </r>
  <r>
    <x v="9"/>
    <s v="TELA DE PUNTO POLIESTER"/>
  </r>
  <r>
    <x v="164"/>
    <s v="CAMARÓN CONGELADO DE EXPORTACIÓN"/>
  </r>
  <r>
    <x v="167"/>
    <s v="ADOQUINES"/>
  </r>
  <r>
    <x v="165"/>
    <s v="NEUMÁTICO PARA AUTOMÓVIL"/>
  </r>
  <r>
    <x v="166"/>
    <s v="OLLA DE METAL"/>
  </r>
  <r>
    <x v="169"/>
    <s v="ENVASES METÁLICO"/>
  </r>
  <r>
    <x v="6"/>
    <s v="PINTURA"/>
  </r>
  <r>
    <x v="167"/>
    <s v="ADOQUINES"/>
  </r>
  <r>
    <x v="79"/>
    <s v="WHISKY"/>
  </r>
  <r>
    <x v="170"/>
    <s v="TÉ DE HIERBA LUISA"/>
  </r>
  <r>
    <x v="29"/>
    <s v="TOALLAS DE BAÑO DE ALGODÓN"/>
  </r>
  <r>
    <x v="84"/>
    <s v="RON"/>
  </r>
  <r>
    <x v="109"/>
    <s v="CAMARÓN CONGELADO"/>
  </r>
  <r>
    <x v="171"/>
    <s v="EMPASTE"/>
  </r>
  <r>
    <x v="172"/>
    <s v="NEUMÁTICO PARA CAMIONETA"/>
  </r>
  <r>
    <x v="166"/>
    <s v="OLLA DE METAL"/>
  </r>
  <r>
    <x v="173"/>
    <s v="BARNIZ"/>
  </r>
  <r>
    <x v="174"/>
    <s v="TÉ DE MANZANILLA"/>
  </r>
  <r>
    <x v="67"/>
    <s v="PASTA DE TOMATE"/>
  </r>
  <r>
    <x v="109"/>
    <s v="CAMARÓN CONGELADO"/>
  </r>
  <r>
    <x v="148"/>
    <s v="MORTERO"/>
  </r>
  <r>
    <x v="172"/>
    <s v="NEUMÁTICO PARA CAMIONETA"/>
  </r>
  <r>
    <x v="31"/>
    <s v="SELLANTE"/>
  </r>
  <r>
    <x v="175"/>
    <s v="TÉ VERDE"/>
  </r>
  <r>
    <x v="176"/>
    <s v="MOSTAZA"/>
  </r>
  <r>
    <x v="177"/>
    <s v="HORMIGÓN PRÉ-MEZCLADO"/>
  </r>
  <r>
    <x v="178"/>
    <s v="NEUMÁTICO DE CAMIÓN"/>
  </r>
  <r>
    <x v="7"/>
    <s v="CARAMELOS"/>
  </r>
  <r>
    <x v="179"/>
    <s v="COMINO EN POLVO"/>
  </r>
  <r>
    <x v="47"/>
    <s v="MEDIAS ENTERAS PARA MUJER"/>
  </r>
  <r>
    <x v="180"/>
    <s v="POSTES DE EUCALIPTO"/>
  </r>
  <r>
    <x v="45"/>
    <s v="SERVILLETAS"/>
  </r>
  <r>
    <x v="177"/>
    <s v="HORMIGÓN PRÉ-MEZCLADO"/>
  </r>
  <r>
    <x v="177"/>
    <s v="HORMIGÓN PRÉ-MEZCLADO"/>
  </r>
  <r>
    <x v="3"/>
    <s v="ACEITE CRUDO DE PALMA AFRICANA"/>
  </r>
  <r>
    <x v="181"/>
    <s v="MANÍ  DE SAL (SNACK)"/>
  </r>
  <r>
    <x v="182"/>
    <s v="ESCOBA"/>
  </r>
  <r>
    <x v="177"/>
    <s v="HORMIGÓN PRÉ-MEZCLADO"/>
  </r>
  <r>
    <x v="183"/>
    <s v="TORRES DE ACERO"/>
  </r>
  <r>
    <x v="184"/>
    <s v="ATÚN ENTERO CONGELADO DE EXPORTACIÓN"/>
  </r>
  <r>
    <x v="3"/>
    <s v="ACEITE CRUDO DE PALMA AFRICANA"/>
  </r>
  <r>
    <x v="181"/>
    <s v="MANÍ  DE SAL (SNACK)"/>
  </r>
  <r>
    <x v="30"/>
    <s v="SALSA DE TOMATE"/>
  </r>
  <r>
    <x v="9"/>
    <s v="TELA DE PUNTO POLIESTER"/>
  </r>
  <r>
    <x v="20"/>
    <s v="HILO ACRILICO"/>
  </r>
  <r>
    <x v="28"/>
    <s v="TELA POLIESTER"/>
  </r>
  <r>
    <x v="29"/>
    <s v="TOALLAS DE BAÑO DE ALGODÓN"/>
  </r>
  <r>
    <x v="47"/>
    <s v="MEDIAS ENTERAS PARA MUJER"/>
  </r>
  <r>
    <x v="78"/>
    <s v="BOTINES DE CUERO"/>
  </r>
  <r>
    <x v="41"/>
    <s v="CALZADO DE LONA"/>
  </r>
  <r>
    <x v="78"/>
    <s v="BOTINES DE CUERO"/>
  </r>
  <r>
    <x v="6"/>
    <s v="PINTURA"/>
  </r>
  <r>
    <x v="6"/>
    <s v="PINTURA"/>
  </r>
  <r>
    <x v="132"/>
    <s v="DESGRASANTES"/>
  </r>
  <r>
    <x v="132"/>
    <s v="DESGRASANTES"/>
  </r>
  <r>
    <x v="32"/>
    <s v="COMPLEJO B"/>
  </r>
  <r>
    <x v="185"/>
    <s v="MANTECA DE CACAO"/>
  </r>
  <r>
    <x v="177"/>
    <s v="HORMIGÓN PRÉ-MEZCLADO"/>
  </r>
  <r>
    <x v="54"/>
    <s v="BÍTUMEN/BETÚN (PARA CARRETERAS)"/>
  </r>
  <r>
    <x v="101"/>
    <s v="ENVASES DE HOJALATA"/>
  </r>
  <r>
    <x v="186"/>
    <s v="CANECAS, BALDES"/>
  </r>
  <r>
    <x v="92"/>
    <s v="CALZONARIA PARA MUJER ALGODÓN"/>
  </r>
  <r>
    <x v="37"/>
    <s v="ABONO COMPUESTO"/>
  </r>
  <r>
    <x v="126"/>
    <s v="INSECTICIDAS AGRICOLAS"/>
  </r>
  <r>
    <x v="187"/>
    <s v="JABON INDUSTRIAL"/>
  </r>
  <r>
    <x v="188"/>
    <s v="ANTIÁCIDOS"/>
  </r>
  <r>
    <x v="189"/>
    <s v="PULPA DE FRUTILLA"/>
  </r>
  <r>
    <x v="190"/>
    <s v="SALSA DE AJÍ"/>
  </r>
  <r>
    <x v="9"/>
    <s v="TELA DE PUNTO POLIESTER"/>
  </r>
  <r>
    <x v="161"/>
    <s v="EDREDON"/>
  </r>
  <r>
    <x v="191"/>
    <s v="CAMA DE MADERA"/>
  </r>
  <r>
    <x v="108"/>
    <s v="DESODORANTE AMBIENTAL"/>
  </r>
  <r>
    <x v="177"/>
    <s v="HORMIGÓN PRÉ-MEZCLADO"/>
  </r>
  <r>
    <x v="192"/>
    <s v="CARPETA PLÁSTICA/FORROS PLASTICOS"/>
  </r>
  <r>
    <x v="7"/>
    <s v="CARAMELOS"/>
  </r>
  <r>
    <x v="193"/>
    <s v="ESPAGUETI"/>
  </r>
  <r>
    <x v="12"/>
    <s v="MEDIAS DE NIÑO"/>
  </r>
  <r>
    <x v="194"/>
    <s v="VIGUETAS, VIGAS Y PIEZAS DE COLORADO"/>
  </r>
  <r>
    <x v="3"/>
    <s v="ACEITE CRUDO DE PALMA AFRICANA"/>
  </r>
  <r>
    <x v="181"/>
    <s v="MANÍ  DE SAL (SNACK)"/>
  </r>
  <r>
    <x v="195"/>
    <s v="PESCADO ENTERO CONGELADO DE EXPORTACIÓN"/>
  </r>
  <r>
    <x v="160"/>
    <s v="ALIÑOS PREPARADOS"/>
  </r>
  <r>
    <x v="196"/>
    <s v="ALMOHADA"/>
  </r>
  <r>
    <x v="20"/>
    <s v="HILO ACRILICO"/>
  </r>
  <r>
    <x v="29"/>
    <s v="TOALLAS DE BAÑO DE ALGODÓN"/>
  </r>
  <r>
    <x v="47"/>
    <s v="MEDIAS ENTERAS PARA MUJER"/>
  </r>
  <r>
    <x v="78"/>
    <s v="BOTINES DE CUERO"/>
  </r>
  <r>
    <x v="0"/>
    <s v="ZAPATOS DE CUERO PARA HOMBRE Y MUJER"/>
  </r>
  <r>
    <x v="78"/>
    <s v="BOTINES DE CUERO"/>
  </r>
  <r>
    <x v="6"/>
    <s v="PINTURA"/>
  </r>
  <r>
    <x v="1"/>
    <s v="DETERGENTE DE ROPA"/>
  </r>
  <r>
    <x v="197"/>
    <s v="GEL ANTIBACTERIAL"/>
  </r>
  <r>
    <x v="101"/>
    <s v="ENVASES DE HOJALATA"/>
  </r>
  <r>
    <x v="182"/>
    <s v="ESCOBA"/>
  </r>
  <r>
    <x v="92"/>
    <s v="CALZONARIA PARA MUJER ALGODÓN"/>
  </r>
  <r>
    <x v="37"/>
    <s v="ABONO COMPUESTO"/>
  </r>
  <r>
    <x v="132"/>
    <s v="DESGRASANTES"/>
  </r>
  <r>
    <x v="198"/>
    <s v="ACICLOVIR"/>
  </r>
  <r>
    <x v="199"/>
    <s v="PULPA DE FRUTAS"/>
  </r>
  <r>
    <x v="71"/>
    <s v="SALSA DE SOYA"/>
  </r>
  <r>
    <x v="14"/>
    <s v="COBIJA DE POLIESTER"/>
  </r>
  <r>
    <x v="42"/>
    <s v="CLORO LIQUIDO"/>
  </r>
  <r>
    <x v="192"/>
    <s v="CARPETA PLÁSTICA/FORROS PLASTICOS"/>
  </r>
  <r>
    <x v="7"/>
    <s v="CARAMELOS"/>
  </r>
  <r>
    <x v="160"/>
    <s v="ALIÑOS PREPARADOS"/>
  </r>
  <r>
    <x v="12"/>
    <s v="MEDIAS DE NIÑO"/>
  </r>
  <r>
    <x v="164"/>
    <s v="CAMARÓN CONGELADO DE EXPORTACIÓN"/>
  </r>
  <r>
    <x v="29"/>
    <s v="TOALLAS DE BAÑO DE ALGODÓN"/>
  </r>
  <r>
    <x v="0"/>
    <s v="ZAPATOS DE CUERO PARA HOMBRE Y MUJER"/>
  </r>
  <r>
    <x v="57"/>
    <s v="DILUYENTE"/>
  </r>
  <r>
    <x v="11"/>
    <s v="SUAVIZANTE DE ROPA"/>
  </r>
  <r>
    <x v="101"/>
    <s v="ENVASES DE HOJALATA"/>
  </r>
  <r>
    <x v="182"/>
    <s v="ESCOBA"/>
  </r>
  <r>
    <x v="200"/>
    <s v="PIJAMAS DE MUJER SINTÉTICO"/>
  </r>
  <r>
    <x v="37"/>
    <s v="ABONO COMPUESTO"/>
  </r>
  <r>
    <x v="132"/>
    <s v="DESGRASANTES"/>
  </r>
  <r>
    <x v="201"/>
    <s v="MULTIVITAMINICO"/>
  </r>
  <r>
    <x v="199"/>
    <s v="PULPA DE FRUTAS"/>
  </r>
  <r>
    <x v="1"/>
    <s v="DETERGENTE DE ROPA"/>
  </r>
  <r>
    <x v="202"/>
    <s v="CARPETAS DE CARTÓN"/>
  </r>
  <r>
    <x v="203"/>
    <s v="CONDIMENTOS Y SAZONADORES EN POLVO"/>
  </r>
  <r>
    <x v="204"/>
    <s v="MEDIAS PARA ADULTOS"/>
  </r>
  <r>
    <x v="164"/>
    <s v="CAMARÓN CONGELADO DE EXPORTACIÓN"/>
  </r>
  <r>
    <x v="42"/>
    <s v="CLORO LIQUIDO"/>
  </r>
  <r>
    <x v="182"/>
    <s v="ESCOBA"/>
  </r>
  <r>
    <x v="132"/>
    <s v="DESGRASANTES"/>
  </r>
  <r>
    <x v="140"/>
    <s v="ANTIGRIPALES"/>
  </r>
  <r>
    <x v="199"/>
    <s v="PULPA DE FRUTAS"/>
  </r>
  <r>
    <x v="204"/>
    <s v="MEDIAS PARA ADULTOS"/>
  </r>
  <r>
    <x v="195"/>
    <s v="PESCADO ENTERO CONGELADO DE EXPORTACIÓN"/>
  </r>
  <r>
    <x v="138"/>
    <s v="JABÓN LÍQUIDO"/>
  </r>
  <r>
    <x v="132"/>
    <s v="DESGRASANTES"/>
  </r>
  <r>
    <x v="199"/>
    <s v="PULPA DE FRUTAS"/>
  </r>
  <r>
    <x v="20"/>
    <s v="HILO DE POLIESTER"/>
  </r>
  <r>
    <x v="37"/>
    <s v="ABONO COMPUESTO"/>
  </r>
  <r>
    <x v="199"/>
    <s v="PULPA DE FRUTA "/>
  </r>
  <r>
    <x v="205"/>
    <s v="AGUARDIENTE DE CAÑA"/>
  </r>
  <r>
    <x v="206"/>
    <s v="PINTURA NO A BASE DE AGUA"/>
  </r>
  <r>
    <x v="207"/>
    <s v="FRIGORIFICO"/>
  </r>
  <r>
    <x v="20"/>
    <s v="HILO DE POLIESTER"/>
  </r>
  <r>
    <x v="37"/>
    <s v="ABONO COMPUESTO"/>
  </r>
  <r>
    <x v="199"/>
    <s v="PULPA DE FRUTA "/>
  </r>
  <r>
    <x v="84"/>
    <s v="RON"/>
  </r>
  <r>
    <x v="163"/>
    <s v="REFRIGERADORA DOS PUERTAS"/>
  </r>
  <r>
    <x v="20"/>
    <s v="HILO DE POLIESTER"/>
  </r>
  <r>
    <x v="37"/>
    <s v="ABONO COMPUESTO"/>
  </r>
  <r>
    <x v="199"/>
    <s v="PULPA DE FRUTILLA"/>
  </r>
  <r>
    <x v="88"/>
    <s v="VODKA"/>
  </r>
  <r>
    <x v="19"/>
    <s v="COCINETA DE GAS"/>
  </r>
  <r>
    <x v="20"/>
    <s v="HILO DE POLIESTER"/>
  </r>
  <r>
    <x v="37"/>
    <s v="ABONO COMPUESTO"/>
  </r>
  <r>
    <x v="199"/>
    <s v="PULPA DE FRUTA "/>
  </r>
  <r>
    <x v="150"/>
    <s v="VINO ESPUMANTE"/>
  </r>
  <r>
    <x v="208"/>
    <s v="COCINA DE GAS"/>
  </r>
  <r>
    <x v="20"/>
    <s v="HILO DE POLIESTER"/>
  </r>
  <r>
    <x v="37"/>
    <s v="ABONO COMPUESTO"/>
  </r>
  <r>
    <x v="199"/>
    <s v="PULPA DE FRUTA "/>
  </r>
  <r>
    <x v="209"/>
    <s v="HORNOS A GAS"/>
  </r>
  <r>
    <x v="199"/>
    <s v="PULPA DE FRUTAS"/>
  </r>
  <r>
    <x v="210"/>
    <s v="HARINA DE TRIGO"/>
  </r>
  <r>
    <x v="79"/>
    <s v="WHISKY"/>
  </r>
  <r>
    <x v="83"/>
    <s v="BIVIDÍ"/>
  </r>
  <r>
    <x v="80"/>
    <s v="CUERO DIVIDIDO"/>
  </r>
  <r>
    <x v="211"/>
    <s v="CARNAZA"/>
  </r>
  <r>
    <x v="138"/>
    <s v="JABÓN LÍQUIDO"/>
  </r>
  <r>
    <x v="167"/>
    <s v="ADOQUINES"/>
  </r>
  <r>
    <x v="212"/>
    <s v="PASAMANOS DE ACERO"/>
  </r>
  <r>
    <x v="208"/>
    <s v="COCINA DE GAS"/>
  </r>
  <r>
    <x v="199"/>
    <s v="PULPA DE FRUTAS"/>
  </r>
  <r>
    <x v="213"/>
    <s v="GASEOSA"/>
  </r>
  <r>
    <x v="28"/>
    <s v="TELA POLIESTER"/>
  </r>
  <r>
    <x v="211"/>
    <s v="CARNAZA"/>
  </r>
  <r>
    <x v="80"/>
    <s v="CUERO DIVIDIDO"/>
  </r>
  <r>
    <x v="41"/>
    <s v="CALZADO DE LONA"/>
  </r>
  <r>
    <x v="28"/>
    <s v="TELA POLIESTER"/>
  </r>
  <r>
    <x v="83"/>
    <s v="BIVIDÍ"/>
  </r>
  <r>
    <x v="92"/>
    <s v="CALZONARIA PARA MUJER ALGODÓN"/>
  </r>
  <r>
    <x v="204"/>
    <s v="MEDIAS PARA ADULTOS"/>
  </r>
  <r>
    <x v="214"/>
    <s v="CALZADO CON PUNTA METALIZADA"/>
  </r>
  <r>
    <x v="215"/>
    <s v="AGUA NATURAL"/>
  </r>
  <r>
    <x v="150"/>
    <s v="VINO ESPUMANTE"/>
  </r>
  <r>
    <x v="87"/>
    <s v="BLUSA PARA MUJER"/>
  </r>
  <r>
    <x v="80"/>
    <s v="CUERO DIVIDIDO"/>
  </r>
  <r>
    <x v="80"/>
    <s v="CUERO DIVIDIDO"/>
  </r>
  <r>
    <x v="132"/>
    <s v="DESGRASANTES"/>
  </r>
  <r>
    <x v="111"/>
    <s v="TUBOS DE HORMIGÓN"/>
  </r>
  <r>
    <x v="209"/>
    <s v="HORNOS A GAS"/>
  </r>
  <r>
    <x v="190"/>
    <s v="SALSA DE AJÍ"/>
  </r>
  <r>
    <x v="29"/>
    <s v="TOALLAS DE BAÑO DE ALGODÓN"/>
  </r>
  <r>
    <x v="80"/>
    <s v="CUERO DIVIDIDO"/>
  </r>
  <r>
    <x v="9"/>
    <s v="TELA DE PUNTO POLIESTER"/>
  </r>
  <r>
    <x v="85"/>
    <s v="CALZONCILLO PARA HOMBRE ALGODÓN"/>
  </r>
  <r>
    <x v="12"/>
    <s v="MEDIAS DE NIÑO"/>
  </r>
  <r>
    <x v="189"/>
    <s v="PULPA DE FRUTILLA"/>
  </r>
  <r>
    <x v="90"/>
    <s v="CAMISETA DEPORTIVA DE HOMBRE"/>
  </r>
  <r>
    <x v="1"/>
    <s v="DETERGENTE DE ROPA"/>
  </r>
  <r>
    <x v="112"/>
    <s v="PILOTES DE HORMIGÓN"/>
  </r>
  <r>
    <x v="189"/>
    <s v="PULPA DE FRUTILLA"/>
  </r>
  <r>
    <x v="29"/>
    <s v="TOALLAS DE BAÑO DE ALGODÓN"/>
  </r>
  <r>
    <x v="63"/>
    <s v="MEDIAS DE FÚTBOL"/>
  </r>
  <r>
    <x v="199"/>
    <s v="PULPA DE FRUTAS"/>
  </r>
  <r>
    <x v="92"/>
    <s v="CALZONARIA PARA MUJER ALGODÓN"/>
  </r>
  <r>
    <x v="11"/>
    <s v="SUAVIZANTE DE ROPA"/>
  </r>
  <r>
    <x v="216"/>
    <s v="MERMELADA DE PIÑA"/>
  </r>
  <r>
    <x v="216"/>
    <s v="MERMELADA DE PIÑA"/>
  </r>
  <r>
    <x v="96"/>
    <s v="CAMISETA DE HOMBRE DE ALGODÓN"/>
  </r>
  <r>
    <x v="217"/>
    <s v="CONJUNTO PARA HOMBRE"/>
  </r>
  <r>
    <x v="85"/>
    <s v="CALZONCILLO PARA HOMBRE ALGODÓN"/>
  </r>
  <r>
    <x v="204"/>
    <s v="MEDIAS PARA ADULTOS"/>
  </r>
  <r>
    <x v="37"/>
    <s v="ABONO COMPUESTO"/>
  </r>
  <r>
    <x v="156"/>
    <s v="TAPAS PLÁSTICAS"/>
  </r>
  <r>
    <x v="21"/>
    <s v="CABOS SINTÉTICOS"/>
  </r>
  <r>
    <x v="218"/>
    <s v="VIDRIO LAMINADO"/>
  </r>
  <r>
    <x v="35"/>
    <s v="HILO DE POLIÉSTER PARA TELA"/>
  </r>
  <r>
    <x v="29"/>
    <s v="TOALLAS DE BAÑO DE ALGODÓN"/>
  </r>
  <r>
    <x v="80"/>
    <s v="CUERO DIVIDIDO"/>
  </r>
  <r>
    <x v="219"/>
    <s v="SANDALIA PARA MUJER"/>
  </r>
  <r>
    <x v="98"/>
    <s v="ÁCIDO FOLICO"/>
  </r>
  <r>
    <x v="220"/>
    <s v="HARINA DE MAIZ"/>
  </r>
  <r>
    <x v="221"/>
    <s v="SNACK A BASE DE CUERO DE CERDO (CRONQUIS)"/>
  </r>
  <r>
    <x v="112"/>
    <s v="PILOTES DE HORMIGÓN"/>
  </r>
  <r>
    <x v="222"/>
    <s v="CONJUNTO PARA MUJER SINTETICO(CPC 28233.02.06.01 )"/>
  </r>
  <r>
    <x v="21"/>
    <s v="CABOS SINTÉTICOS"/>
  </r>
  <r>
    <x v="80"/>
    <s v="CUERO DIVIDIDO"/>
  </r>
  <r>
    <x v="223"/>
    <s v="MULTIVITAMINICO"/>
  </r>
  <r>
    <x v="210"/>
    <s v="HARINA DE TRIGO"/>
  </r>
  <r>
    <x v="221"/>
    <s v="SNACK A BASE DE CUERO DE CERDO (CRONQUIS)"/>
  </r>
  <r>
    <x v="224"/>
    <s v="CAMISETA DE  MUJER POLIESTER"/>
  </r>
  <r>
    <x v="225"/>
    <s v="TUBO DE ALCANTARILLADO"/>
  </r>
  <r>
    <x v="29"/>
    <s v="TOALLAS DE BAÑO DE ALGODÓN"/>
  </r>
  <r>
    <x v="80"/>
    <s v="CUERO DIVIDIDO"/>
  </r>
  <r>
    <x v="223"/>
    <s v="MULTIVITAMINICO"/>
  </r>
  <r>
    <x v="226"/>
    <s v="HARINA DE CEBADA"/>
  </r>
  <r>
    <x v="77"/>
    <s v="VASELINA"/>
  </r>
  <r>
    <x v="227"/>
    <s v="HARINA DE PLÁTANO"/>
  </r>
  <r>
    <x v="197"/>
    <s v="GEL ANTIBACTERIAL"/>
  </r>
  <r>
    <x v="228"/>
    <s v="ACETONA"/>
  </r>
  <r>
    <x v="54"/>
    <s v="BÍTUMEN/BETÚN (PARA CARRETERAS)"/>
  </r>
  <r>
    <x v="228"/>
    <s v="ACETONA"/>
  </r>
  <r>
    <x v="229"/>
    <s v="TAMBORES DE ACERO"/>
  </r>
  <r>
    <x v="130"/>
    <s v="HARINA DE PESCADO"/>
  </r>
  <r>
    <x v="36"/>
    <s v="TANQUE DE ACERO INOXIDABLE"/>
  </r>
  <r>
    <x v="99"/>
    <s v="SAL REFINADA"/>
  </r>
  <r>
    <x v="230"/>
    <s v="BLOQUE DE BALSA CERRADA"/>
  </r>
  <r>
    <x v="108"/>
    <s v="DESODORANTE AMBIENTAL"/>
  </r>
  <r>
    <x v="177"/>
    <s v="HORMIGÓN PRÉ-MEZCLADO"/>
  </r>
  <r>
    <x v="130"/>
    <s v="HARINA DE PESCADO"/>
  </r>
  <r>
    <x v="3"/>
    <s v="ACEITE CRUDO DE PALMA AFRICANA"/>
  </r>
  <r>
    <x v="62"/>
    <s v="TINTA DE COLORES"/>
  </r>
  <r>
    <x v="36"/>
    <s v="TANQUE DE ACERO INOXIDABLE"/>
  </r>
  <r>
    <x v="108"/>
    <s v="DESODORANTE AMBIENTAL"/>
  </r>
  <r>
    <x v="36"/>
    <s v="TANQUE DE ACERO INOXIDABLE"/>
  </r>
  <r>
    <x v="108"/>
    <s v="DESODORANTE AMBIENTAL"/>
  </r>
  <r>
    <x v="231"/>
    <s v="CANELA"/>
  </r>
  <r>
    <x v="231"/>
    <s v="CANELA"/>
  </r>
  <r>
    <x v="42"/>
    <s v="CLORO LIQUIDO"/>
  </r>
  <r>
    <x v="136"/>
    <s v="ENVASE DE VIDRIO PEQUEÑO"/>
  </r>
  <r>
    <x v="227"/>
    <s v="HARINA DE PLÁTANO"/>
  </r>
  <r>
    <x v="232"/>
    <s v="GRANOLA"/>
  </r>
  <r>
    <x v="29"/>
    <s v="TOALLAS DE BAÑO DE ALGODÓN"/>
  </r>
  <r>
    <x v="111"/>
    <s v="Tubos de Hormigón "/>
  </r>
  <r>
    <x v="208"/>
    <s v="COCINA DE GAS"/>
  </r>
  <r>
    <x v="161"/>
    <s v="EDREDON"/>
  </r>
  <r>
    <x v="121"/>
    <s v="ESTRUCTURAS METÁLICAS"/>
  </r>
  <r>
    <x v="160"/>
    <s v="ALIÑOS PREPARADOS"/>
  </r>
  <r>
    <x v="220"/>
    <s v="HARINA DE MAIZ"/>
  </r>
  <r>
    <x v="42"/>
    <s v="CLORO LIQUIDO"/>
  </r>
  <r>
    <x v="136"/>
    <s v="ENVASE DE VIDRIO PEQUEÑO"/>
  </r>
  <r>
    <x v="232"/>
    <s v="GRANOLA"/>
  </r>
  <r>
    <x v="208"/>
    <s v="COCINA DE GAS"/>
  </r>
  <r>
    <x v="179"/>
    <s v="COMINO EN POLVO"/>
  </r>
  <r>
    <x v="179"/>
    <s v="COMINO EN POLVO"/>
  </r>
  <r>
    <x v="138"/>
    <s v="JABÓN LÍQUIDO"/>
  </r>
  <r>
    <x v="31"/>
    <s v="SELLANTE"/>
  </r>
  <r>
    <x v="136"/>
    <s v="ENVASE DE VIDRIO PEQUEÑO"/>
  </r>
  <r>
    <x v="208"/>
    <s v="COCINA DE GAS"/>
  </r>
  <r>
    <x v="148"/>
    <s v="MORTERO"/>
  </r>
  <r>
    <x v="233"/>
    <s v="ESQUINEROS (ANGULOS PLASTICOS)"/>
  </r>
  <r>
    <x v="177"/>
    <s v="HORMIGÓN PRÉ-MEZCLADO"/>
  </r>
  <r>
    <x v="31"/>
    <s v="SELLANTE"/>
  </r>
  <r>
    <x v="136"/>
    <s v="ENVASE DE VIDRIO PEQUEÑO"/>
  </r>
  <r>
    <x v="209"/>
    <s v="HORNOS A GAS"/>
  </r>
  <r>
    <x v="148"/>
    <s v="MORTERO"/>
  </r>
  <r>
    <x v="177"/>
    <s v="HORMIGÓN PRÉ-MEZCLADO"/>
  </r>
  <r>
    <x v="132"/>
    <s v="DESGRASANTES"/>
  </r>
  <r>
    <x v="148"/>
    <s v="MORTERO"/>
  </r>
  <r>
    <x v="171"/>
    <s v="EMPASTE"/>
  </r>
  <r>
    <x v="171"/>
    <s v="EMPAS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name="TablaDiná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3:H82" firstHeaderRow="1" firstDataRow="1" firstDataCol="1"/>
  <pivotFields count="2">
    <pivotField axis="axisRow" dataField="1" showAll="0">
      <items count="79">
        <item x="51"/>
        <item x="66"/>
        <item x="3"/>
        <item x="61"/>
        <item x="5"/>
        <item x="15"/>
        <item x="25"/>
        <item x="44"/>
        <item x="7"/>
        <item x="71"/>
        <item x="30"/>
        <item x="56"/>
        <item x="67"/>
        <item x="53"/>
        <item x="65"/>
        <item x="70"/>
        <item x="75"/>
        <item x="35"/>
        <item x="20"/>
        <item x="60"/>
        <item x="10"/>
        <item x="28"/>
        <item x="9"/>
        <item x="14"/>
        <item x="29"/>
        <item x="21"/>
        <item x="47"/>
        <item x="12"/>
        <item x="63"/>
        <item x="0"/>
        <item x="41"/>
        <item x="8"/>
        <item x="45"/>
        <item x="34"/>
        <item x="59"/>
        <item x="42"/>
        <item x="37"/>
        <item x="39"/>
        <item x="6"/>
        <item x="31"/>
        <item x="57"/>
        <item x="62"/>
        <item x="32"/>
        <item x="72"/>
        <item x="33"/>
        <item x="68"/>
        <item x="76"/>
        <item x="69"/>
        <item x="74"/>
        <item x="48"/>
        <item x="1"/>
        <item x="11"/>
        <item x="22"/>
        <item x="77"/>
        <item x="23"/>
        <item x="58"/>
        <item x="64"/>
        <item x="46"/>
        <item x="17"/>
        <item x="4"/>
        <item x="2"/>
        <item x="38"/>
        <item x="26"/>
        <item x="54"/>
        <item x="16"/>
        <item x="13"/>
        <item x="40"/>
        <item x="73"/>
        <item x="18"/>
        <item x="27"/>
        <item x="55"/>
        <item x="36"/>
        <item x="43"/>
        <item x="52"/>
        <item x="49"/>
        <item x="50"/>
        <item x="19"/>
        <item x="24"/>
        <item t="default"/>
      </items>
    </pivotField>
    <pivotField showAll="0"/>
  </pivotFields>
  <rowFields count="1">
    <field x="0"/>
  </rowFields>
  <rowItems count="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 t="grand">
      <x/>
    </i>
  </rowItems>
  <colItems count="1">
    <i/>
  </colItems>
  <dataFields count="1">
    <dataField name="Cuenta de Código CPC 11 dígitos producto 1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4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E4:F29" firstHeaderRow="1" firstDataRow="1" firstDataCol="1"/>
  <pivotFields count="2">
    <pivotField axis="axisRow" dataField="1" showAll="0" sortType="ascending">
      <items count="25">
        <item x="1"/>
        <item x="10"/>
        <item x="14"/>
        <item x="18"/>
        <item x="8"/>
        <item x="5"/>
        <item x="2"/>
        <item x="17"/>
        <item x="11"/>
        <item x="19"/>
        <item x="23"/>
        <item x="7"/>
        <item x="13"/>
        <item x="3"/>
        <item x="21"/>
        <item x="6"/>
        <item x="0"/>
        <item x="9"/>
        <item x="16"/>
        <item x="12"/>
        <item x="22"/>
        <item x="4"/>
        <item x="15"/>
        <item x="20"/>
        <item t="default"/>
      </items>
    </pivotField>
    <pivotField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uenta de Código CPC 11 dígitos producto 1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7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E3:F88" firstHeaderRow="1" firstDataRow="1" firstDataCol="1"/>
  <pivotFields count="2">
    <pivotField axis="axisRow" dataField="1" showAll="0">
      <items count="85">
        <item x="22"/>
        <item x="38"/>
        <item x="18"/>
        <item x="77"/>
        <item x="63"/>
        <item x="17"/>
        <item x="33"/>
        <item x="5"/>
        <item x="30"/>
        <item x="40"/>
        <item x="41"/>
        <item x="65"/>
        <item x="13"/>
        <item x="46"/>
        <item x="26"/>
        <item x="25"/>
        <item x="44"/>
        <item x="31"/>
        <item x="59"/>
        <item x="4"/>
        <item x="23"/>
        <item x="55"/>
        <item x="73"/>
        <item x="47"/>
        <item x="10"/>
        <item x="20"/>
        <item x="42"/>
        <item x="68"/>
        <item x="66"/>
        <item x="3"/>
        <item x="72"/>
        <item x="74"/>
        <item x="37"/>
        <item x="62"/>
        <item x="27"/>
        <item x="57"/>
        <item x="49"/>
        <item x="14"/>
        <item x="1"/>
        <item x="70"/>
        <item x="48"/>
        <item x="2"/>
        <item x="0"/>
        <item x="61"/>
        <item x="39"/>
        <item x="36"/>
        <item x="60"/>
        <item x="71"/>
        <item x="34"/>
        <item x="82"/>
        <item x="75"/>
        <item x="79"/>
        <item x="83"/>
        <item x="53"/>
        <item x="58"/>
        <item x="81"/>
        <item x="45"/>
        <item x="15"/>
        <item x="52"/>
        <item x="50"/>
        <item x="12"/>
        <item x="29"/>
        <item x="16"/>
        <item x="78"/>
        <item x="69"/>
        <item x="35"/>
        <item x="11"/>
        <item x="64"/>
        <item x="80"/>
        <item x="28"/>
        <item x="24"/>
        <item x="56"/>
        <item x="21"/>
        <item x="19"/>
        <item x="54"/>
        <item x="43"/>
        <item x="67"/>
        <item x="76"/>
        <item x="32"/>
        <item x="9"/>
        <item x="8"/>
        <item x="6"/>
        <item x="51"/>
        <item x="7"/>
        <item t="default"/>
      </items>
    </pivotField>
    <pivotField showAll="0"/>
  </pivotFields>
  <rowFields count="1">
    <field x="0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Items count="1">
    <i/>
  </colItems>
  <dataFields count="1">
    <dataField name="Cuenta de Código CPC 11 dígitos producto 1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Dinámica8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E2:F40" firstHeaderRow="1" firstDataRow="1" firstDataCol="1"/>
  <pivotFields count="2">
    <pivotField axis="axisRow" dataField="1" showAll="0">
      <items count="38">
        <item x="6"/>
        <item x="19"/>
        <item x="8"/>
        <item x="33"/>
        <item x="9"/>
        <item x="20"/>
        <item x="34"/>
        <item x="4"/>
        <item x="30"/>
        <item x="17"/>
        <item x="29"/>
        <item x="24"/>
        <item x="23"/>
        <item x="25"/>
        <item x="3"/>
        <item x="16"/>
        <item x="10"/>
        <item x="18"/>
        <item x="5"/>
        <item x="1"/>
        <item x="14"/>
        <item x="22"/>
        <item x="28"/>
        <item x="32"/>
        <item x="31"/>
        <item x="26"/>
        <item x="11"/>
        <item x="27"/>
        <item x="36"/>
        <item x="35"/>
        <item x="2"/>
        <item x="15"/>
        <item x="21"/>
        <item x="12"/>
        <item x="7"/>
        <item x="0"/>
        <item x="13"/>
        <item t="default"/>
      </items>
    </pivotField>
    <pivotField showAll="0"/>
  </pivotFields>
  <rowFields count="1">
    <field x="0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dataFields count="1">
    <dataField name="Cuenta de Código CPC 11 dígitos producto 1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aDinámica10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H3:I74" firstHeaderRow="1" firstDataRow="1" firstDataCol="1"/>
  <pivotFields count="2">
    <pivotField axis="axisRow" dataField="1" showAll="0">
      <items count="71">
        <item x="10"/>
        <item x="39"/>
        <item x="50"/>
        <item x="7"/>
        <item x="30"/>
        <item x="46"/>
        <item x="6"/>
        <item x="21"/>
        <item x="0"/>
        <item x="36"/>
        <item x="1"/>
        <item x="47"/>
        <item x="11"/>
        <item x="31"/>
        <item x="40"/>
        <item x="56"/>
        <item x="60"/>
        <item x="63"/>
        <item x="65"/>
        <item x="67"/>
        <item x="13"/>
        <item x="14"/>
        <item x="12"/>
        <item x="48"/>
        <item x="15"/>
        <item x="41"/>
        <item x="32"/>
        <item x="2"/>
        <item x="37"/>
        <item x="57"/>
        <item x="25"/>
        <item x="53"/>
        <item x="16"/>
        <item x="42"/>
        <item x="17"/>
        <item x="38"/>
        <item x="3"/>
        <item x="4"/>
        <item x="55"/>
        <item x="49"/>
        <item x="26"/>
        <item x="27"/>
        <item x="18"/>
        <item x="61"/>
        <item x="51"/>
        <item x="20"/>
        <item x="54"/>
        <item x="58"/>
        <item x="29"/>
        <item x="45"/>
        <item x="59"/>
        <item x="28"/>
        <item x="19"/>
        <item x="43"/>
        <item x="52"/>
        <item x="44"/>
        <item x="34"/>
        <item x="24"/>
        <item x="35"/>
        <item x="5"/>
        <item x="22"/>
        <item x="33"/>
        <item x="8"/>
        <item x="9"/>
        <item x="23"/>
        <item x="62"/>
        <item x="64"/>
        <item x="66"/>
        <item x="68"/>
        <item x="69"/>
        <item t="default"/>
      </items>
    </pivotField>
    <pivotField showAll="0"/>
  </pivotFields>
  <rowFields count="1">
    <field x="0"/>
  </rowFields>
  <rowItems count="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 t="grand">
      <x/>
    </i>
  </rowItems>
  <colItems count="1">
    <i/>
  </colItems>
  <dataFields count="1">
    <dataField name="Cuenta de Código CPC 11 dígitos producto 1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laDinámica11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E3:F57" firstHeaderRow="1" firstDataRow="1" firstDataCol="1"/>
  <pivotFields count="2">
    <pivotField axis="axisRow" dataField="1" showAll="0">
      <items count="54">
        <item x="5"/>
        <item x="44"/>
        <item x="33"/>
        <item x="27"/>
        <item x="0"/>
        <item x="1"/>
        <item x="43"/>
        <item x="49"/>
        <item x="51"/>
        <item x="22"/>
        <item x="2"/>
        <item x="17"/>
        <item x="16"/>
        <item x="10"/>
        <item x="40"/>
        <item x="11"/>
        <item x="24"/>
        <item x="23"/>
        <item x="38"/>
        <item x="26"/>
        <item x="31"/>
        <item x="14"/>
        <item x="35"/>
        <item x="28"/>
        <item x="25"/>
        <item x="47"/>
        <item x="13"/>
        <item x="34"/>
        <item x="3"/>
        <item x="45"/>
        <item x="18"/>
        <item x="4"/>
        <item x="15"/>
        <item x="41"/>
        <item x="12"/>
        <item x="36"/>
        <item x="42"/>
        <item x="46"/>
        <item x="6"/>
        <item x="19"/>
        <item x="29"/>
        <item x="32"/>
        <item x="50"/>
        <item x="52"/>
        <item x="48"/>
        <item x="37"/>
        <item x="39"/>
        <item x="30"/>
        <item x="20"/>
        <item x="7"/>
        <item x="8"/>
        <item x="9"/>
        <item x="21"/>
        <item t="default"/>
      </items>
    </pivotField>
    <pivotField showAll="0"/>
  </pivotFields>
  <rowFields count="1">
    <field x="0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Items count="1">
    <i/>
  </colItems>
  <dataFields count="1">
    <dataField name="Cuenta de Código CPC 11 dígitos producto 1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laDinámica13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3:H15" firstHeaderRow="1" firstDataRow="1" firstDataCol="1"/>
  <pivotFields count="2">
    <pivotField axis="axisRow" dataField="1" showAll="0">
      <items count="12">
        <item x="3"/>
        <item x="9"/>
        <item x="5"/>
        <item x="6"/>
        <item x="10"/>
        <item x="0"/>
        <item x="7"/>
        <item x="8"/>
        <item x="1"/>
        <item x="4"/>
        <item x="2"/>
        <item t="default"/>
      </items>
    </pivotField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uenta de Código CPC 11 dígitos producto 1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laDinámica14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E4:F26" firstHeaderRow="1" firstDataRow="1" firstDataCol="1"/>
  <pivotFields count="2">
    <pivotField axis="axisRow" dataField="1" showAll="0">
      <items count="22">
        <item x="11"/>
        <item x="4"/>
        <item x="3"/>
        <item x="12"/>
        <item x="0"/>
        <item x="10"/>
        <item x="5"/>
        <item x="8"/>
        <item x="1"/>
        <item x="14"/>
        <item x="13"/>
        <item x="19"/>
        <item x="15"/>
        <item x="20"/>
        <item x="16"/>
        <item x="2"/>
        <item x="17"/>
        <item x="6"/>
        <item x="9"/>
        <item x="7"/>
        <item x="18"/>
        <item t="default"/>
      </items>
    </pivotField>
    <pivotField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uenta de Código CPC 11 dígitos producto 1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TablaDinámica15" cacheId="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2:H237" firstHeaderRow="1" firstDataRow="1" firstDataCol="1"/>
  <pivotFields count="2">
    <pivotField axis="axisRow" dataField="1" showAll="0">
      <items count="235">
        <item x="51"/>
        <item x="162"/>
        <item x="66"/>
        <item x="113"/>
        <item x="211"/>
        <item x="221"/>
        <item x="184"/>
        <item x="195"/>
        <item x="127"/>
        <item x="110"/>
        <item x="153"/>
        <item x="143"/>
        <item x="109"/>
        <item x="164"/>
        <item x="122"/>
        <item x="100"/>
        <item x="119"/>
        <item x="129"/>
        <item x="130"/>
        <item x="145"/>
        <item x="216"/>
        <item x="181"/>
        <item x="189"/>
        <item x="199"/>
        <item x="106"/>
        <item x="133"/>
        <item x="3"/>
        <item x="116"/>
        <item x="61"/>
        <item x="5"/>
        <item x="15"/>
        <item x="120"/>
        <item x="139"/>
        <item x="210"/>
        <item x="220"/>
        <item x="226"/>
        <item x="232"/>
        <item x="227"/>
        <item x="25"/>
        <item x="185"/>
        <item x="44"/>
        <item x="7"/>
        <item x="193"/>
        <item x="175"/>
        <item x="179"/>
        <item x="231"/>
        <item x="71"/>
        <item x="30"/>
        <item x="190"/>
        <item x="56"/>
        <item x="176"/>
        <item x="160"/>
        <item x="203"/>
        <item x="67"/>
        <item x="53"/>
        <item x="65"/>
        <item x="70"/>
        <item x="75"/>
        <item x="168"/>
        <item x="174"/>
        <item x="170"/>
        <item x="99"/>
        <item x="205"/>
        <item x="79"/>
        <item x="84"/>
        <item x="88"/>
        <item x="114"/>
        <item x="91"/>
        <item x="150"/>
        <item x="215"/>
        <item x="213"/>
        <item x="35"/>
        <item x="20"/>
        <item x="60"/>
        <item x="10"/>
        <item x="28"/>
        <item x="9"/>
        <item x="14"/>
        <item x="29"/>
        <item x="196"/>
        <item x="161"/>
        <item x="21"/>
        <item x="47"/>
        <item x="12"/>
        <item x="63"/>
        <item x="204"/>
        <item x="217"/>
        <item x="90"/>
        <item x="85"/>
        <item x="224"/>
        <item x="92"/>
        <item x="200"/>
        <item x="96"/>
        <item x="83"/>
        <item x="222"/>
        <item x="87"/>
        <item x="80"/>
        <item x="94"/>
        <item x="214"/>
        <item x="82"/>
        <item x="78"/>
        <item x="0"/>
        <item x="219"/>
        <item x="41"/>
        <item x="230"/>
        <item x="104"/>
        <item x="194"/>
        <item x="180"/>
        <item x="8"/>
        <item x="45"/>
        <item x="147"/>
        <item x="34"/>
        <item x="59"/>
        <item x="202"/>
        <item x="158"/>
        <item x="42"/>
        <item x="151"/>
        <item x="37"/>
        <item x="126"/>
        <item x="142"/>
        <item x="117"/>
        <item x="137"/>
        <item x="39"/>
        <item x="6"/>
        <item x="206"/>
        <item x="173"/>
        <item x="107"/>
        <item x="97"/>
        <item x="31"/>
        <item x="57"/>
        <item x="62"/>
        <item x="98"/>
        <item x="32"/>
        <item x="201"/>
        <item x="141"/>
        <item x="128"/>
        <item x="72"/>
        <item x="33"/>
        <item x="68"/>
        <item x="86"/>
        <item x="95"/>
        <item x="81"/>
        <item x="89"/>
        <item x="93"/>
        <item x="76"/>
        <item x="223"/>
        <item x="125"/>
        <item x="140"/>
        <item x="188"/>
        <item x="149"/>
        <item x="123"/>
        <item x="157"/>
        <item x="152"/>
        <item x="198"/>
        <item x="155"/>
        <item x="69"/>
        <item x="74"/>
        <item x="138"/>
        <item x="48"/>
        <item x="187"/>
        <item x="132"/>
        <item x="1"/>
        <item x="11"/>
        <item x="22"/>
        <item x="228"/>
        <item x="77"/>
        <item x="197"/>
        <item x="23"/>
        <item x="58"/>
        <item x="64"/>
        <item x="108"/>
        <item x="46"/>
        <item x="154"/>
        <item x="148"/>
        <item x="171"/>
        <item x="124"/>
        <item x="165"/>
        <item x="172"/>
        <item x="178"/>
        <item x="17"/>
        <item x="233"/>
        <item x="225"/>
        <item x="105"/>
        <item x="144"/>
        <item x="156"/>
        <item x="186"/>
        <item x="4"/>
        <item x="118"/>
        <item x="192"/>
        <item x="218"/>
        <item x="115"/>
        <item x="136"/>
        <item x="2"/>
        <item x="177"/>
        <item x="159"/>
        <item x="112"/>
        <item x="111"/>
        <item x="135"/>
        <item x="38"/>
        <item x="167"/>
        <item x="26"/>
        <item x="54"/>
        <item x="191"/>
        <item x="182"/>
        <item x="16"/>
        <item x="131"/>
        <item x="13"/>
        <item x="146"/>
        <item x="40"/>
        <item x="73"/>
        <item x="183"/>
        <item x="212"/>
        <item x="121"/>
        <item x="103"/>
        <item x="18"/>
        <item x="27"/>
        <item x="55"/>
        <item x="102"/>
        <item x="36"/>
        <item x="169"/>
        <item x="43"/>
        <item x="166"/>
        <item x="229"/>
        <item x="101"/>
        <item x="52"/>
        <item x="49"/>
        <item x="207"/>
        <item x="163"/>
        <item x="50"/>
        <item x="19"/>
        <item x="208"/>
        <item x="209"/>
        <item x="134"/>
        <item x="24"/>
        <item t="default"/>
      </items>
    </pivotField>
    <pivotField showAll="0"/>
  </pivotFields>
  <rowFields count="1">
    <field x="0"/>
  </rowFields>
  <rowItems count="2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 t="grand">
      <x/>
    </i>
  </rowItems>
  <colItems count="1">
    <i/>
  </colItems>
  <dataFields count="1">
    <dataField name="Cuenta de Código CPC 11 dígitos producto 1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C673"/>
  <sheetViews>
    <sheetView tabSelected="1" topLeftCell="BP1" zoomScale="90" zoomScaleNormal="90" workbookViewId="0">
      <pane ySplit="1" topLeftCell="A256" activePane="bottomLeft" state="frozen"/>
      <selection activeCell="CI1" sqref="CI1"/>
      <selection pane="bottomLeft" activeCell="BV256" sqref="BV256"/>
    </sheetView>
  </sheetViews>
  <sheetFormatPr baseColWidth="10" defaultColWidth="11.44140625" defaultRowHeight="14.4" x14ac:dyDescent="0.3"/>
  <cols>
    <col min="1" max="2" width="11.44140625" style="12"/>
    <col min="3" max="3" width="18.21875" style="12" customWidth="1"/>
    <col min="4" max="5" width="11.44140625" style="12"/>
    <col min="6" max="7" width="10.77734375" style="12" customWidth="1"/>
    <col min="8" max="8" width="15.44140625" style="12" customWidth="1"/>
    <col min="9" max="30" width="10.77734375" style="12" customWidth="1"/>
    <col min="31" max="31" width="10.77734375" style="78" customWidth="1"/>
    <col min="32" max="32" width="11.44140625" style="12"/>
    <col min="33" max="33" width="10.77734375" style="79"/>
    <col min="34" max="37" width="11.44140625" style="12"/>
    <col min="38" max="38" width="14.21875" style="80" customWidth="1"/>
    <col min="39" max="45" width="11.44140625" style="12"/>
    <col min="46" max="46" width="16.77734375" style="12" bestFit="1" customWidth="1"/>
    <col min="47" max="50" width="11.44140625" style="12"/>
    <col min="51" max="51" width="21.33203125" style="81" bestFit="1" customWidth="1"/>
    <col min="52" max="52" width="16.77734375" style="12" bestFit="1" customWidth="1"/>
    <col min="53" max="54" width="11.44140625" style="12"/>
    <col min="55" max="55" width="10.77734375" style="81"/>
    <col min="56" max="56" width="11.44140625" style="12"/>
    <col min="57" max="57" width="10.77734375" style="81"/>
    <col min="58" max="60" width="11.44140625" style="12"/>
    <col min="61" max="61" width="10.77734375" style="81"/>
    <col min="62" max="62" width="11.44140625" style="12"/>
    <col min="63" max="63" width="10.77734375" style="81"/>
    <col min="64" max="75" width="11.44140625" style="12"/>
    <col min="76" max="76" width="16.77734375" style="12" bestFit="1" customWidth="1"/>
    <col min="77" max="81" width="11.44140625" style="12"/>
    <col min="82" max="82" width="16.77734375" style="12" bestFit="1" customWidth="1"/>
    <col min="83" max="16384" width="11.44140625" style="12"/>
  </cols>
  <sheetData>
    <row r="1" spans="1:107" ht="61.2" x14ac:dyDescent="0.3">
      <c r="A1" s="13" t="s">
        <v>3368</v>
      </c>
      <c r="B1" s="13" t="s">
        <v>3369</v>
      </c>
      <c r="C1" s="13" t="s">
        <v>3370</v>
      </c>
      <c r="D1" s="13" t="s">
        <v>0</v>
      </c>
      <c r="E1" s="13" t="s">
        <v>1</v>
      </c>
      <c r="F1" s="13" t="s">
        <v>2</v>
      </c>
      <c r="G1" s="14" t="s">
        <v>3</v>
      </c>
      <c r="H1" s="14" t="s">
        <v>6921</v>
      </c>
      <c r="I1" s="13" t="s">
        <v>4</v>
      </c>
      <c r="J1" s="13" t="s">
        <v>5</v>
      </c>
      <c r="K1" s="13" t="s">
        <v>6</v>
      </c>
      <c r="L1" s="13" t="s">
        <v>7</v>
      </c>
      <c r="M1" s="13" t="s">
        <v>8</v>
      </c>
      <c r="N1" s="13" t="s">
        <v>9</v>
      </c>
      <c r="O1" s="13" t="s">
        <v>10</v>
      </c>
      <c r="P1" s="13" t="s">
        <v>11</v>
      </c>
      <c r="Q1" s="13" t="s">
        <v>12</v>
      </c>
      <c r="R1" s="13" t="s">
        <v>13</v>
      </c>
      <c r="S1" s="13" t="s">
        <v>14</v>
      </c>
      <c r="T1" s="13" t="s">
        <v>15</v>
      </c>
      <c r="U1" s="13" t="s">
        <v>16</v>
      </c>
      <c r="V1" s="13" t="s">
        <v>17</v>
      </c>
      <c r="W1" s="13" t="s">
        <v>18</v>
      </c>
      <c r="X1" s="13" t="s">
        <v>19</v>
      </c>
      <c r="Y1" s="13" t="s">
        <v>20</v>
      </c>
      <c r="Z1" s="13" t="s">
        <v>21</v>
      </c>
      <c r="AA1" s="13" t="s">
        <v>22</v>
      </c>
      <c r="AB1" s="13" t="s">
        <v>23</v>
      </c>
      <c r="AC1" s="13" t="s">
        <v>24</v>
      </c>
      <c r="AD1" s="13" t="s">
        <v>25</v>
      </c>
      <c r="AE1" s="13" t="s">
        <v>26</v>
      </c>
      <c r="AF1" s="13" t="s">
        <v>27</v>
      </c>
      <c r="AG1" s="15" t="s">
        <v>28</v>
      </c>
      <c r="AH1" s="16" t="s">
        <v>29</v>
      </c>
      <c r="AI1" s="17" t="s">
        <v>30</v>
      </c>
      <c r="AJ1" s="18" t="s">
        <v>6937</v>
      </c>
      <c r="AK1" s="19" t="s">
        <v>31</v>
      </c>
      <c r="AL1" s="20" t="s">
        <v>32</v>
      </c>
      <c r="AM1" s="21" t="s">
        <v>33</v>
      </c>
      <c r="AN1" s="21" t="s">
        <v>34</v>
      </c>
      <c r="AO1" s="21" t="s">
        <v>35</v>
      </c>
      <c r="AP1" s="21" t="s">
        <v>36</v>
      </c>
      <c r="AQ1" s="22" t="s">
        <v>37</v>
      </c>
      <c r="AR1" s="23" t="s">
        <v>38</v>
      </c>
      <c r="AS1" s="24" t="s">
        <v>39</v>
      </c>
      <c r="AT1" s="87" t="s">
        <v>40</v>
      </c>
      <c r="AU1" s="87" t="s">
        <v>41</v>
      </c>
      <c r="AV1" s="88" t="s">
        <v>42</v>
      </c>
      <c r="AW1" s="89" t="s">
        <v>43</v>
      </c>
      <c r="AX1" s="88" t="s">
        <v>44</v>
      </c>
      <c r="AY1" s="90" t="s">
        <v>43</v>
      </c>
      <c r="AZ1" s="87" t="s">
        <v>45</v>
      </c>
      <c r="BA1" s="87" t="s">
        <v>46</v>
      </c>
      <c r="BB1" s="88" t="s">
        <v>42</v>
      </c>
      <c r="BC1" s="90" t="s">
        <v>43</v>
      </c>
      <c r="BD1" s="88" t="s">
        <v>44</v>
      </c>
      <c r="BE1" s="90" t="s">
        <v>43</v>
      </c>
      <c r="BF1" s="87" t="s">
        <v>47</v>
      </c>
      <c r="BG1" s="87" t="s">
        <v>48</v>
      </c>
      <c r="BH1" s="88" t="s">
        <v>42</v>
      </c>
      <c r="BI1" s="88" t="s">
        <v>43</v>
      </c>
      <c r="BJ1" s="88" t="s">
        <v>44</v>
      </c>
      <c r="BK1" s="88" t="s">
        <v>43</v>
      </c>
      <c r="BL1" s="87" t="s">
        <v>49</v>
      </c>
      <c r="BM1" s="87" t="s">
        <v>50</v>
      </c>
      <c r="BN1" s="88" t="s">
        <v>42</v>
      </c>
      <c r="BO1" s="88" t="s">
        <v>43</v>
      </c>
      <c r="BP1" s="88" t="s">
        <v>44</v>
      </c>
      <c r="BQ1" s="88" t="s">
        <v>43</v>
      </c>
      <c r="BR1" s="87" t="s">
        <v>51</v>
      </c>
      <c r="BS1" s="87" t="s">
        <v>52</v>
      </c>
      <c r="BT1" s="88" t="s">
        <v>42</v>
      </c>
      <c r="BU1" s="88" t="s">
        <v>43</v>
      </c>
      <c r="BV1" s="88" t="s">
        <v>44</v>
      </c>
      <c r="BW1" s="88" t="s">
        <v>43</v>
      </c>
      <c r="BX1" s="112" t="s">
        <v>40</v>
      </c>
      <c r="BY1" s="112" t="s">
        <v>41</v>
      </c>
      <c r="BZ1" s="22" t="s">
        <v>42</v>
      </c>
      <c r="CA1" s="22" t="s">
        <v>43</v>
      </c>
      <c r="CB1" s="22" t="s">
        <v>44</v>
      </c>
      <c r="CC1" s="22" t="s">
        <v>43</v>
      </c>
      <c r="CD1" s="112" t="s">
        <v>45</v>
      </c>
      <c r="CE1" s="112" t="s">
        <v>46</v>
      </c>
      <c r="CF1" s="22" t="s">
        <v>42</v>
      </c>
      <c r="CG1" s="22" t="s">
        <v>43</v>
      </c>
      <c r="CH1" s="22" t="s">
        <v>44</v>
      </c>
      <c r="CI1" s="22" t="s">
        <v>43</v>
      </c>
      <c r="CJ1" s="112" t="s">
        <v>47</v>
      </c>
      <c r="CK1" s="112" t="s">
        <v>48</v>
      </c>
      <c r="CL1" s="22" t="s">
        <v>42</v>
      </c>
      <c r="CM1" s="22" t="s">
        <v>43</v>
      </c>
      <c r="CN1" s="22" t="s">
        <v>44</v>
      </c>
      <c r="CO1" s="22" t="s">
        <v>43</v>
      </c>
      <c r="CP1" s="112" t="s">
        <v>49</v>
      </c>
      <c r="CQ1" s="112" t="s">
        <v>50</v>
      </c>
      <c r="CR1" s="22" t="s">
        <v>42</v>
      </c>
      <c r="CS1" s="22" t="s">
        <v>43</v>
      </c>
      <c r="CT1" s="22" t="s">
        <v>44</v>
      </c>
      <c r="CU1" s="22" t="s">
        <v>43</v>
      </c>
      <c r="CV1" s="112" t="s">
        <v>51</v>
      </c>
      <c r="CW1" s="112" t="s">
        <v>52</v>
      </c>
      <c r="CX1" s="22" t="s">
        <v>42</v>
      </c>
      <c r="CY1" s="22" t="s">
        <v>43</v>
      </c>
      <c r="CZ1" s="22" t="s">
        <v>44</v>
      </c>
      <c r="DA1" s="22" t="s">
        <v>43</v>
      </c>
      <c r="DB1" s="23" t="s">
        <v>6941</v>
      </c>
      <c r="DC1" s="127" t="s">
        <v>53</v>
      </c>
    </row>
    <row r="2" spans="1:107" s="40" customFormat="1" ht="14.55" customHeight="1" x14ac:dyDescent="0.3">
      <c r="A2" s="25" t="s">
        <v>3500</v>
      </c>
      <c r="B2" s="25" t="s">
        <v>3501</v>
      </c>
      <c r="C2" s="25" t="s">
        <v>3502</v>
      </c>
      <c r="D2" s="25" t="s">
        <v>54</v>
      </c>
      <c r="E2" s="25" t="s">
        <v>55</v>
      </c>
      <c r="F2" s="25" t="s">
        <v>56</v>
      </c>
      <c r="G2" s="26" t="s">
        <v>57</v>
      </c>
      <c r="H2" s="27" t="s">
        <v>6922</v>
      </c>
      <c r="I2" s="26">
        <v>801</v>
      </c>
      <c r="J2" s="26">
        <v>80150</v>
      </c>
      <c r="K2" s="28">
        <v>4</v>
      </c>
      <c r="L2" s="25" t="s">
        <v>58</v>
      </c>
      <c r="M2" s="25"/>
      <c r="N2" s="25" t="s">
        <v>59</v>
      </c>
      <c r="O2" s="25"/>
      <c r="P2" s="25"/>
      <c r="Q2" s="25"/>
      <c r="R2" s="25" t="s">
        <v>60</v>
      </c>
      <c r="S2" s="25"/>
      <c r="T2" s="25"/>
      <c r="U2" s="25"/>
      <c r="V2" s="25"/>
      <c r="W2" s="25" t="s">
        <v>61</v>
      </c>
      <c r="X2" s="25" t="s">
        <v>62</v>
      </c>
      <c r="Y2" s="25" t="s">
        <v>63</v>
      </c>
      <c r="Z2" s="25"/>
      <c r="AA2" s="25"/>
      <c r="AB2" s="25">
        <v>80150023</v>
      </c>
      <c r="AC2" s="25">
        <v>80150023003</v>
      </c>
      <c r="AD2" s="25">
        <v>80150023003002</v>
      </c>
      <c r="AE2" s="28">
        <v>2</v>
      </c>
      <c r="AF2" s="28" t="s">
        <v>64</v>
      </c>
      <c r="AG2" s="29" t="s">
        <v>65</v>
      </c>
      <c r="AH2" s="30"/>
      <c r="AI2" s="31" t="s">
        <v>66</v>
      </c>
      <c r="AJ2" s="32" t="s">
        <v>6938</v>
      </c>
      <c r="AK2" s="33" t="s">
        <v>67</v>
      </c>
      <c r="AL2" s="34">
        <v>45545</v>
      </c>
      <c r="AM2" s="35" t="s">
        <v>66</v>
      </c>
      <c r="AN2" s="36"/>
      <c r="AO2" s="36"/>
      <c r="AP2" s="36"/>
      <c r="AQ2" s="37">
        <f t="shared" ref="AQ2:AQ5" si="0">+COUNTA(AT2,AZ2,BF2,BL2,BR2)</f>
        <v>0</v>
      </c>
      <c r="AR2" s="38">
        <f t="shared" ref="AR2:AR5" si="1">+COUNTA(BX2,CD2,CJ2,CP2,CV2)</f>
        <v>0</v>
      </c>
      <c r="AS2" s="39">
        <f t="shared" ref="AS2:AS5" si="2">+AQ2+AR2</f>
        <v>0</v>
      </c>
      <c r="AT2" s="91"/>
      <c r="AU2" s="92" t="s">
        <v>1356</v>
      </c>
      <c r="AV2" s="93"/>
      <c r="AW2" s="94"/>
      <c r="AX2" s="93"/>
      <c r="AY2" s="95"/>
      <c r="AZ2" s="91"/>
      <c r="BA2" s="92" t="s">
        <v>1356</v>
      </c>
      <c r="BB2" s="93"/>
      <c r="BC2" s="95"/>
      <c r="BD2" s="93"/>
      <c r="BE2" s="95"/>
      <c r="BF2" s="91"/>
      <c r="BG2" s="92" t="s">
        <v>1356</v>
      </c>
      <c r="BH2" s="93"/>
      <c r="BI2" s="95"/>
      <c r="BJ2" s="93"/>
      <c r="BK2" s="95"/>
      <c r="BL2" s="91"/>
      <c r="BM2" s="92" t="s">
        <v>1356</v>
      </c>
      <c r="BN2" s="93"/>
      <c r="BO2" s="95"/>
      <c r="BP2" s="93"/>
      <c r="BQ2" s="95"/>
      <c r="BR2" s="91"/>
      <c r="BS2" s="92" t="s">
        <v>1356</v>
      </c>
      <c r="BT2" s="93"/>
      <c r="BU2" s="95"/>
      <c r="BV2" s="93"/>
      <c r="BW2" s="95"/>
      <c r="BX2" s="113"/>
      <c r="BY2" s="114" t="s">
        <v>1356</v>
      </c>
      <c r="BZ2" s="115"/>
      <c r="CA2" s="116"/>
      <c r="CB2" s="115"/>
      <c r="CC2" s="116"/>
      <c r="CD2" s="113"/>
      <c r="CE2" s="114" t="s">
        <v>1356</v>
      </c>
      <c r="CF2" s="115"/>
      <c r="CG2" s="116"/>
      <c r="CH2" s="115"/>
      <c r="CI2" s="116"/>
      <c r="CJ2" s="113"/>
      <c r="CK2" s="114" t="s">
        <v>1356</v>
      </c>
      <c r="CL2" s="115"/>
      <c r="CM2" s="116"/>
      <c r="CN2" s="115"/>
      <c r="CO2" s="116"/>
      <c r="CP2" s="113"/>
      <c r="CQ2" s="114" t="s">
        <v>1356</v>
      </c>
      <c r="CR2" s="115"/>
      <c r="CS2" s="116"/>
      <c r="CT2" s="115"/>
      <c r="CU2" s="116"/>
      <c r="CV2" s="113"/>
      <c r="CW2" s="114" t="s">
        <v>1356</v>
      </c>
      <c r="CX2" s="115"/>
      <c r="CY2" s="116"/>
      <c r="CZ2" s="115"/>
      <c r="DA2" s="116"/>
      <c r="DB2" s="128" t="s">
        <v>7085</v>
      </c>
      <c r="DC2" s="128" t="s">
        <v>68</v>
      </c>
    </row>
    <row r="3" spans="1:107" s="40" customFormat="1" ht="14.55" customHeight="1" x14ac:dyDescent="0.3">
      <c r="A3" s="25" t="s">
        <v>3500</v>
      </c>
      <c r="B3" s="25" t="s">
        <v>3503</v>
      </c>
      <c r="C3" s="41">
        <v>1714682653001</v>
      </c>
      <c r="D3" s="25" t="s">
        <v>69</v>
      </c>
      <c r="E3" s="25" t="s">
        <v>70</v>
      </c>
      <c r="F3" s="25" t="s">
        <v>71</v>
      </c>
      <c r="G3" s="26" t="s">
        <v>72</v>
      </c>
      <c r="H3" s="27" t="s">
        <v>251</v>
      </c>
      <c r="I3" s="26">
        <v>1701</v>
      </c>
      <c r="J3" s="26">
        <v>170150</v>
      </c>
      <c r="K3" s="28">
        <v>3</v>
      </c>
      <c r="L3" s="25" t="s">
        <v>73</v>
      </c>
      <c r="M3" s="25" t="s">
        <v>74</v>
      </c>
      <c r="N3" s="25" t="s">
        <v>75</v>
      </c>
      <c r="O3" s="25"/>
      <c r="P3" s="25"/>
      <c r="Q3" s="25"/>
      <c r="R3" s="25"/>
      <c r="S3" s="25"/>
      <c r="T3" s="25"/>
      <c r="U3" s="25"/>
      <c r="V3" s="25"/>
      <c r="W3" s="25" t="s">
        <v>76</v>
      </c>
      <c r="X3" s="25"/>
      <c r="Y3" s="25" t="s">
        <v>77</v>
      </c>
      <c r="Z3" s="25"/>
      <c r="AA3" s="25"/>
      <c r="AB3" s="25"/>
      <c r="AC3" s="25"/>
      <c r="AD3" s="25"/>
      <c r="AE3" s="28">
        <v>2</v>
      </c>
      <c r="AF3" s="28" t="s">
        <v>64</v>
      </c>
      <c r="AG3" s="29" t="s">
        <v>65</v>
      </c>
      <c r="AH3" s="30"/>
      <c r="AI3" s="31" t="s">
        <v>66</v>
      </c>
      <c r="AJ3" s="32" t="s">
        <v>6938</v>
      </c>
      <c r="AK3" s="33" t="s">
        <v>67</v>
      </c>
      <c r="AL3" s="34">
        <v>45580</v>
      </c>
      <c r="AM3" s="36" t="s">
        <v>66</v>
      </c>
      <c r="AN3" s="36"/>
      <c r="AO3" s="36"/>
      <c r="AP3" s="36"/>
      <c r="AQ3" s="37">
        <f t="shared" si="0"/>
        <v>0</v>
      </c>
      <c r="AR3" s="38">
        <f t="shared" si="1"/>
        <v>0</v>
      </c>
      <c r="AS3" s="39">
        <f t="shared" si="2"/>
        <v>0</v>
      </c>
      <c r="AT3" s="91"/>
      <c r="AU3" s="92" t="s">
        <v>1356</v>
      </c>
      <c r="AV3" s="93"/>
      <c r="AW3" s="94"/>
      <c r="AX3" s="93"/>
      <c r="AY3" s="95"/>
      <c r="AZ3" s="91"/>
      <c r="BA3" s="92" t="s">
        <v>1356</v>
      </c>
      <c r="BB3" s="93"/>
      <c r="BC3" s="95"/>
      <c r="BD3" s="93"/>
      <c r="BE3" s="95"/>
      <c r="BF3" s="91"/>
      <c r="BG3" s="92" t="s">
        <v>1356</v>
      </c>
      <c r="BH3" s="93"/>
      <c r="BI3" s="95"/>
      <c r="BJ3" s="93"/>
      <c r="BK3" s="95"/>
      <c r="BL3" s="91"/>
      <c r="BM3" s="92" t="s">
        <v>1356</v>
      </c>
      <c r="BN3" s="93"/>
      <c r="BO3" s="95"/>
      <c r="BP3" s="93"/>
      <c r="BQ3" s="95"/>
      <c r="BR3" s="91"/>
      <c r="BS3" s="92" t="s">
        <v>1356</v>
      </c>
      <c r="BT3" s="93"/>
      <c r="BU3" s="95"/>
      <c r="BV3" s="93"/>
      <c r="BW3" s="95"/>
      <c r="BX3" s="113"/>
      <c r="BY3" s="114" t="s">
        <v>1356</v>
      </c>
      <c r="BZ3" s="115"/>
      <c r="CA3" s="116"/>
      <c r="CB3" s="115"/>
      <c r="CC3" s="116"/>
      <c r="CD3" s="113"/>
      <c r="CE3" s="114" t="s">
        <v>1356</v>
      </c>
      <c r="CF3" s="115"/>
      <c r="CG3" s="116"/>
      <c r="CH3" s="115"/>
      <c r="CI3" s="116"/>
      <c r="CJ3" s="113"/>
      <c r="CK3" s="114" t="s">
        <v>1356</v>
      </c>
      <c r="CL3" s="115"/>
      <c r="CM3" s="116"/>
      <c r="CN3" s="115"/>
      <c r="CO3" s="116"/>
      <c r="CP3" s="113"/>
      <c r="CQ3" s="114" t="s">
        <v>1356</v>
      </c>
      <c r="CR3" s="115"/>
      <c r="CS3" s="116"/>
      <c r="CT3" s="115"/>
      <c r="CU3" s="116"/>
      <c r="CV3" s="113"/>
      <c r="CW3" s="114" t="s">
        <v>1356</v>
      </c>
      <c r="CX3" s="115"/>
      <c r="CY3" s="116"/>
      <c r="CZ3" s="115"/>
      <c r="DA3" s="116"/>
      <c r="DB3" s="128" t="s">
        <v>7085</v>
      </c>
      <c r="DC3" s="128" t="s">
        <v>78</v>
      </c>
    </row>
    <row r="4" spans="1:107" s="40" customFormat="1" ht="14.55" customHeight="1" x14ac:dyDescent="0.3">
      <c r="A4" s="25" t="s">
        <v>3500</v>
      </c>
      <c r="B4" s="25" t="s">
        <v>3504</v>
      </c>
      <c r="C4" s="25" t="s">
        <v>3505</v>
      </c>
      <c r="D4" s="25" t="s">
        <v>79</v>
      </c>
      <c r="E4" s="25" t="s">
        <v>80</v>
      </c>
      <c r="F4" s="25" t="s">
        <v>81</v>
      </c>
      <c r="G4" s="26" t="s">
        <v>57</v>
      </c>
      <c r="H4" s="27" t="s">
        <v>6922</v>
      </c>
      <c r="I4" s="26">
        <v>804</v>
      </c>
      <c r="J4" s="26">
        <v>80450</v>
      </c>
      <c r="K4" s="28">
        <v>4</v>
      </c>
      <c r="L4" s="25" t="s">
        <v>82</v>
      </c>
      <c r="M4" s="25"/>
      <c r="N4" s="25" t="s">
        <v>83</v>
      </c>
      <c r="O4" s="25"/>
      <c r="P4" s="25"/>
      <c r="Q4" s="25"/>
      <c r="R4" s="25" t="s">
        <v>60</v>
      </c>
      <c r="S4" s="25"/>
      <c r="T4" s="25"/>
      <c r="U4" s="25"/>
      <c r="V4" s="25"/>
      <c r="W4" s="25" t="s">
        <v>84</v>
      </c>
      <c r="X4" s="25" t="s">
        <v>85</v>
      </c>
      <c r="Y4" s="25" t="s">
        <v>86</v>
      </c>
      <c r="Z4" s="25"/>
      <c r="AA4" s="25"/>
      <c r="AB4" s="25"/>
      <c r="AC4" s="25"/>
      <c r="AD4" s="25"/>
      <c r="AE4" s="28">
        <v>2</v>
      </c>
      <c r="AF4" s="28" t="s">
        <v>64</v>
      </c>
      <c r="AG4" s="29" t="s">
        <v>65</v>
      </c>
      <c r="AH4" s="30"/>
      <c r="AI4" s="31" t="s">
        <v>66</v>
      </c>
      <c r="AJ4" s="32" t="s">
        <v>6938</v>
      </c>
      <c r="AK4" s="33" t="s">
        <v>67</v>
      </c>
      <c r="AL4" s="34">
        <v>45547</v>
      </c>
      <c r="AM4" s="35" t="s">
        <v>66</v>
      </c>
      <c r="AN4" s="36"/>
      <c r="AO4" s="36"/>
      <c r="AP4" s="36"/>
      <c r="AQ4" s="37">
        <f t="shared" si="0"/>
        <v>0</v>
      </c>
      <c r="AR4" s="38">
        <f t="shared" si="1"/>
        <v>0</v>
      </c>
      <c r="AS4" s="39">
        <f t="shared" si="2"/>
        <v>0</v>
      </c>
      <c r="AT4" s="91"/>
      <c r="AU4" s="92" t="s">
        <v>1356</v>
      </c>
      <c r="AV4" s="93"/>
      <c r="AW4" s="94"/>
      <c r="AX4" s="93"/>
      <c r="AY4" s="95"/>
      <c r="AZ4" s="91"/>
      <c r="BA4" s="92" t="s">
        <v>1356</v>
      </c>
      <c r="BB4" s="93"/>
      <c r="BC4" s="95"/>
      <c r="BD4" s="93"/>
      <c r="BE4" s="95"/>
      <c r="BF4" s="91"/>
      <c r="BG4" s="92" t="s">
        <v>1356</v>
      </c>
      <c r="BH4" s="93"/>
      <c r="BI4" s="95"/>
      <c r="BJ4" s="93"/>
      <c r="BK4" s="95"/>
      <c r="BL4" s="91"/>
      <c r="BM4" s="92" t="s">
        <v>1356</v>
      </c>
      <c r="BN4" s="93"/>
      <c r="BO4" s="95"/>
      <c r="BP4" s="93"/>
      <c r="BQ4" s="95"/>
      <c r="BR4" s="91"/>
      <c r="BS4" s="92" t="s">
        <v>1356</v>
      </c>
      <c r="BT4" s="93"/>
      <c r="BU4" s="95"/>
      <c r="BV4" s="93"/>
      <c r="BW4" s="95"/>
      <c r="BX4" s="113"/>
      <c r="BY4" s="114" t="s">
        <v>1356</v>
      </c>
      <c r="BZ4" s="115"/>
      <c r="CA4" s="116"/>
      <c r="CB4" s="115"/>
      <c r="CC4" s="116"/>
      <c r="CD4" s="113"/>
      <c r="CE4" s="114" t="s">
        <v>1356</v>
      </c>
      <c r="CF4" s="115"/>
      <c r="CG4" s="116"/>
      <c r="CH4" s="115"/>
      <c r="CI4" s="116"/>
      <c r="CJ4" s="113"/>
      <c r="CK4" s="114" t="s">
        <v>1356</v>
      </c>
      <c r="CL4" s="115"/>
      <c r="CM4" s="116"/>
      <c r="CN4" s="115"/>
      <c r="CO4" s="116"/>
      <c r="CP4" s="113"/>
      <c r="CQ4" s="114" t="s">
        <v>1356</v>
      </c>
      <c r="CR4" s="115"/>
      <c r="CS4" s="116"/>
      <c r="CT4" s="115"/>
      <c r="CU4" s="116"/>
      <c r="CV4" s="113"/>
      <c r="CW4" s="114" t="s">
        <v>1356</v>
      </c>
      <c r="CX4" s="115"/>
      <c r="CY4" s="116"/>
      <c r="CZ4" s="115"/>
      <c r="DA4" s="116"/>
      <c r="DB4" s="128" t="s">
        <v>7085</v>
      </c>
      <c r="DC4" s="128" t="s">
        <v>87</v>
      </c>
    </row>
    <row r="5" spans="1:107" s="40" customFormat="1" ht="14.55" customHeight="1" x14ac:dyDescent="0.3">
      <c r="A5" s="25" t="s">
        <v>3500</v>
      </c>
      <c r="B5" s="25" t="s">
        <v>3506</v>
      </c>
      <c r="C5" s="41">
        <v>1793167500001</v>
      </c>
      <c r="D5" s="25" t="s">
        <v>88</v>
      </c>
      <c r="E5" s="25" t="s">
        <v>70</v>
      </c>
      <c r="F5" s="25" t="s">
        <v>89</v>
      </c>
      <c r="G5" s="26" t="s">
        <v>72</v>
      </c>
      <c r="H5" s="27" t="s">
        <v>251</v>
      </c>
      <c r="I5" s="26">
        <v>1701</v>
      </c>
      <c r="J5" s="26">
        <v>170150</v>
      </c>
      <c r="K5" s="28">
        <v>4</v>
      </c>
      <c r="L5" s="25"/>
      <c r="M5" s="25"/>
      <c r="N5" s="25" t="s">
        <v>90</v>
      </c>
      <c r="O5" s="25"/>
      <c r="P5" s="25"/>
      <c r="Q5" s="25"/>
      <c r="R5" s="25"/>
      <c r="S5" s="25"/>
      <c r="T5" s="25"/>
      <c r="U5" s="25"/>
      <c r="V5" s="25"/>
      <c r="W5" s="25"/>
      <c r="X5" s="25"/>
      <c r="Y5" s="25" t="s">
        <v>91</v>
      </c>
      <c r="Z5" s="25"/>
      <c r="AA5" s="25"/>
      <c r="AB5" s="25"/>
      <c r="AC5" s="25"/>
      <c r="AD5" s="25"/>
      <c r="AE5" s="28">
        <v>2</v>
      </c>
      <c r="AF5" s="28" t="s">
        <v>64</v>
      </c>
      <c r="AG5" s="29" t="s">
        <v>65</v>
      </c>
      <c r="AH5" s="30"/>
      <c r="AI5" s="31" t="s">
        <v>65</v>
      </c>
      <c r="AJ5" s="32" t="s">
        <v>6938</v>
      </c>
      <c r="AK5" s="33" t="s">
        <v>92</v>
      </c>
      <c r="AL5" s="34">
        <v>45580</v>
      </c>
      <c r="AM5" s="36"/>
      <c r="AN5" s="36"/>
      <c r="AO5" s="36"/>
      <c r="AP5" s="36"/>
      <c r="AQ5" s="37">
        <f t="shared" si="0"/>
        <v>0</v>
      </c>
      <c r="AR5" s="38">
        <f t="shared" si="1"/>
        <v>0</v>
      </c>
      <c r="AS5" s="39">
        <f t="shared" si="2"/>
        <v>0</v>
      </c>
      <c r="AT5" s="91"/>
      <c r="AU5" s="92" t="s">
        <v>1356</v>
      </c>
      <c r="AV5" s="93"/>
      <c r="AW5" s="94"/>
      <c r="AX5" s="93"/>
      <c r="AY5" s="95"/>
      <c r="AZ5" s="91"/>
      <c r="BA5" s="92" t="s">
        <v>1356</v>
      </c>
      <c r="BB5" s="93"/>
      <c r="BC5" s="95"/>
      <c r="BD5" s="93"/>
      <c r="BE5" s="95"/>
      <c r="BF5" s="91"/>
      <c r="BG5" s="92" t="s">
        <v>1356</v>
      </c>
      <c r="BH5" s="93"/>
      <c r="BI5" s="95"/>
      <c r="BJ5" s="93"/>
      <c r="BK5" s="95"/>
      <c r="BL5" s="91"/>
      <c r="BM5" s="92" t="s">
        <v>1356</v>
      </c>
      <c r="BN5" s="93"/>
      <c r="BO5" s="95"/>
      <c r="BP5" s="93"/>
      <c r="BQ5" s="95"/>
      <c r="BR5" s="91"/>
      <c r="BS5" s="92" t="s">
        <v>1356</v>
      </c>
      <c r="BT5" s="93"/>
      <c r="BU5" s="95"/>
      <c r="BV5" s="93"/>
      <c r="BW5" s="95"/>
      <c r="BX5" s="113"/>
      <c r="BY5" s="114" t="s">
        <v>1356</v>
      </c>
      <c r="BZ5" s="115"/>
      <c r="CA5" s="116"/>
      <c r="CB5" s="115"/>
      <c r="CC5" s="116"/>
      <c r="CD5" s="113"/>
      <c r="CE5" s="114" t="s">
        <v>1356</v>
      </c>
      <c r="CF5" s="115"/>
      <c r="CG5" s="116"/>
      <c r="CH5" s="115"/>
      <c r="CI5" s="116"/>
      <c r="CJ5" s="113"/>
      <c r="CK5" s="114" t="s">
        <v>1356</v>
      </c>
      <c r="CL5" s="115"/>
      <c r="CM5" s="116"/>
      <c r="CN5" s="115"/>
      <c r="CO5" s="116"/>
      <c r="CP5" s="113"/>
      <c r="CQ5" s="114" t="s">
        <v>1356</v>
      </c>
      <c r="CR5" s="115"/>
      <c r="CS5" s="116"/>
      <c r="CT5" s="115"/>
      <c r="CU5" s="116"/>
      <c r="CV5" s="113"/>
      <c r="CW5" s="114" t="s">
        <v>1356</v>
      </c>
      <c r="CX5" s="115"/>
      <c r="CY5" s="116"/>
      <c r="CZ5" s="115"/>
      <c r="DA5" s="116"/>
      <c r="DB5" s="128" t="s">
        <v>7085</v>
      </c>
      <c r="DC5" s="128" t="s">
        <v>92</v>
      </c>
    </row>
    <row r="6" spans="1:107" s="40" customFormat="1" ht="14.55" customHeight="1" x14ac:dyDescent="0.3">
      <c r="A6" s="42" t="s">
        <v>3456</v>
      </c>
      <c r="B6" s="42" t="s">
        <v>4077</v>
      </c>
      <c r="C6" s="42" t="s">
        <v>2695</v>
      </c>
      <c r="D6" s="42" t="s">
        <v>2696</v>
      </c>
      <c r="E6" s="42" t="s">
        <v>70</v>
      </c>
      <c r="F6" s="42" t="s">
        <v>596</v>
      </c>
      <c r="G6" s="42" t="s">
        <v>1059</v>
      </c>
      <c r="H6" s="43" t="s">
        <v>6924</v>
      </c>
      <c r="I6" s="44">
        <v>1801</v>
      </c>
      <c r="J6" s="44">
        <v>180165</v>
      </c>
      <c r="K6" s="45">
        <v>4</v>
      </c>
      <c r="L6" s="42" t="s">
        <v>2697</v>
      </c>
      <c r="M6" s="42" t="s">
        <v>258</v>
      </c>
      <c r="N6" s="42"/>
      <c r="O6" s="42"/>
      <c r="P6" s="42"/>
      <c r="Q6" s="42"/>
      <c r="R6" s="42" t="s">
        <v>60</v>
      </c>
      <c r="S6" s="42"/>
      <c r="T6" s="42"/>
      <c r="U6" s="42"/>
      <c r="V6" s="42"/>
      <c r="W6" s="42" t="s">
        <v>2698</v>
      </c>
      <c r="X6" s="42" t="s">
        <v>2699</v>
      </c>
      <c r="Y6" s="42" t="s">
        <v>2700</v>
      </c>
      <c r="Z6" s="42">
        <v>-78.646538000000007</v>
      </c>
      <c r="AA6" s="42">
        <v>-1.2734160000000001</v>
      </c>
      <c r="AB6" s="42">
        <v>180165002</v>
      </c>
      <c r="AC6" s="42">
        <v>180165002001</v>
      </c>
      <c r="AD6" s="42">
        <v>180165002001005</v>
      </c>
      <c r="AE6" s="45">
        <v>3</v>
      </c>
      <c r="AF6" s="45" t="s">
        <v>377</v>
      </c>
      <c r="AG6" s="46" t="s">
        <v>66</v>
      </c>
      <c r="AH6" s="47" t="s">
        <v>2701</v>
      </c>
      <c r="AI6" s="48" t="s">
        <v>66</v>
      </c>
      <c r="AJ6" s="49" t="s">
        <v>6938</v>
      </c>
      <c r="AK6" s="50" t="s">
        <v>67</v>
      </c>
      <c r="AL6" s="51">
        <v>45119</v>
      </c>
      <c r="AM6" s="52" t="s">
        <v>66</v>
      </c>
      <c r="AN6" s="42"/>
      <c r="AO6" s="42"/>
      <c r="AP6" s="42"/>
      <c r="AQ6" s="53">
        <f t="shared" ref="AQ6:AQ69" si="3">+COUNTA(AT6,AZ6,BF6,BL6,BR6)</f>
        <v>1</v>
      </c>
      <c r="AR6" s="54">
        <f t="shared" ref="AR6:AR69" si="4">+COUNTA(BX6,CD6,CJ6,CP6,CV6)</f>
        <v>0</v>
      </c>
      <c r="AS6" s="55">
        <f t="shared" ref="AS6:AS69" si="5">+AQ6+AR6</f>
        <v>1</v>
      </c>
      <c r="AT6" s="96" t="s">
        <v>615</v>
      </c>
      <c r="AU6" s="96" t="s">
        <v>2702</v>
      </c>
      <c r="AV6" s="96">
        <v>8.85</v>
      </c>
      <c r="AW6" s="97">
        <v>45588</v>
      </c>
      <c r="AX6" s="96"/>
      <c r="AY6" s="98"/>
      <c r="AZ6" s="96"/>
      <c r="BA6" s="96" t="s">
        <v>1356</v>
      </c>
      <c r="BB6" s="96"/>
      <c r="BC6" s="98"/>
      <c r="BD6" s="96"/>
      <c r="BE6" s="98"/>
      <c r="BF6" s="96"/>
      <c r="BG6" s="96" t="s">
        <v>1356</v>
      </c>
      <c r="BH6" s="96"/>
      <c r="BI6" s="98"/>
      <c r="BJ6" s="96"/>
      <c r="BK6" s="98"/>
      <c r="BL6" s="96"/>
      <c r="BM6" s="96" t="s">
        <v>1356</v>
      </c>
      <c r="BN6" s="96"/>
      <c r="BO6" s="98"/>
      <c r="BP6" s="96"/>
      <c r="BQ6" s="98"/>
      <c r="BR6" s="96"/>
      <c r="BS6" s="96" t="s">
        <v>1356</v>
      </c>
      <c r="BT6" s="96"/>
      <c r="BU6" s="98"/>
      <c r="BV6" s="96"/>
      <c r="BW6" s="98"/>
      <c r="BX6" s="117"/>
      <c r="BY6" s="117" t="s">
        <v>1356</v>
      </c>
      <c r="BZ6" s="117"/>
      <c r="CA6" s="118"/>
      <c r="CB6" s="117"/>
      <c r="CC6" s="118"/>
      <c r="CD6" s="117"/>
      <c r="CE6" s="117" t="s">
        <v>1356</v>
      </c>
      <c r="CF6" s="117"/>
      <c r="CG6" s="118"/>
      <c r="CH6" s="117"/>
      <c r="CI6" s="118"/>
      <c r="CJ6" s="117"/>
      <c r="CK6" s="117" t="s">
        <v>1356</v>
      </c>
      <c r="CL6" s="117"/>
      <c r="CM6" s="118"/>
      <c r="CN6" s="117"/>
      <c r="CO6" s="118"/>
      <c r="CP6" s="117"/>
      <c r="CQ6" s="117" t="s">
        <v>1356</v>
      </c>
      <c r="CR6" s="117"/>
      <c r="CS6" s="118"/>
      <c r="CT6" s="117"/>
      <c r="CU6" s="118"/>
      <c r="CV6" s="117"/>
      <c r="CW6" s="117" t="s">
        <v>1356</v>
      </c>
      <c r="CX6" s="117"/>
      <c r="CY6" s="118"/>
      <c r="CZ6" s="117"/>
      <c r="DA6" s="118"/>
      <c r="DB6" s="129" t="s">
        <v>6962</v>
      </c>
      <c r="DC6" s="130" t="s">
        <v>105</v>
      </c>
    </row>
    <row r="7" spans="1:107" s="40" customFormat="1" ht="14.55" customHeight="1" x14ac:dyDescent="0.3">
      <c r="A7" s="42" t="s">
        <v>3456</v>
      </c>
      <c r="B7" s="42" t="s">
        <v>4022</v>
      </c>
      <c r="C7" s="42" t="s">
        <v>2410</v>
      </c>
      <c r="D7" s="42" t="s">
        <v>2411</v>
      </c>
      <c r="E7" s="42" t="s">
        <v>2412</v>
      </c>
      <c r="F7" s="42" t="s">
        <v>71</v>
      </c>
      <c r="G7" s="42" t="s">
        <v>1059</v>
      </c>
      <c r="H7" s="43" t="s">
        <v>6924</v>
      </c>
      <c r="I7" s="44">
        <v>1801</v>
      </c>
      <c r="J7" s="44">
        <v>180150</v>
      </c>
      <c r="K7" s="45">
        <v>4</v>
      </c>
      <c r="L7" s="42" t="s">
        <v>2413</v>
      </c>
      <c r="M7" s="42" t="s">
        <v>258</v>
      </c>
      <c r="N7" s="42" t="s">
        <v>2414</v>
      </c>
      <c r="O7" s="42"/>
      <c r="P7" s="42"/>
      <c r="Q7" s="42"/>
      <c r="R7" s="42" t="s">
        <v>391</v>
      </c>
      <c r="S7" s="42"/>
      <c r="T7" s="42"/>
      <c r="U7" s="42" t="s">
        <v>2415</v>
      </c>
      <c r="V7" s="42"/>
      <c r="W7" s="42" t="s">
        <v>2416</v>
      </c>
      <c r="X7" s="42" t="s">
        <v>2417</v>
      </c>
      <c r="Y7" s="42" t="s">
        <v>2418</v>
      </c>
      <c r="Z7" s="42">
        <v>-78.612212240695939</v>
      </c>
      <c r="AA7" s="42">
        <v>-1.2685329360368811</v>
      </c>
      <c r="AB7" s="42">
        <v>180150045</v>
      </c>
      <c r="AC7" s="42">
        <v>180150045006</v>
      </c>
      <c r="AD7" s="42">
        <v>180150045006009</v>
      </c>
      <c r="AE7" s="45">
        <v>2</v>
      </c>
      <c r="AF7" s="45" t="s">
        <v>64</v>
      </c>
      <c r="AG7" s="46" t="s">
        <v>66</v>
      </c>
      <c r="AH7" s="47" t="s">
        <v>2419</v>
      </c>
      <c r="AI7" s="48" t="s">
        <v>66</v>
      </c>
      <c r="AJ7" s="49" t="s">
        <v>6938</v>
      </c>
      <c r="AK7" s="50" t="s">
        <v>67</v>
      </c>
      <c r="AL7" s="51">
        <v>45120</v>
      </c>
      <c r="AM7" s="52" t="s">
        <v>66</v>
      </c>
      <c r="AN7" s="42"/>
      <c r="AO7" s="42"/>
      <c r="AP7" s="42"/>
      <c r="AQ7" s="53">
        <f t="shared" si="3"/>
        <v>5</v>
      </c>
      <c r="AR7" s="54">
        <f t="shared" si="4"/>
        <v>0</v>
      </c>
      <c r="AS7" s="55">
        <f t="shared" si="5"/>
        <v>5</v>
      </c>
      <c r="AT7" s="96" t="s">
        <v>1418</v>
      </c>
      <c r="AU7" s="96" t="s">
        <v>2177</v>
      </c>
      <c r="AV7" s="96">
        <v>2.4</v>
      </c>
      <c r="AW7" s="97">
        <v>45583</v>
      </c>
      <c r="AX7" s="96"/>
      <c r="AY7" s="98"/>
      <c r="AZ7" s="96" t="s">
        <v>2420</v>
      </c>
      <c r="BA7" s="96" t="s">
        <v>2421</v>
      </c>
      <c r="BB7" s="96">
        <v>1.88</v>
      </c>
      <c r="BC7" s="98">
        <v>45583</v>
      </c>
      <c r="BD7" s="96"/>
      <c r="BE7" s="98"/>
      <c r="BF7" s="96" t="s">
        <v>2175</v>
      </c>
      <c r="BG7" s="96" t="s">
        <v>1420</v>
      </c>
      <c r="BH7" s="96">
        <v>1.3</v>
      </c>
      <c r="BI7" s="98">
        <v>45583</v>
      </c>
      <c r="BJ7" s="96"/>
      <c r="BK7" s="98"/>
      <c r="BL7" s="96" t="s">
        <v>1418</v>
      </c>
      <c r="BM7" s="96" t="s">
        <v>2177</v>
      </c>
      <c r="BN7" s="96">
        <v>1.3</v>
      </c>
      <c r="BO7" s="98">
        <v>45583</v>
      </c>
      <c r="BP7" s="96"/>
      <c r="BQ7" s="98"/>
      <c r="BR7" s="96" t="s">
        <v>2422</v>
      </c>
      <c r="BS7" s="96" t="s">
        <v>2423</v>
      </c>
      <c r="BT7" s="96">
        <v>27.13</v>
      </c>
      <c r="BU7" s="98">
        <v>45583</v>
      </c>
      <c r="BV7" s="96"/>
      <c r="BW7" s="98"/>
      <c r="BX7" s="117"/>
      <c r="BY7" s="117" t="s">
        <v>1356</v>
      </c>
      <c r="BZ7" s="117"/>
      <c r="CA7" s="118"/>
      <c r="CB7" s="117"/>
      <c r="CC7" s="118"/>
      <c r="CD7" s="117"/>
      <c r="CE7" s="117" t="s">
        <v>1356</v>
      </c>
      <c r="CF7" s="117"/>
      <c r="CG7" s="118"/>
      <c r="CH7" s="117"/>
      <c r="CI7" s="118"/>
      <c r="CJ7" s="117"/>
      <c r="CK7" s="117" t="s">
        <v>1356</v>
      </c>
      <c r="CL7" s="117"/>
      <c r="CM7" s="118"/>
      <c r="CN7" s="117"/>
      <c r="CO7" s="118"/>
      <c r="CP7" s="117"/>
      <c r="CQ7" s="117" t="s">
        <v>1356</v>
      </c>
      <c r="CR7" s="117"/>
      <c r="CS7" s="118"/>
      <c r="CT7" s="117"/>
      <c r="CU7" s="118"/>
      <c r="CV7" s="117"/>
      <c r="CW7" s="117" t="s">
        <v>1356</v>
      </c>
      <c r="CX7" s="117"/>
      <c r="CY7" s="118"/>
      <c r="CZ7" s="117"/>
      <c r="DA7" s="118"/>
      <c r="DB7" s="129" t="s">
        <v>6962</v>
      </c>
      <c r="DC7" s="130" t="s">
        <v>105</v>
      </c>
    </row>
    <row r="8" spans="1:107" s="40" customFormat="1" ht="14.55" customHeight="1" x14ac:dyDescent="0.3">
      <c r="A8" s="25" t="s">
        <v>3500</v>
      </c>
      <c r="B8" s="25" t="s">
        <v>3511</v>
      </c>
      <c r="C8" s="41" t="s">
        <v>3512</v>
      </c>
      <c r="D8" s="25" t="s">
        <v>123</v>
      </c>
      <c r="E8" s="25" t="s">
        <v>124</v>
      </c>
      <c r="F8" s="25" t="s">
        <v>108</v>
      </c>
      <c r="G8" s="26" t="s">
        <v>72</v>
      </c>
      <c r="H8" s="27" t="s">
        <v>251</v>
      </c>
      <c r="I8" s="26">
        <v>1701</v>
      </c>
      <c r="J8" s="26">
        <v>170150</v>
      </c>
      <c r="K8" s="28">
        <v>3</v>
      </c>
      <c r="L8" s="25" t="s">
        <v>125</v>
      </c>
      <c r="M8" s="25" t="s">
        <v>126</v>
      </c>
      <c r="N8" s="25" t="s">
        <v>127</v>
      </c>
      <c r="O8" s="25"/>
      <c r="P8" s="25"/>
      <c r="Q8" s="25"/>
      <c r="R8" s="25"/>
      <c r="S8" s="25"/>
      <c r="T8" s="25"/>
      <c r="U8" s="25" t="s">
        <v>128</v>
      </c>
      <c r="V8" s="25"/>
      <c r="W8" s="25" t="s">
        <v>129</v>
      </c>
      <c r="X8" s="25" t="s">
        <v>130</v>
      </c>
      <c r="Y8" s="25" t="s">
        <v>131</v>
      </c>
      <c r="Z8" s="25"/>
      <c r="AA8" s="25"/>
      <c r="AB8" s="25"/>
      <c r="AC8" s="25"/>
      <c r="AD8" s="25"/>
      <c r="AE8" s="28">
        <v>2</v>
      </c>
      <c r="AF8" s="28" t="s">
        <v>64</v>
      </c>
      <c r="AG8" s="29" t="s">
        <v>65</v>
      </c>
      <c r="AH8" s="30"/>
      <c r="AI8" s="31" t="s">
        <v>65</v>
      </c>
      <c r="AJ8" s="32" t="s">
        <v>6938</v>
      </c>
      <c r="AK8" s="33" t="s">
        <v>92</v>
      </c>
      <c r="AL8" s="58">
        <v>45567</v>
      </c>
      <c r="AM8" s="36"/>
      <c r="AN8" s="36"/>
      <c r="AO8" s="36"/>
      <c r="AP8" s="36"/>
      <c r="AQ8" s="37">
        <f t="shared" si="3"/>
        <v>0</v>
      </c>
      <c r="AR8" s="38">
        <f t="shared" si="4"/>
        <v>0</v>
      </c>
      <c r="AS8" s="39">
        <f t="shared" si="5"/>
        <v>0</v>
      </c>
      <c r="AT8" s="91"/>
      <c r="AU8" s="92" t="s">
        <v>1356</v>
      </c>
      <c r="AV8" s="93"/>
      <c r="AW8" s="94"/>
      <c r="AX8" s="93"/>
      <c r="AY8" s="95"/>
      <c r="AZ8" s="91"/>
      <c r="BA8" s="92" t="s">
        <v>1356</v>
      </c>
      <c r="BB8" s="93"/>
      <c r="BC8" s="95"/>
      <c r="BD8" s="93"/>
      <c r="BE8" s="95"/>
      <c r="BF8" s="91"/>
      <c r="BG8" s="92" t="s">
        <v>1356</v>
      </c>
      <c r="BH8" s="93"/>
      <c r="BI8" s="95"/>
      <c r="BJ8" s="93"/>
      <c r="BK8" s="95"/>
      <c r="BL8" s="91"/>
      <c r="BM8" s="92" t="s">
        <v>1356</v>
      </c>
      <c r="BN8" s="93"/>
      <c r="BO8" s="95"/>
      <c r="BP8" s="93"/>
      <c r="BQ8" s="95"/>
      <c r="BR8" s="91"/>
      <c r="BS8" s="92" t="s">
        <v>1356</v>
      </c>
      <c r="BT8" s="93"/>
      <c r="BU8" s="95"/>
      <c r="BV8" s="93"/>
      <c r="BW8" s="95"/>
      <c r="BX8" s="113"/>
      <c r="BY8" s="114" t="s">
        <v>1356</v>
      </c>
      <c r="BZ8" s="115"/>
      <c r="CA8" s="116"/>
      <c r="CB8" s="115"/>
      <c r="CC8" s="116"/>
      <c r="CD8" s="113"/>
      <c r="CE8" s="114" t="s">
        <v>1356</v>
      </c>
      <c r="CF8" s="115"/>
      <c r="CG8" s="116"/>
      <c r="CH8" s="115"/>
      <c r="CI8" s="116"/>
      <c r="CJ8" s="113"/>
      <c r="CK8" s="114" t="s">
        <v>1356</v>
      </c>
      <c r="CL8" s="115"/>
      <c r="CM8" s="116"/>
      <c r="CN8" s="115"/>
      <c r="CO8" s="116"/>
      <c r="CP8" s="113"/>
      <c r="CQ8" s="114" t="s">
        <v>1356</v>
      </c>
      <c r="CR8" s="115"/>
      <c r="CS8" s="116"/>
      <c r="CT8" s="115"/>
      <c r="CU8" s="116"/>
      <c r="CV8" s="113"/>
      <c r="CW8" s="114" t="s">
        <v>1356</v>
      </c>
      <c r="CX8" s="115"/>
      <c r="CY8" s="116"/>
      <c r="CZ8" s="115"/>
      <c r="DA8" s="116"/>
      <c r="DB8" s="128" t="s">
        <v>7085</v>
      </c>
      <c r="DC8" s="128" t="s">
        <v>92</v>
      </c>
    </row>
    <row r="9" spans="1:107" s="40" customFormat="1" ht="14.55" customHeight="1" x14ac:dyDescent="0.3">
      <c r="A9" s="25" t="s">
        <v>3500</v>
      </c>
      <c r="B9" s="25" t="s">
        <v>3513</v>
      </c>
      <c r="C9" s="25" t="s">
        <v>3514</v>
      </c>
      <c r="D9" s="25" t="s">
        <v>132</v>
      </c>
      <c r="E9" s="25" t="s">
        <v>133</v>
      </c>
      <c r="F9" s="25" t="s">
        <v>134</v>
      </c>
      <c r="G9" s="26" t="s">
        <v>109</v>
      </c>
      <c r="H9" s="27" t="s">
        <v>2719</v>
      </c>
      <c r="I9" s="26">
        <v>1001</v>
      </c>
      <c r="J9" s="26">
        <v>100150</v>
      </c>
      <c r="K9" s="28">
        <v>3</v>
      </c>
      <c r="L9" s="25" t="s">
        <v>135</v>
      </c>
      <c r="M9" s="25"/>
      <c r="N9" s="25" t="s">
        <v>136</v>
      </c>
      <c r="O9" s="25"/>
      <c r="P9" s="25"/>
      <c r="Q9" s="25"/>
      <c r="R9" s="25"/>
      <c r="S9" s="25"/>
      <c r="T9" s="25"/>
      <c r="U9" s="25"/>
      <c r="V9" s="25"/>
      <c r="W9" s="25" t="s">
        <v>137</v>
      </c>
      <c r="X9" s="25" t="s">
        <v>138</v>
      </c>
      <c r="Y9" s="25" t="s">
        <v>139</v>
      </c>
      <c r="Z9" s="25"/>
      <c r="AA9" s="25"/>
      <c r="AB9" s="25"/>
      <c r="AC9" s="25"/>
      <c r="AD9" s="25"/>
      <c r="AE9" s="28">
        <v>2</v>
      </c>
      <c r="AF9" s="28" t="s">
        <v>64</v>
      </c>
      <c r="AG9" s="29" t="s">
        <v>65</v>
      </c>
      <c r="AH9" s="30"/>
      <c r="AI9" s="31" t="s">
        <v>66</v>
      </c>
      <c r="AJ9" s="32" t="s">
        <v>6938</v>
      </c>
      <c r="AK9" s="33" t="s">
        <v>67</v>
      </c>
      <c r="AL9" s="34">
        <v>45580</v>
      </c>
      <c r="AM9" s="35" t="s">
        <v>66</v>
      </c>
      <c r="AN9" s="36"/>
      <c r="AO9" s="36"/>
      <c r="AP9" s="36"/>
      <c r="AQ9" s="37">
        <f t="shared" si="3"/>
        <v>0</v>
      </c>
      <c r="AR9" s="38">
        <f t="shared" si="4"/>
        <v>0</v>
      </c>
      <c r="AS9" s="39">
        <f t="shared" si="5"/>
        <v>0</v>
      </c>
      <c r="AT9" s="91"/>
      <c r="AU9" s="92" t="s">
        <v>1356</v>
      </c>
      <c r="AV9" s="93"/>
      <c r="AW9" s="94"/>
      <c r="AX9" s="93"/>
      <c r="AY9" s="95"/>
      <c r="AZ9" s="91"/>
      <c r="BA9" s="92" t="s">
        <v>1356</v>
      </c>
      <c r="BB9" s="93"/>
      <c r="BC9" s="95"/>
      <c r="BD9" s="93"/>
      <c r="BE9" s="95"/>
      <c r="BF9" s="91"/>
      <c r="BG9" s="92" t="s">
        <v>1356</v>
      </c>
      <c r="BH9" s="93"/>
      <c r="BI9" s="95"/>
      <c r="BJ9" s="93"/>
      <c r="BK9" s="95"/>
      <c r="BL9" s="91"/>
      <c r="BM9" s="92" t="s">
        <v>1356</v>
      </c>
      <c r="BN9" s="93"/>
      <c r="BO9" s="95"/>
      <c r="BP9" s="93"/>
      <c r="BQ9" s="95"/>
      <c r="BR9" s="91"/>
      <c r="BS9" s="92" t="s">
        <v>1356</v>
      </c>
      <c r="BT9" s="93"/>
      <c r="BU9" s="95"/>
      <c r="BV9" s="93"/>
      <c r="BW9" s="95"/>
      <c r="BX9" s="113"/>
      <c r="BY9" s="114" t="s">
        <v>1356</v>
      </c>
      <c r="BZ9" s="115"/>
      <c r="CA9" s="116"/>
      <c r="CB9" s="115"/>
      <c r="CC9" s="116"/>
      <c r="CD9" s="113"/>
      <c r="CE9" s="114" t="s">
        <v>1356</v>
      </c>
      <c r="CF9" s="115"/>
      <c r="CG9" s="116"/>
      <c r="CH9" s="115"/>
      <c r="CI9" s="116"/>
      <c r="CJ9" s="113"/>
      <c r="CK9" s="114" t="s">
        <v>1356</v>
      </c>
      <c r="CL9" s="115"/>
      <c r="CM9" s="116"/>
      <c r="CN9" s="115"/>
      <c r="CO9" s="116"/>
      <c r="CP9" s="113"/>
      <c r="CQ9" s="114" t="s">
        <v>1356</v>
      </c>
      <c r="CR9" s="115"/>
      <c r="CS9" s="116"/>
      <c r="CT9" s="115"/>
      <c r="CU9" s="116"/>
      <c r="CV9" s="113"/>
      <c r="CW9" s="114" t="s">
        <v>1356</v>
      </c>
      <c r="CX9" s="115"/>
      <c r="CY9" s="116"/>
      <c r="CZ9" s="115"/>
      <c r="DA9" s="116"/>
      <c r="DB9" s="128" t="s">
        <v>7085</v>
      </c>
      <c r="DC9" s="128" t="s">
        <v>105</v>
      </c>
    </row>
    <row r="10" spans="1:107" s="40" customFormat="1" ht="14.55" customHeight="1" x14ac:dyDescent="0.3">
      <c r="A10" s="25" t="s">
        <v>3500</v>
      </c>
      <c r="B10" s="25" t="s">
        <v>3515</v>
      </c>
      <c r="C10" s="41" t="s">
        <v>3516</v>
      </c>
      <c r="D10" s="25" t="s">
        <v>140</v>
      </c>
      <c r="E10" s="25" t="s">
        <v>141</v>
      </c>
      <c r="F10" s="25" t="s">
        <v>142</v>
      </c>
      <c r="G10" s="26" t="s">
        <v>72</v>
      </c>
      <c r="H10" s="27" t="s">
        <v>251</v>
      </c>
      <c r="I10" s="26">
        <v>1701</v>
      </c>
      <c r="J10" s="26">
        <v>170150</v>
      </c>
      <c r="K10" s="28">
        <v>4</v>
      </c>
      <c r="L10" s="25" t="s">
        <v>143</v>
      </c>
      <c r="M10" s="25" t="s">
        <v>144</v>
      </c>
      <c r="N10" s="25" t="s">
        <v>145</v>
      </c>
      <c r="O10" s="25"/>
      <c r="P10" s="25"/>
      <c r="Q10" s="25"/>
      <c r="R10" s="25" t="s">
        <v>146</v>
      </c>
      <c r="S10" s="25"/>
      <c r="T10" s="25"/>
      <c r="U10" s="25" t="s">
        <v>147</v>
      </c>
      <c r="V10" s="25"/>
      <c r="W10" s="25" t="s">
        <v>148</v>
      </c>
      <c r="X10" s="25" t="s">
        <v>149</v>
      </c>
      <c r="Y10" s="25" t="s">
        <v>150</v>
      </c>
      <c r="Z10" s="25">
        <v>-78.503746390342712</v>
      </c>
      <c r="AA10" s="25">
        <v>-0.19430957740825641</v>
      </c>
      <c r="AB10" s="25">
        <v>170150184</v>
      </c>
      <c r="AC10" s="25">
        <v>170150184004</v>
      </c>
      <c r="AD10" s="25">
        <v>170150184004001</v>
      </c>
      <c r="AE10" s="28">
        <v>2</v>
      </c>
      <c r="AF10" s="28" t="s">
        <v>64</v>
      </c>
      <c r="AG10" s="29" t="s">
        <v>65</v>
      </c>
      <c r="AH10" s="30"/>
      <c r="AI10" s="31" t="s">
        <v>66</v>
      </c>
      <c r="AJ10" s="32" t="s">
        <v>6938</v>
      </c>
      <c r="AK10" s="33" t="s">
        <v>67</v>
      </c>
      <c r="AL10" s="34">
        <v>45562</v>
      </c>
      <c r="AM10" s="36" t="s">
        <v>66</v>
      </c>
      <c r="AN10" s="36"/>
      <c r="AO10" s="36"/>
      <c r="AP10" s="36"/>
      <c r="AQ10" s="37">
        <f t="shared" si="3"/>
        <v>0</v>
      </c>
      <c r="AR10" s="38">
        <f t="shared" si="4"/>
        <v>0</v>
      </c>
      <c r="AS10" s="39">
        <f t="shared" si="5"/>
        <v>0</v>
      </c>
      <c r="AT10" s="91"/>
      <c r="AU10" s="92" t="s">
        <v>1356</v>
      </c>
      <c r="AV10" s="93"/>
      <c r="AW10" s="94"/>
      <c r="AX10" s="93"/>
      <c r="AY10" s="95"/>
      <c r="AZ10" s="91"/>
      <c r="BA10" s="92" t="s">
        <v>1356</v>
      </c>
      <c r="BB10" s="93"/>
      <c r="BC10" s="95"/>
      <c r="BD10" s="93"/>
      <c r="BE10" s="95"/>
      <c r="BF10" s="91"/>
      <c r="BG10" s="92" t="s">
        <v>1356</v>
      </c>
      <c r="BH10" s="93"/>
      <c r="BI10" s="95"/>
      <c r="BJ10" s="93"/>
      <c r="BK10" s="95"/>
      <c r="BL10" s="91"/>
      <c r="BM10" s="92" t="s">
        <v>1356</v>
      </c>
      <c r="BN10" s="93"/>
      <c r="BO10" s="95"/>
      <c r="BP10" s="93"/>
      <c r="BQ10" s="95"/>
      <c r="BR10" s="91"/>
      <c r="BS10" s="92" t="s">
        <v>1356</v>
      </c>
      <c r="BT10" s="93"/>
      <c r="BU10" s="95"/>
      <c r="BV10" s="93"/>
      <c r="BW10" s="95"/>
      <c r="BX10" s="113"/>
      <c r="BY10" s="114"/>
      <c r="BZ10" s="115"/>
      <c r="CA10" s="116"/>
      <c r="CB10" s="115"/>
      <c r="CC10" s="116"/>
      <c r="CD10" s="113"/>
      <c r="CE10" s="114"/>
      <c r="CF10" s="115"/>
      <c r="CG10" s="116"/>
      <c r="CH10" s="115"/>
      <c r="CI10" s="116"/>
      <c r="CJ10" s="113"/>
      <c r="CK10" s="114" t="s">
        <v>1356</v>
      </c>
      <c r="CL10" s="115"/>
      <c r="CM10" s="116"/>
      <c r="CN10" s="115"/>
      <c r="CO10" s="116"/>
      <c r="CP10" s="113"/>
      <c r="CQ10" s="114" t="s">
        <v>1356</v>
      </c>
      <c r="CR10" s="115"/>
      <c r="CS10" s="116"/>
      <c r="CT10" s="115"/>
      <c r="CU10" s="116"/>
      <c r="CV10" s="113"/>
      <c r="CW10" s="114" t="s">
        <v>1356</v>
      </c>
      <c r="CX10" s="115"/>
      <c r="CY10" s="116"/>
      <c r="CZ10" s="115"/>
      <c r="DA10" s="116"/>
      <c r="DB10" s="128" t="s">
        <v>7085</v>
      </c>
      <c r="DC10" s="128" t="s">
        <v>105</v>
      </c>
    </row>
    <row r="11" spans="1:107" s="40" customFormat="1" ht="14.55" customHeight="1" x14ac:dyDescent="0.3">
      <c r="A11" s="25" t="s">
        <v>3500</v>
      </c>
      <c r="B11" s="25" t="s">
        <v>3517</v>
      </c>
      <c r="C11" s="25" t="s">
        <v>3518</v>
      </c>
      <c r="D11" s="25" t="s">
        <v>151</v>
      </c>
      <c r="E11" s="25" t="s">
        <v>152</v>
      </c>
      <c r="F11" s="25" t="s">
        <v>142</v>
      </c>
      <c r="G11" s="26" t="s">
        <v>109</v>
      </c>
      <c r="H11" s="27" t="s">
        <v>2719</v>
      </c>
      <c r="I11" s="26">
        <v>1004</v>
      </c>
      <c r="J11" s="26">
        <v>100450</v>
      </c>
      <c r="K11" s="28">
        <v>3</v>
      </c>
      <c r="L11" s="25" t="s">
        <v>153</v>
      </c>
      <c r="M11" s="25" t="s">
        <v>154</v>
      </c>
      <c r="N11" s="25" t="s">
        <v>155</v>
      </c>
      <c r="O11" s="25"/>
      <c r="P11" s="25"/>
      <c r="Q11" s="25"/>
      <c r="R11" s="25"/>
      <c r="S11" s="25"/>
      <c r="T11" s="25"/>
      <c r="U11" s="25"/>
      <c r="V11" s="25"/>
      <c r="W11" s="25" t="s">
        <v>156</v>
      </c>
      <c r="X11" s="25"/>
      <c r="Y11" s="25" t="s">
        <v>157</v>
      </c>
      <c r="Z11" s="25"/>
      <c r="AA11" s="25"/>
      <c r="AB11" s="25"/>
      <c r="AC11" s="25"/>
      <c r="AD11" s="25"/>
      <c r="AE11" s="28">
        <v>2</v>
      </c>
      <c r="AF11" s="28" t="s">
        <v>64</v>
      </c>
      <c r="AG11" s="29" t="s">
        <v>65</v>
      </c>
      <c r="AH11" s="30"/>
      <c r="AI11" s="31" t="s">
        <v>65</v>
      </c>
      <c r="AJ11" s="32" t="s">
        <v>6938</v>
      </c>
      <c r="AK11" s="33" t="s">
        <v>92</v>
      </c>
      <c r="AL11" s="34">
        <v>45579</v>
      </c>
      <c r="AM11" s="36"/>
      <c r="AN11" s="36"/>
      <c r="AO11" s="36"/>
      <c r="AP11" s="36"/>
      <c r="AQ11" s="37">
        <f t="shared" si="3"/>
        <v>0</v>
      </c>
      <c r="AR11" s="38">
        <f t="shared" si="4"/>
        <v>0</v>
      </c>
      <c r="AS11" s="39">
        <f t="shared" si="5"/>
        <v>0</v>
      </c>
      <c r="AT11" s="91"/>
      <c r="AU11" s="92" t="s">
        <v>1356</v>
      </c>
      <c r="AV11" s="93"/>
      <c r="AW11" s="94"/>
      <c r="AX11" s="93"/>
      <c r="AY11" s="95"/>
      <c r="AZ11" s="91"/>
      <c r="BA11" s="92" t="s">
        <v>1356</v>
      </c>
      <c r="BB11" s="93"/>
      <c r="BC11" s="95"/>
      <c r="BD11" s="93"/>
      <c r="BE11" s="95"/>
      <c r="BF11" s="91"/>
      <c r="BG11" s="92" t="s">
        <v>1356</v>
      </c>
      <c r="BH11" s="93"/>
      <c r="BI11" s="95"/>
      <c r="BJ11" s="93"/>
      <c r="BK11" s="95"/>
      <c r="BL11" s="91"/>
      <c r="BM11" s="92" t="s">
        <v>1356</v>
      </c>
      <c r="BN11" s="93"/>
      <c r="BO11" s="95"/>
      <c r="BP11" s="93"/>
      <c r="BQ11" s="95"/>
      <c r="BR11" s="91"/>
      <c r="BS11" s="92" t="s">
        <v>1356</v>
      </c>
      <c r="BT11" s="93"/>
      <c r="BU11" s="95"/>
      <c r="BV11" s="93"/>
      <c r="BW11" s="95"/>
      <c r="BX11" s="113"/>
      <c r="BY11" s="114" t="s">
        <v>1356</v>
      </c>
      <c r="BZ11" s="115"/>
      <c r="CA11" s="116"/>
      <c r="CB11" s="115"/>
      <c r="CC11" s="116"/>
      <c r="CD11" s="113"/>
      <c r="CE11" s="114" t="s">
        <v>1356</v>
      </c>
      <c r="CF11" s="115"/>
      <c r="CG11" s="116"/>
      <c r="CH11" s="115"/>
      <c r="CI11" s="116"/>
      <c r="CJ11" s="113"/>
      <c r="CK11" s="114" t="s">
        <v>1356</v>
      </c>
      <c r="CL11" s="115"/>
      <c r="CM11" s="116"/>
      <c r="CN11" s="115"/>
      <c r="CO11" s="116"/>
      <c r="CP11" s="113"/>
      <c r="CQ11" s="114" t="s">
        <v>1356</v>
      </c>
      <c r="CR11" s="115"/>
      <c r="CS11" s="116"/>
      <c r="CT11" s="115"/>
      <c r="CU11" s="116"/>
      <c r="CV11" s="113"/>
      <c r="CW11" s="114" t="s">
        <v>1356</v>
      </c>
      <c r="CX11" s="115"/>
      <c r="CY11" s="116"/>
      <c r="CZ11" s="115"/>
      <c r="DA11" s="116"/>
      <c r="DB11" s="128" t="s">
        <v>7085</v>
      </c>
      <c r="DC11" s="128" t="s">
        <v>92</v>
      </c>
    </row>
    <row r="12" spans="1:107" s="40" customFormat="1" ht="14.55" customHeight="1" x14ac:dyDescent="0.3">
      <c r="A12" s="25" t="s">
        <v>3500</v>
      </c>
      <c r="B12" s="25" t="s">
        <v>3519</v>
      </c>
      <c r="C12" s="25" t="s">
        <v>3520</v>
      </c>
      <c r="D12" s="25" t="s">
        <v>158</v>
      </c>
      <c r="E12" s="25" t="s">
        <v>159</v>
      </c>
      <c r="F12" s="25" t="s">
        <v>160</v>
      </c>
      <c r="G12" s="26" t="s">
        <v>109</v>
      </c>
      <c r="H12" s="27" t="s">
        <v>2719</v>
      </c>
      <c r="I12" s="26">
        <v>1002</v>
      </c>
      <c r="J12" s="26">
        <v>100250</v>
      </c>
      <c r="K12" s="28">
        <v>3</v>
      </c>
      <c r="L12" s="25" t="s">
        <v>161</v>
      </c>
      <c r="M12" s="25" t="s">
        <v>162</v>
      </c>
      <c r="N12" s="25" t="s">
        <v>163</v>
      </c>
      <c r="O12" s="25"/>
      <c r="P12" s="25"/>
      <c r="Q12" s="25"/>
      <c r="R12" s="25"/>
      <c r="S12" s="25"/>
      <c r="T12" s="25"/>
      <c r="U12" s="25" t="s">
        <v>164</v>
      </c>
      <c r="V12" s="25"/>
      <c r="W12" s="25" t="s">
        <v>165</v>
      </c>
      <c r="X12" s="25" t="s">
        <v>166</v>
      </c>
      <c r="Y12" s="25" t="s">
        <v>167</v>
      </c>
      <c r="Z12" s="25"/>
      <c r="AA12" s="25"/>
      <c r="AB12" s="25"/>
      <c r="AC12" s="25"/>
      <c r="AD12" s="25"/>
      <c r="AE12" s="28">
        <v>2</v>
      </c>
      <c r="AF12" s="28" t="s">
        <v>64</v>
      </c>
      <c r="AG12" s="29" t="s">
        <v>65</v>
      </c>
      <c r="AH12" s="30"/>
      <c r="AI12" s="31" t="s">
        <v>66</v>
      </c>
      <c r="AJ12" s="32" t="s">
        <v>6938</v>
      </c>
      <c r="AK12" s="33" t="s">
        <v>67</v>
      </c>
      <c r="AL12" s="34">
        <v>45568</v>
      </c>
      <c r="AM12" s="35" t="s">
        <v>66</v>
      </c>
      <c r="AN12" s="36"/>
      <c r="AO12" s="36"/>
      <c r="AP12" s="36"/>
      <c r="AQ12" s="37">
        <f t="shared" si="3"/>
        <v>0</v>
      </c>
      <c r="AR12" s="38">
        <f t="shared" si="4"/>
        <v>0</v>
      </c>
      <c r="AS12" s="39">
        <f t="shared" si="5"/>
        <v>0</v>
      </c>
      <c r="AT12" s="91"/>
      <c r="AU12" s="92" t="s">
        <v>1356</v>
      </c>
      <c r="AV12" s="93"/>
      <c r="AW12" s="94"/>
      <c r="AX12" s="93"/>
      <c r="AY12" s="95"/>
      <c r="AZ12" s="91"/>
      <c r="BA12" s="92" t="s">
        <v>1356</v>
      </c>
      <c r="BB12" s="93"/>
      <c r="BC12" s="95"/>
      <c r="BD12" s="93"/>
      <c r="BE12" s="95"/>
      <c r="BF12" s="91"/>
      <c r="BG12" s="92" t="s">
        <v>1356</v>
      </c>
      <c r="BH12" s="93"/>
      <c r="BI12" s="95"/>
      <c r="BJ12" s="93"/>
      <c r="BK12" s="95"/>
      <c r="BL12" s="91"/>
      <c r="BM12" s="92" t="s">
        <v>1356</v>
      </c>
      <c r="BN12" s="93"/>
      <c r="BO12" s="95"/>
      <c r="BP12" s="93"/>
      <c r="BQ12" s="95"/>
      <c r="BR12" s="91"/>
      <c r="BS12" s="92" t="s">
        <v>1356</v>
      </c>
      <c r="BT12" s="93"/>
      <c r="BU12" s="95"/>
      <c r="BV12" s="93"/>
      <c r="BW12" s="95"/>
      <c r="BX12" s="113"/>
      <c r="BY12" s="114" t="s">
        <v>1356</v>
      </c>
      <c r="BZ12" s="115"/>
      <c r="CA12" s="116"/>
      <c r="CB12" s="115"/>
      <c r="CC12" s="116"/>
      <c r="CD12" s="113"/>
      <c r="CE12" s="114" t="s">
        <v>1356</v>
      </c>
      <c r="CF12" s="115"/>
      <c r="CG12" s="116"/>
      <c r="CH12" s="115"/>
      <c r="CI12" s="116"/>
      <c r="CJ12" s="113"/>
      <c r="CK12" s="114" t="s">
        <v>1356</v>
      </c>
      <c r="CL12" s="115"/>
      <c r="CM12" s="116"/>
      <c r="CN12" s="115"/>
      <c r="CO12" s="116"/>
      <c r="CP12" s="113"/>
      <c r="CQ12" s="114" t="s">
        <v>1356</v>
      </c>
      <c r="CR12" s="115"/>
      <c r="CS12" s="116"/>
      <c r="CT12" s="115"/>
      <c r="CU12" s="116"/>
      <c r="CV12" s="113"/>
      <c r="CW12" s="114" t="s">
        <v>1356</v>
      </c>
      <c r="CX12" s="115"/>
      <c r="CY12" s="116"/>
      <c r="CZ12" s="115"/>
      <c r="DA12" s="116"/>
      <c r="DB12" s="128" t="s">
        <v>7085</v>
      </c>
      <c r="DC12" s="128" t="s">
        <v>105</v>
      </c>
    </row>
    <row r="13" spans="1:107" s="40" customFormat="1" ht="14.55" customHeight="1" x14ac:dyDescent="0.3">
      <c r="A13" s="25" t="s">
        <v>3500</v>
      </c>
      <c r="B13" s="25" t="s">
        <v>3521</v>
      </c>
      <c r="C13" s="25" t="s">
        <v>3522</v>
      </c>
      <c r="D13" s="25" t="s">
        <v>168</v>
      </c>
      <c r="E13" s="25" t="s">
        <v>70</v>
      </c>
      <c r="F13" s="25" t="s">
        <v>169</v>
      </c>
      <c r="G13" s="26" t="s">
        <v>109</v>
      </c>
      <c r="H13" s="27" t="s">
        <v>2719</v>
      </c>
      <c r="I13" s="26">
        <v>1001</v>
      </c>
      <c r="J13" s="26">
        <v>100150</v>
      </c>
      <c r="K13" s="28">
        <v>4</v>
      </c>
      <c r="L13" s="25" t="s">
        <v>170</v>
      </c>
      <c r="M13" s="25"/>
      <c r="N13" s="25" t="s">
        <v>171</v>
      </c>
      <c r="O13" s="25"/>
      <c r="P13" s="25"/>
      <c r="Q13" s="25"/>
      <c r="R13" s="25"/>
      <c r="S13" s="25"/>
      <c r="T13" s="25"/>
      <c r="U13" s="25"/>
      <c r="V13" s="25"/>
      <c r="W13" s="25" t="s">
        <v>172</v>
      </c>
      <c r="X13" s="25"/>
      <c r="Y13" s="25"/>
      <c r="Z13" s="25"/>
      <c r="AA13" s="25"/>
      <c r="AB13" s="25"/>
      <c r="AC13" s="25"/>
      <c r="AD13" s="25"/>
      <c r="AE13" s="28">
        <v>2</v>
      </c>
      <c r="AF13" s="28" t="s">
        <v>64</v>
      </c>
      <c r="AG13" s="29" t="s">
        <v>65</v>
      </c>
      <c r="AH13" s="30"/>
      <c r="AI13" s="31" t="s">
        <v>65</v>
      </c>
      <c r="AJ13" s="32" t="s">
        <v>6938</v>
      </c>
      <c r="AK13" s="33" t="s">
        <v>92</v>
      </c>
      <c r="AL13" s="34">
        <v>45579</v>
      </c>
      <c r="AM13" s="36"/>
      <c r="AN13" s="36"/>
      <c r="AO13" s="36"/>
      <c r="AP13" s="36"/>
      <c r="AQ13" s="37">
        <f t="shared" si="3"/>
        <v>0</v>
      </c>
      <c r="AR13" s="38">
        <f t="shared" si="4"/>
        <v>0</v>
      </c>
      <c r="AS13" s="39">
        <f t="shared" si="5"/>
        <v>0</v>
      </c>
      <c r="AT13" s="91"/>
      <c r="AU13" s="92" t="s">
        <v>1356</v>
      </c>
      <c r="AV13" s="93"/>
      <c r="AW13" s="94"/>
      <c r="AX13" s="93"/>
      <c r="AY13" s="95"/>
      <c r="AZ13" s="91"/>
      <c r="BA13" s="92" t="s">
        <v>1356</v>
      </c>
      <c r="BB13" s="93"/>
      <c r="BC13" s="95"/>
      <c r="BD13" s="93"/>
      <c r="BE13" s="95"/>
      <c r="BF13" s="91"/>
      <c r="BG13" s="92" t="s">
        <v>1356</v>
      </c>
      <c r="BH13" s="93"/>
      <c r="BI13" s="95"/>
      <c r="BJ13" s="93"/>
      <c r="BK13" s="95"/>
      <c r="BL13" s="91"/>
      <c r="BM13" s="92" t="s">
        <v>1356</v>
      </c>
      <c r="BN13" s="93"/>
      <c r="BO13" s="95"/>
      <c r="BP13" s="93"/>
      <c r="BQ13" s="95"/>
      <c r="BR13" s="91"/>
      <c r="BS13" s="92" t="s">
        <v>1356</v>
      </c>
      <c r="BT13" s="93"/>
      <c r="BU13" s="95"/>
      <c r="BV13" s="93"/>
      <c r="BW13" s="95"/>
      <c r="BX13" s="113"/>
      <c r="BY13" s="114" t="s">
        <v>1356</v>
      </c>
      <c r="BZ13" s="115"/>
      <c r="CA13" s="116"/>
      <c r="CB13" s="115"/>
      <c r="CC13" s="116"/>
      <c r="CD13" s="113"/>
      <c r="CE13" s="114" t="s">
        <v>1356</v>
      </c>
      <c r="CF13" s="115"/>
      <c r="CG13" s="116"/>
      <c r="CH13" s="115"/>
      <c r="CI13" s="116"/>
      <c r="CJ13" s="113"/>
      <c r="CK13" s="114" t="s">
        <v>1356</v>
      </c>
      <c r="CL13" s="115"/>
      <c r="CM13" s="116"/>
      <c r="CN13" s="115"/>
      <c r="CO13" s="116"/>
      <c r="CP13" s="113"/>
      <c r="CQ13" s="114" t="s">
        <v>1356</v>
      </c>
      <c r="CR13" s="115"/>
      <c r="CS13" s="116"/>
      <c r="CT13" s="115"/>
      <c r="CU13" s="116"/>
      <c r="CV13" s="113"/>
      <c r="CW13" s="114" t="s">
        <v>1356</v>
      </c>
      <c r="CX13" s="115"/>
      <c r="CY13" s="116"/>
      <c r="CZ13" s="115"/>
      <c r="DA13" s="116"/>
      <c r="DB13" s="128" t="s">
        <v>7085</v>
      </c>
      <c r="DC13" s="128" t="s">
        <v>92</v>
      </c>
    </row>
    <row r="14" spans="1:107" s="40" customFormat="1" ht="14.55" customHeight="1" x14ac:dyDescent="0.3">
      <c r="A14" s="42" t="s">
        <v>3456</v>
      </c>
      <c r="B14" s="42" t="s">
        <v>4056</v>
      </c>
      <c r="C14" s="42" t="s">
        <v>2586</v>
      </c>
      <c r="D14" s="42" t="s">
        <v>2587</v>
      </c>
      <c r="E14" s="42" t="s">
        <v>2588</v>
      </c>
      <c r="F14" s="42" t="s">
        <v>1585</v>
      </c>
      <c r="G14" s="42" t="s">
        <v>1941</v>
      </c>
      <c r="H14" s="43" t="s">
        <v>6927</v>
      </c>
      <c r="I14" s="44">
        <v>601</v>
      </c>
      <c r="J14" s="44">
        <v>60150</v>
      </c>
      <c r="K14" s="45">
        <v>3</v>
      </c>
      <c r="L14" s="42" t="s">
        <v>2589</v>
      </c>
      <c r="M14" s="42" t="s">
        <v>267</v>
      </c>
      <c r="N14" s="42" t="s">
        <v>2590</v>
      </c>
      <c r="O14" s="42"/>
      <c r="P14" s="42"/>
      <c r="Q14" s="42"/>
      <c r="R14" s="42" t="s">
        <v>113</v>
      </c>
      <c r="S14" s="42"/>
      <c r="T14" s="42"/>
      <c r="U14" s="42" t="s">
        <v>2591</v>
      </c>
      <c r="V14" s="42"/>
      <c r="W14" s="42" t="s">
        <v>2592</v>
      </c>
      <c r="X14" s="42" t="s">
        <v>2593</v>
      </c>
      <c r="Y14" s="42" t="s">
        <v>2594</v>
      </c>
      <c r="Z14" s="42">
        <v>-78.667646795511232</v>
      </c>
      <c r="AA14" s="42">
        <v>-1.652247743373213</v>
      </c>
      <c r="AB14" s="42">
        <v>60150006</v>
      </c>
      <c r="AC14" s="42">
        <v>60150006009</v>
      </c>
      <c r="AD14" s="42">
        <v>60150006009001</v>
      </c>
      <c r="AE14" s="45">
        <v>2</v>
      </c>
      <c r="AF14" s="45" t="s">
        <v>64</v>
      </c>
      <c r="AG14" s="46" t="s">
        <v>66</v>
      </c>
      <c r="AH14" s="47" t="s">
        <v>2595</v>
      </c>
      <c r="AI14" s="48" t="s">
        <v>66</v>
      </c>
      <c r="AJ14" s="49" t="s">
        <v>6938</v>
      </c>
      <c r="AK14" s="50" t="s">
        <v>67</v>
      </c>
      <c r="AL14" s="51">
        <v>45124</v>
      </c>
      <c r="AM14" s="52" t="s">
        <v>66</v>
      </c>
      <c r="AN14" s="42"/>
      <c r="AO14" s="42"/>
      <c r="AP14" s="42"/>
      <c r="AQ14" s="53">
        <f t="shared" si="3"/>
        <v>2</v>
      </c>
      <c r="AR14" s="54">
        <f t="shared" si="4"/>
        <v>0</v>
      </c>
      <c r="AS14" s="55">
        <f t="shared" si="5"/>
        <v>2</v>
      </c>
      <c r="AT14" s="96" t="s">
        <v>1960</v>
      </c>
      <c r="AU14" s="96" t="s">
        <v>1961</v>
      </c>
      <c r="AV14" s="96">
        <v>195</v>
      </c>
      <c r="AW14" s="97">
        <v>45572</v>
      </c>
      <c r="AX14" s="96"/>
      <c r="AY14" s="98"/>
      <c r="AZ14" s="96" t="s">
        <v>1962</v>
      </c>
      <c r="BA14" s="96" t="s">
        <v>1963</v>
      </c>
      <c r="BB14" s="96">
        <v>170</v>
      </c>
      <c r="BC14" s="98">
        <v>45572</v>
      </c>
      <c r="BD14" s="96"/>
      <c r="BE14" s="98"/>
      <c r="BF14" s="96"/>
      <c r="BG14" s="96" t="s">
        <v>1356</v>
      </c>
      <c r="BH14" s="96"/>
      <c r="BI14" s="98"/>
      <c r="BJ14" s="96"/>
      <c r="BK14" s="98"/>
      <c r="BL14" s="96"/>
      <c r="BM14" s="96" t="s">
        <v>1356</v>
      </c>
      <c r="BN14" s="96"/>
      <c r="BO14" s="98"/>
      <c r="BP14" s="96"/>
      <c r="BQ14" s="98"/>
      <c r="BR14" s="96"/>
      <c r="BS14" s="96" t="s">
        <v>1356</v>
      </c>
      <c r="BT14" s="96"/>
      <c r="BU14" s="98"/>
      <c r="BV14" s="96"/>
      <c r="BW14" s="98"/>
      <c r="BX14" s="117"/>
      <c r="BY14" s="117" t="s">
        <v>1356</v>
      </c>
      <c r="BZ14" s="117"/>
      <c r="CA14" s="118"/>
      <c r="CB14" s="117"/>
      <c r="CC14" s="118"/>
      <c r="CD14" s="117"/>
      <c r="CE14" s="117" t="s">
        <v>1356</v>
      </c>
      <c r="CF14" s="117"/>
      <c r="CG14" s="118"/>
      <c r="CH14" s="117"/>
      <c r="CI14" s="118"/>
      <c r="CJ14" s="117"/>
      <c r="CK14" s="117" t="s">
        <v>1356</v>
      </c>
      <c r="CL14" s="117"/>
      <c r="CM14" s="118"/>
      <c r="CN14" s="117"/>
      <c r="CO14" s="118"/>
      <c r="CP14" s="117"/>
      <c r="CQ14" s="117" t="s">
        <v>1356</v>
      </c>
      <c r="CR14" s="117"/>
      <c r="CS14" s="118"/>
      <c r="CT14" s="117"/>
      <c r="CU14" s="118"/>
      <c r="CV14" s="117"/>
      <c r="CW14" s="117" t="s">
        <v>1356</v>
      </c>
      <c r="CX14" s="117"/>
      <c r="CY14" s="118"/>
      <c r="CZ14" s="117"/>
      <c r="DA14" s="118"/>
      <c r="DB14" s="129" t="s">
        <v>6962</v>
      </c>
      <c r="DC14" s="130" t="s">
        <v>105</v>
      </c>
    </row>
    <row r="15" spans="1:107" s="40" customFormat="1" ht="14.55" customHeight="1" x14ac:dyDescent="0.3">
      <c r="A15" s="25" t="s">
        <v>3500</v>
      </c>
      <c r="B15" s="25" t="s">
        <v>3525</v>
      </c>
      <c r="C15" s="25" t="s">
        <v>3526</v>
      </c>
      <c r="D15" s="25" t="s">
        <v>183</v>
      </c>
      <c r="E15" s="25" t="s">
        <v>184</v>
      </c>
      <c r="F15" s="25" t="s">
        <v>175</v>
      </c>
      <c r="G15" s="26" t="s">
        <v>109</v>
      </c>
      <c r="H15" s="27" t="s">
        <v>2719</v>
      </c>
      <c r="I15" s="26">
        <v>1004</v>
      </c>
      <c r="J15" s="26">
        <v>100452</v>
      </c>
      <c r="K15" s="28">
        <v>3</v>
      </c>
      <c r="L15" s="25" t="s">
        <v>185</v>
      </c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 t="s">
        <v>186</v>
      </c>
      <c r="X15" s="25"/>
      <c r="Y15" s="25" t="s">
        <v>187</v>
      </c>
      <c r="Z15" s="25"/>
      <c r="AA15" s="25"/>
      <c r="AB15" s="25"/>
      <c r="AC15" s="25"/>
      <c r="AD15" s="25"/>
      <c r="AE15" s="28">
        <v>2</v>
      </c>
      <c r="AF15" s="28" t="s">
        <v>64</v>
      </c>
      <c r="AG15" s="29" t="s">
        <v>65</v>
      </c>
      <c r="AH15" s="30"/>
      <c r="AI15" s="31" t="s">
        <v>66</v>
      </c>
      <c r="AJ15" s="32" t="s">
        <v>6938</v>
      </c>
      <c r="AK15" s="33" t="s">
        <v>67</v>
      </c>
      <c r="AL15" s="34">
        <v>45573</v>
      </c>
      <c r="AM15" s="36" t="s">
        <v>66</v>
      </c>
      <c r="AN15" s="36"/>
      <c r="AO15" s="36"/>
      <c r="AP15" s="36"/>
      <c r="AQ15" s="37">
        <f t="shared" si="3"/>
        <v>0</v>
      </c>
      <c r="AR15" s="38">
        <f t="shared" si="4"/>
        <v>0</v>
      </c>
      <c r="AS15" s="39">
        <f t="shared" si="5"/>
        <v>0</v>
      </c>
      <c r="AT15" s="91"/>
      <c r="AU15" s="92" t="s">
        <v>1356</v>
      </c>
      <c r="AV15" s="93"/>
      <c r="AW15" s="94"/>
      <c r="AX15" s="93"/>
      <c r="AY15" s="95"/>
      <c r="AZ15" s="91"/>
      <c r="BA15" s="92" t="s">
        <v>1356</v>
      </c>
      <c r="BB15" s="93"/>
      <c r="BC15" s="95"/>
      <c r="BD15" s="93"/>
      <c r="BE15" s="95"/>
      <c r="BF15" s="91"/>
      <c r="BG15" s="92" t="s">
        <v>1356</v>
      </c>
      <c r="BH15" s="93"/>
      <c r="BI15" s="95"/>
      <c r="BJ15" s="93"/>
      <c r="BK15" s="95"/>
      <c r="BL15" s="91"/>
      <c r="BM15" s="92" t="s">
        <v>1356</v>
      </c>
      <c r="BN15" s="93"/>
      <c r="BO15" s="95"/>
      <c r="BP15" s="93"/>
      <c r="BQ15" s="95"/>
      <c r="BR15" s="91"/>
      <c r="BS15" s="92" t="s">
        <v>1356</v>
      </c>
      <c r="BT15" s="93"/>
      <c r="BU15" s="95"/>
      <c r="BV15" s="93"/>
      <c r="BW15" s="95"/>
      <c r="BX15" s="113"/>
      <c r="BY15" s="114" t="s">
        <v>1356</v>
      </c>
      <c r="BZ15" s="115"/>
      <c r="CA15" s="116"/>
      <c r="CB15" s="115"/>
      <c r="CC15" s="116"/>
      <c r="CD15" s="113"/>
      <c r="CE15" s="114" t="s">
        <v>1356</v>
      </c>
      <c r="CF15" s="115"/>
      <c r="CG15" s="116"/>
      <c r="CH15" s="115"/>
      <c r="CI15" s="116"/>
      <c r="CJ15" s="113"/>
      <c r="CK15" s="114" t="s">
        <v>1356</v>
      </c>
      <c r="CL15" s="115"/>
      <c r="CM15" s="116"/>
      <c r="CN15" s="115"/>
      <c r="CO15" s="116"/>
      <c r="CP15" s="113"/>
      <c r="CQ15" s="114" t="s">
        <v>1356</v>
      </c>
      <c r="CR15" s="115"/>
      <c r="CS15" s="116"/>
      <c r="CT15" s="115"/>
      <c r="CU15" s="116"/>
      <c r="CV15" s="113"/>
      <c r="CW15" s="114" t="s">
        <v>1356</v>
      </c>
      <c r="CX15" s="115"/>
      <c r="CY15" s="116"/>
      <c r="CZ15" s="115"/>
      <c r="DA15" s="116"/>
      <c r="DB15" s="128" t="s">
        <v>7085</v>
      </c>
      <c r="DC15" s="128" t="s">
        <v>78</v>
      </c>
    </row>
    <row r="16" spans="1:107" s="40" customFormat="1" ht="14.55" customHeight="1" x14ac:dyDescent="0.3">
      <c r="A16" s="42" t="s">
        <v>3456</v>
      </c>
      <c r="B16" s="42" t="s">
        <v>4066</v>
      </c>
      <c r="C16" s="42" t="s">
        <v>2645</v>
      </c>
      <c r="D16" s="42" t="s">
        <v>2646</v>
      </c>
      <c r="E16" s="42" t="s">
        <v>2647</v>
      </c>
      <c r="F16" s="42" t="s">
        <v>567</v>
      </c>
      <c r="G16" s="42" t="s">
        <v>1059</v>
      </c>
      <c r="H16" s="43" t="s">
        <v>6924</v>
      </c>
      <c r="I16" s="44">
        <v>1801</v>
      </c>
      <c r="J16" s="44">
        <v>180156</v>
      </c>
      <c r="K16" s="45">
        <v>3</v>
      </c>
      <c r="L16" s="42" t="s">
        <v>2648</v>
      </c>
      <c r="M16" s="42" t="s">
        <v>258</v>
      </c>
      <c r="N16" s="42" t="s">
        <v>2649</v>
      </c>
      <c r="O16" s="42"/>
      <c r="P16" s="42"/>
      <c r="Q16" s="42" t="s">
        <v>2650</v>
      </c>
      <c r="R16" s="42"/>
      <c r="S16" s="42"/>
      <c r="T16" s="42"/>
      <c r="U16" s="42"/>
      <c r="V16" s="42"/>
      <c r="W16" s="42" t="s">
        <v>2651</v>
      </c>
      <c r="X16" s="42" t="s">
        <v>2652</v>
      </c>
      <c r="Y16" s="42" t="s">
        <v>2653</v>
      </c>
      <c r="Z16" s="42">
        <v>-78.631722999999994</v>
      </c>
      <c r="AA16" s="42">
        <v>-1.2508859999999999</v>
      </c>
      <c r="AB16" s="42">
        <v>180156904</v>
      </c>
      <c r="AC16" s="42">
        <v>180156904002</v>
      </c>
      <c r="AD16" s="42">
        <v>180156904002002</v>
      </c>
      <c r="AE16" s="45">
        <v>3</v>
      </c>
      <c r="AF16" s="45" t="s">
        <v>377</v>
      </c>
      <c r="AG16" s="46" t="s">
        <v>66</v>
      </c>
      <c r="AH16" s="47" t="s">
        <v>2654</v>
      </c>
      <c r="AI16" s="48" t="s">
        <v>66</v>
      </c>
      <c r="AJ16" s="49" t="s">
        <v>6938</v>
      </c>
      <c r="AK16" s="50" t="s">
        <v>67</v>
      </c>
      <c r="AL16" s="51">
        <v>45124</v>
      </c>
      <c r="AM16" s="52" t="s">
        <v>66</v>
      </c>
      <c r="AN16" s="42"/>
      <c r="AO16" s="42"/>
      <c r="AP16" s="42"/>
      <c r="AQ16" s="53">
        <f t="shared" si="3"/>
        <v>3</v>
      </c>
      <c r="AR16" s="54">
        <f t="shared" si="4"/>
        <v>0</v>
      </c>
      <c r="AS16" s="55">
        <f t="shared" si="5"/>
        <v>3</v>
      </c>
      <c r="AT16" s="96" t="s">
        <v>564</v>
      </c>
      <c r="AU16" s="96" t="s">
        <v>2655</v>
      </c>
      <c r="AV16" s="96">
        <v>6.83</v>
      </c>
      <c r="AW16" s="97">
        <v>45569</v>
      </c>
      <c r="AX16" s="96"/>
      <c r="AY16" s="98"/>
      <c r="AZ16" s="96" t="s">
        <v>575</v>
      </c>
      <c r="BA16" s="96" t="s">
        <v>2635</v>
      </c>
      <c r="BB16" s="96">
        <v>2.76</v>
      </c>
      <c r="BC16" s="98">
        <v>45569</v>
      </c>
      <c r="BD16" s="96"/>
      <c r="BE16" s="98"/>
      <c r="BF16" s="96" t="s">
        <v>575</v>
      </c>
      <c r="BG16" s="96" t="s">
        <v>2635</v>
      </c>
      <c r="BH16" s="96">
        <v>0.47</v>
      </c>
      <c r="BI16" s="98">
        <v>45569</v>
      </c>
      <c r="BJ16" s="96"/>
      <c r="BK16" s="98"/>
      <c r="BL16" s="96"/>
      <c r="BM16" s="96" t="s">
        <v>1356</v>
      </c>
      <c r="BN16" s="96"/>
      <c r="BO16" s="98"/>
      <c r="BP16" s="96"/>
      <c r="BQ16" s="98"/>
      <c r="BR16" s="96"/>
      <c r="BS16" s="96" t="s">
        <v>1356</v>
      </c>
      <c r="BT16" s="96"/>
      <c r="BU16" s="98"/>
      <c r="BV16" s="96"/>
      <c r="BW16" s="98"/>
      <c r="BX16" s="117"/>
      <c r="BY16" s="117" t="s">
        <v>1356</v>
      </c>
      <c r="BZ16" s="117"/>
      <c r="CA16" s="118"/>
      <c r="CB16" s="117"/>
      <c r="CC16" s="118"/>
      <c r="CD16" s="117"/>
      <c r="CE16" s="117" t="s">
        <v>1356</v>
      </c>
      <c r="CF16" s="117"/>
      <c r="CG16" s="118"/>
      <c r="CH16" s="117"/>
      <c r="CI16" s="118"/>
      <c r="CJ16" s="117"/>
      <c r="CK16" s="117" t="s">
        <v>1356</v>
      </c>
      <c r="CL16" s="117"/>
      <c r="CM16" s="118"/>
      <c r="CN16" s="117"/>
      <c r="CO16" s="118"/>
      <c r="CP16" s="117"/>
      <c r="CQ16" s="117" t="s">
        <v>1356</v>
      </c>
      <c r="CR16" s="117"/>
      <c r="CS16" s="118"/>
      <c r="CT16" s="117"/>
      <c r="CU16" s="118"/>
      <c r="CV16" s="117"/>
      <c r="CW16" s="117" t="s">
        <v>1356</v>
      </c>
      <c r="CX16" s="117"/>
      <c r="CY16" s="118"/>
      <c r="CZ16" s="117"/>
      <c r="DA16" s="118"/>
      <c r="DB16" s="129" t="s">
        <v>6962</v>
      </c>
      <c r="DC16" s="130" t="s">
        <v>105</v>
      </c>
    </row>
    <row r="17" spans="1:107" s="40" customFormat="1" ht="14.55" customHeight="1" x14ac:dyDescent="0.3">
      <c r="A17" s="25" t="s">
        <v>3500</v>
      </c>
      <c r="B17" s="25" t="s">
        <v>3529</v>
      </c>
      <c r="C17" s="41">
        <v>1711849214001</v>
      </c>
      <c r="D17" s="25" t="s">
        <v>199</v>
      </c>
      <c r="E17" s="25" t="s">
        <v>200</v>
      </c>
      <c r="F17" s="25" t="s">
        <v>201</v>
      </c>
      <c r="G17" s="26" t="s">
        <v>72</v>
      </c>
      <c r="H17" s="27" t="s">
        <v>251</v>
      </c>
      <c r="I17" s="26">
        <v>1701</v>
      </c>
      <c r="J17" s="26">
        <v>170150</v>
      </c>
      <c r="K17" s="28">
        <v>3</v>
      </c>
      <c r="L17" s="25" t="s">
        <v>202</v>
      </c>
      <c r="M17" s="25" t="s">
        <v>203</v>
      </c>
      <c r="N17" s="25" t="s">
        <v>204</v>
      </c>
      <c r="O17" s="25"/>
      <c r="P17" s="25"/>
      <c r="Q17" s="25"/>
      <c r="R17" s="25"/>
      <c r="S17" s="25"/>
      <c r="T17" s="25"/>
      <c r="U17" s="25"/>
      <c r="V17" s="25"/>
      <c r="W17" s="25" t="s">
        <v>205</v>
      </c>
      <c r="X17" s="25" t="s">
        <v>206</v>
      </c>
      <c r="Y17" s="25" t="s">
        <v>207</v>
      </c>
      <c r="Z17" s="25"/>
      <c r="AA17" s="25"/>
      <c r="AB17" s="25"/>
      <c r="AC17" s="25"/>
      <c r="AD17" s="25"/>
      <c r="AE17" s="28">
        <v>2</v>
      </c>
      <c r="AF17" s="28" t="s">
        <v>64</v>
      </c>
      <c r="AG17" s="29" t="s">
        <v>65</v>
      </c>
      <c r="AH17" s="30"/>
      <c r="AI17" s="31" t="s">
        <v>66</v>
      </c>
      <c r="AJ17" s="32" t="s">
        <v>6938</v>
      </c>
      <c r="AK17" s="33" t="s">
        <v>67</v>
      </c>
      <c r="AL17" s="34">
        <v>45560</v>
      </c>
      <c r="AM17" s="36" t="s">
        <v>66</v>
      </c>
      <c r="AN17" s="36"/>
      <c r="AO17" s="36"/>
      <c r="AP17" s="36"/>
      <c r="AQ17" s="37">
        <f t="shared" si="3"/>
        <v>0</v>
      </c>
      <c r="AR17" s="38">
        <f t="shared" si="4"/>
        <v>0</v>
      </c>
      <c r="AS17" s="39">
        <f t="shared" si="5"/>
        <v>0</v>
      </c>
      <c r="AT17" s="91"/>
      <c r="AU17" s="92" t="s">
        <v>1356</v>
      </c>
      <c r="AV17" s="93"/>
      <c r="AW17" s="94"/>
      <c r="AX17" s="93"/>
      <c r="AY17" s="95"/>
      <c r="AZ17" s="91"/>
      <c r="BA17" s="92" t="s">
        <v>1356</v>
      </c>
      <c r="BB17" s="93"/>
      <c r="BC17" s="95"/>
      <c r="BD17" s="93"/>
      <c r="BE17" s="95"/>
      <c r="BF17" s="91"/>
      <c r="BG17" s="92" t="s">
        <v>1356</v>
      </c>
      <c r="BH17" s="93"/>
      <c r="BI17" s="95"/>
      <c r="BJ17" s="93"/>
      <c r="BK17" s="95"/>
      <c r="BL17" s="91"/>
      <c r="BM17" s="92" t="s">
        <v>1356</v>
      </c>
      <c r="BN17" s="93"/>
      <c r="BO17" s="95"/>
      <c r="BP17" s="93"/>
      <c r="BQ17" s="95"/>
      <c r="BR17" s="91"/>
      <c r="BS17" s="92" t="s">
        <v>1356</v>
      </c>
      <c r="BT17" s="93"/>
      <c r="BU17" s="95"/>
      <c r="BV17" s="93"/>
      <c r="BW17" s="95"/>
      <c r="BX17" s="113"/>
      <c r="BY17" s="114"/>
      <c r="BZ17" s="115"/>
      <c r="CA17" s="116"/>
      <c r="CB17" s="115"/>
      <c r="CC17" s="116"/>
      <c r="CD17" s="113"/>
      <c r="CE17" s="114"/>
      <c r="CF17" s="115"/>
      <c r="CG17" s="116"/>
      <c r="CH17" s="115"/>
      <c r="CI17" s="116"/>
      <c r="CJ17" s="113"/>
      <c r="CK17" s="114" t="s">
        <v>1356</v>
      </c>
      <c r="CL17" s="115"/>
      <c r="CM17" s="116"/>
      <c r="CN17" s="115"/>
      <c r="CO17" s="116"/>
      <c r="CP17" s="113"/>
      <c r="CQ17" s="114" t="s">
        <v>1356</v>
      </c>
      <c r="CR17" s="115"/>
      <c r="CS17" s="116"/>
      <c r="CT17" s="115"/>
      <c r="CU17" s="116"/>
      <c r="CV17" s="113"/>
      <c r="CW17" s="114" t="s">
        <v>1356</v>
      </c>
      <c r="CX17" s="115"/>
      <c r="CY17" s="116"/>
      <c r="CZ17" s="115"/>
      <c r="DA17" s="116"/>
      <c r="DB17" s="128" t="s">
        <v>7085</v>
      </c>
      <c r="DC17" s="131" t="s">
        <v>6751</v>
      </c>
    </row>
    <row r="18" spans="1:107" s="40" customFormat="1" ht="14.55" customHeight="1" x14ac:dyDescent="0.3">
      <c r="A18" s="42" t="s">
        <v>3456</v>
      </c>
      <c r="B18" s="42" t="s">
        <v>4084</v>
      </c>
      <c r="C18" s="42" t="s">
        <v>2751</v>
      </c>
      <c r="D18" s="42" t="s">
        <v>2752</v>
      </c>
      <c r="E18" s="42" t="s">
        <v>2753</v>
      </c>
      <c r="F18" s="42" t="s">
        <v>169</v>
      </c>
      <c r="G18" s="42" t="s">
        <v>1059</v>
      </c>
      <c r="H18" s="43" t="s">
        <v>6924</v>
      </c>
      <c r="I18" s="44">
        <v>1801</v>
      </c>
      <c r="J18" s="44">
        <v>180163</v>
      </c>
      <c r="K18" s="45">
        <v>3</v>
      </c>
      <c r="L18" s="42" t="s">
        <v>2754</v>
      </c>
      <c r="M18" s="42" t="s">
        <v>258</v>
      </c>
      <c r="N18" s="42" t="s">
        <v>2755</v>
      </c>
      <c r="O18" s="42"/>
      <c r="P18" s="42"/>
      <c r="Q18" s="42"/>
      <c r="R18" s="42"/>
      <c r="S18" s="42"/>
      <c r="T18" s="42"/>
      <c r="U18" s="42"/>
      <c r="V18" s="42"/>
      <c r="W18" s="42" t="s">
        <v>2756</v>
      </c>
      <c r="X18" s="42" t="s">
        <v>2757</v>
      </c>
      <c r="Y18" s="42" t="s">
        <v>2758</v>
      </c>
      <c r="Z18" s="42">
        <v>-78.620483398399998</v>
      </c>
      <c r="AA18" s="42">
        <v>-1.2462017088999999</v>
      </c>
      <c r="AB18" s="42">
        <v>180163001</v>
      </c>
      <c r="AC18" s="42">
        <v>180163001002</v>
      </c>
      <c r="AD18" s="42">
        <v>180163001002005</v>
      </c>
      <c r="AE18" s="45">
        <v>4</v>
      </c>
      <c r="AF18" s="45" t="s">
        <v>499</v>
      </c>
      <c r="AG18" s="46" t="s">
        <v>66</v>
      </c>
      <c r="AH18" s="47" t="s">
        <v>2759</v>
      </c>
      <c r="AI18" s="48" t="s">
        <v>66</v>
      </c>
      <c r="AJ18" s="49" t="s">
        <v>6938</v>
      </c>
      <c r="AK18" s="50" t="s">
        <v>67</v>
      </c>
      <c r="AL18" s="51">
        <v>45124</v>
      </c>
      <c r="AM18" s="52" t="s">
        <v>66</v>
      </c>
      <c r="AN18" s="42"/>
      <c r="AO18" s="42"/>
      <c r="AP18" s="42"/>
      <c r="AQ18" s="53">
        <f t="shared" si="3"/>
        <v>1</v>
      </c>
      <c r="AR18" s="54">
        <f t="shared" si="4"/>
        <v>0</v>
      </c>
      <c r="AS18" s="55">
        <f t="shared" si="5"/>
        <v>1</v>
      </c>
      <c r="AT18" s="96" t="s">
        <v>2469</v>
      </c>
      <c r="AU18" s="96" t="s">
        <v>2470</v>
      </c>
      <c r="AV18" s="96">
        <v>16.96</v>
      </c>
      <c r="AW18" s="97">
        <v>45588</v>
      </c>
      <c r="AX18" s="96"/>
      <c r="AY18" s="98"/>
      <c r="AZ18" s="96"/>
      <c r="BA18" s="96" t="s">
        <v>1356</v>
      </c>
      <c r="BB18" s="96"/>
      <c r="BC18" s="98"/>
      <c r="BD18" s="96"/>
      <c r="BE18" s="98"/>
      <c r="BF18" s="96"/>
      <c r="BG18" s="96" t="s">
        <v>1356</v>
      </c>
      <c r="BH18" s="96"/>
      <c r="BI18" s="98"/>
      <c r="BJ18" s="96"/>
      <c r="BK18" s="98"/>
      <c r="BL18" s="96"/>
      <c r="BM18" s="96" t="s">
        <v>1356</v>
      </c>
      <c r="BN18" s="96"/>
      <c r="BO18" s="98"/>
      <c r="BP18" s="96"/>
      <c r="BQ18" s="98"/>
      <c r="BR18" s="96"/>
      <c r="BS18" s="96" t="s">
        <v>1356</v>
      </c>
      <c r="BT18" s="96"/>
      <c r="BU18" s="98"/>
      <c r="BV18" s="96"/>
      <c r="BW18" s="98"/>
      <c r="BX18" s="117"/>
      <c r="BY18" s="117" t="s">
        <v>1356</v>
      </c>
      <c r="BZ18" s="117"/>
      <c r="CA18" s="118"/>
      <c r="CB18" s="117"/>
      <c r="CC18" s="118"/>
      <c r="CD18" s="117"/>
      <c r="CE18" s="117" t="s">
        <v>1356</v>
      </c>
      <c r="CF18" s="117"/>
      <c r="CG18" s="118"/>
      <c r="CH18" s="117"/>
      <c r="CI18" s="118"/>
      <c r="CJ18" s="117"/>
      <c r="CK18" s="117" t="s">
        <v>1356</v>
      </c>
      <c r="CL18" s="117"/>
      <c r="CM18" s="118"/>
      <c r="CN18" s="117"/>
      <c r="CO18" s="118"/>
      <c r="CP18" s="117"/>
      <c r="CQ18" s="117" t="s">
        <v>1356</v>
      </c>
      <c r="CR18" s="117"/>
      <c r="CS18" s="118"/>
      <c r="CT18" s="117"/>
      <c r="CU18" s="118"/>
      <c r="CV18" s="117"/>
      <c r="CW18" s="117" t="s">
        <v>1356</v>
      </c>
      <c r="CX18" s="117"/>
      <c r="CY18" s="118"/>
      <c r="CZ18" s="117"/>
      <c r="DA18" s="118"/>
      <c r="DB18" s="129" t="s">
        <v>6962</v>
      </c>
      <c r="DC18" s="130" t="s">
        <v>105</v>
      </c>
    </row>
    <row r="19" spans="1:107" s="40" customFormat="1" ht="14.55" customHeight="1" x14ac:dyDescent="0.3">
      <c r="A19" s="25" t="s">
        <v>3500</v>
      </c>
      <c r="B19" s="25" t="s">
        <v>3531</v>
      </c>
      <c r="C19" s="25" t="s">
        <v>3532</v>
      </c>
      <c r="D19" s="25" t="s">
        <v>218</v>
      </c>
      <c r="E19" s="25" t="s">
        <v>219</v>
      </c>
      <c r="F19" s="25" t="s">
        <v>220</v>
      </c>
      <c r="G19" s="26" t="s">
        <v>72</v>
      </c>
      <c r="H19" s="27" t="s">
        <v>251</v>
      </c>
      <c r="I19" s="26">
        <v>1701</v>
      </c>
      <c r="J19" s="26">
        <v>170150</v>
      </c>
      <c r="K19" s="28">
        <v>4</v>
      </c>
      <c r="L19" s="25" t="s">
        <v>221</v>
      </c>
      <c r="M19" s="25" t="s">
        <v>222</v>
      </c>
      <c r="N19" s="25" t="s">
        <v>223</v>
      </c>
      <c r="O19" s="25"/>
      <c r="P19" s="25"/>
      <c r="Q19" s="25"/>
      <c r="R19" s="25"/>
      <c r="S19" s="25"/>
      <c r="T19" s="25"/>
      <c r="U19" s="25"/>
      <c r="V19" s="25" t="s">
        <v>224</v>
      </c>
      <c r="W19" s="25"/>
      <c r="X19" s="25" t="s">
        <v>225</v>
      </c>
      <c r="Y19" s="25" t="s">
        <v>226</v>
      </c>
      <c r="Z19" s="25">
        <v>-78.472899999999996</v>
      </c>
      <c r="AA19" s="25">
        <v>-0.113936</v>
      </c>
      <c r="AB19" s="25">
        <v>170150073</v>
      </c>
      <c r="AC19" s="25">
        <v>170150073009</v>
      </c>
      <c r="AD19" s="25">
        <v>170150073009004</v>
      </c>
      <c r="AE19" s="28">
        <v>2</v>
      </c>
      <c r="AF19" s="28" t="s">
        <v>64</v>
      </c>
      <c r="AG19" s="29" t="s">
        <v>65</v>
      </c>
      <c r="AH19" s="30"/>
      <c r="AI19" s="31" t="s">
        <v>66</v>
      </c>
      <c r="AJ19" s="32" t="s">
        <v>6938</v>
      </c>
      <c r="AK19" s="33" t="s">
        <v>67</v>
      </c>
      <c r="AL19" s="34">
        <v>45561</v>
      </c>
      <c r="AM19" s="36" t="s">
        <v>66</v>
      </c>
      <c r="AN19" s="36"/>
      <c r="AO19" s="36"/>
      <c r="AP19" s="36"/>
      <c r="AQ19" s="37">
        <f t="shared" si="3"/>
        <v>0</v>
      </c>
      <c r="AR19" s="38">
        <f t="shared" si="4"/>
        <v>0</v>
      </c>
      <c r="AS19" s="39">
        <f t="shared" si="5"/>
        <v>0</v>
      </c>
      <c r="AT19" s="91"/>
      <c r="AU19" s="92" t="s">
        <v>1356</v>
      </c>
      <c r="AV19" s="93"/>
      <c r="AW19" s="94"/>
      <c r="AX19" s="93"/>
      <c r="AY19" s="95"/>
      <c r="AZ19" s="91"/>
      <c r="BA19" s="92" t="s">
        <v>1356</v>
      </c>
      <c r="BB19" s="93"/>
      <c r="BC19" s="95"/>
      <c r="BD19" s="93"/>
      <c r="BE19" s="95"/>
      <c r="BF19" s="91"/>
      <c r="BG19" s="92" t="s">
        <v>1356</v>
      </c>
      <c r="BH19" s="93"/>
      <c r="BI19" s="95"/>
      <c r="BJ19" s="93"/>
      <c r="BK19" s="95"/>
      <c r="BL19" s="91"/>
      <c r="BM19" s="92" t="s">
        <v>1356</v>
      </c>
      <c r="BN19" s="93"/>
      <c r="BO19" s="95"/>
      <c r="BP19" s="93"/>
      <c r="BQ19" s="95"/>
      <c r="BR19" s="91"/>
      <c r="BS19" s="92" t="s">
        <v>1356</v>
      </c>
      <c r="BT19" s="93"/>
      <c r="BU19" s="95"/>
      <c r="BV19" s="93"/>
      <c r="BW19" s="95"/>
      <c r="BX19" s="113"/>
      <c r="BY19" s="114"/>
      <c r="BZ19" s="115"/>
      <c r="CA19" s="116"/>
      <c r="CB19" s="115"/>
      <c r="CC19" s="116"/>
      <c r="CD19" s="113"/>
      <c r="CE19" s="114"/>
      <c r="CF19" s="115"/>
      <c r="CG19" s="116"/>
      <c r="CH19" s="115"/>
      <c r="CI19" s="116"/>
      <c r="CJ19" s="113"/>
      <c r="CK19" s="114" t="s">
        <v>1356</v>
      </c>
      <c r="CL19" s="115"/>
      <c r="CM19" s="116"/>
      <c r="CN19" s="115"/>
      <c r="CO19" s="116"/>
      <c r="CP19" s="113"/>
      <c r="CQ19" s="114" t="s">
        <v>1356</v>
      </c>
      <c r="CR19" s="115"/>
      <c r="CS19" s="116"/>
      <c r="CT19" s="115"/>
      <c r="CU19" s="116"/>
      <c r="CV19" s="113"/>
      <c r="CW19" s="114" t="s">
        <v>1356</v>
      </c>
      <c r="CX19" s="115"/>
      <c r="CY19" s="116"/>
      <c r="CZ19" s="115"/>
      <c r="DA19" s="116"/>
      <c r="DB19" s="128" t="s">
        <v>7085</v>
      </c>
      <c r="DC19" s="131" t="s">
        <v>6751</v>
      </c>
    </row>
    <row r="20" spans="1:107" s="40" customFormat="1" ht="14.55" customHeight="1" x14ac:dyDescent="0.3">
      <c r="A20" s="25" t="s">
        <v>3500</v>
      </c>
      <c r="B20" s="25" t="s">
        <v>3533</v>
      </c>
      <c r="C20" s="25" t="s">
        <v>3534</v>
      </c>
      <c r="D20" s="25" t="s">
        <v>227</v>
      </c>
      <c r="E20" s="25" t="s">
        <v>70</v>
      </c>
      <c r="F20" s="25" t="s">
        <v>220</v>
      </c>
      <c r="G20" s="26" t="s">
        <v>228</v>
      </c>
      <c r="H20" s="27" t="s">
        <v>6923</v>
      </c>
      <c r="I20" s="26">
        <v>2101</v>
      </c>
      <c r="J20" s="26">
        <v>210150</v>
      </c>
      <c r="K20" s="28">
        <v>4</v>
      </c>
      <c r="L20" s="25" t="s">
        <v>229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 t="s">
        <v>230</v>
      </c>
      <c r="X20" s="25"/>
      <c r="Y20" s="25"/>
      <c r="Z20" s="25"/>
      <c r="AA20" s="25"/>
      <c r="AB20" s="25"/>
      <c r="AC20" s="25"/>
      <c r="AD20" s="25"/>
      <c r="AE20" s="28">
        <v>2</v>
      </c>
      <c r="AF20" s="28" t="s">
        <v>64</v>
      </c>
      <c r="AG20" s="29" t="s">
        <v>65</v>
      </c>
      <c r="AH20" s="30"/>
      <c r="AI20" s="31" t="s">
        <v>66</v>
      </c>
      <c r="AJ20" s="32" t="s">
        <v>6938</v>
      </c>
      <c r="AK20" s="33" t="s">
        <v>67</v>
      </c>
      <c r="AL20" s="34">
        <v>45553</v>
      </c>
      <c r="AM20" s="36" t="s">
        <v>66</v>
      </c>
      <c r="AN20" s="36"/>
      <c r="AO20" s="36"/>
      <c r="AP20" s="36"/>
      <c r="AQ20" s="37">
        <f t="shared" si="3"/>
        <v>0</v>
      </c>
      <c r="AR20" s="38">
        <f t="shared" si="4"/>
        <v>0</v>
      </c>
      <c r="AS20" s="39">
        <f t="shared" si="5"/>
        <v>0</v>
      </c>
      <c r="AT20" s="91"/>
      <c r="AU20" s="92" t="s">
        <v>1356</v>
      </c>
      <c r="AV20" s="93"/>
      <c r="AW20" s="94"/>
      <c r="AX20" s="93"/>
      <c r="AY20" s="95"/>
      <c r="AZ20" s="91"/>
      <c r="BA20" s="92" t="s">
        <v>1356</v>
      </c>
      <c r="BB20" s="93"/>
      <c r="BC20" s="95"/>
      <c r="BD20" s="93"/>
      <c r="BE20" s="95"/>
      <c r="BF20" s="91"/>
      <c r="BG20" s="92" t="s">
        <v>1356</v>
      </c>
      <c r="BH20" s="93"/>
      <c r="BI20" s="95"/>
      <c r="BJ20" s="93"/>
      <c r="BK20" s="95"/>
      <c r="BL20" s="91"/>
      <c r="BM20" s="92" t="s">
        <v>1356</v>
      </c>
      <c r="BN20" s="93"/>
      <c r="BO20" s="95"/>
      <c r="BP20" s="93"/>
      <c r="BQ20" s="95"/>
      <c r="BR20" s="91"/>
      <c r="BS20" s="92" t="s">
        <v>1356</v>
      </c>
      <c r="BT20" s="93"/>
      <c r="BU20" s="95"/>
      <c r="BV20" s="93"/>
      <c r="BW20" s="95"/>
      <c r="BX20" s="113"/>
      <c r="BY20" s="114" t="s">
        <v>1356</v>
      </c>
      <c r="BZ20" s="115"/>
      <c r="CA20" s="116"/>
      <c r="CB20" s="115"/>
      <c r="CC20" s="116"/>
      <c r="CD20" s="113"/>
      <c r="CE20" s="114" t="s">
        <v>1356</v>
      </c>
      <c r="CF20" s="115"/>
      <c r="CG20" s="116"/>
      <c r="CH20" s="115"/>
      <c r="CI20" s="116"/>
      <c r="CJ20" s="113"/>
      <c r="CK20" s="114" t="s">
        <v>1356</v>
      </c>
      <c r="CL20" s="115"/>
      <c r="CM20" s="116"/>
      <c r="CN20" s="115"/>
      <c r="CO20" s="116"/>
      <c r="CP20" s="113"/>
      <c r="CQ20" s="114" t="s">
        <v>1356</v>
      </c>
      <c r="CR20" s="115"/>
      <c r="CS20" s="116"/>
      <c r="CT20" s="115"/>
      <c r="CU20" s="116"/>
      <c r="CV20" s="113"/>
      <c r="CW20" s="114" t="s">
        <v>1356</v>
      </c>
      <c r="CX20" s="115"/>
      <c r="CY20" s="116"/>
      <c r="CZ20" s="115"/>
      <c r="DA20" s="116"/>
      <c r="DB20" s="128" t="s">
        <v>7085</v>
      </c>
      <c r="DC20" s="128" t="s">
        <v>105</v>
      </c>
    </row>
    <row r="21" spans="1:107" s="40" customFormat="1" ht="14.55" customHeight="1" x14ac:dyDescent="0.3">
      <c r="A21" s="25" t="s">
        <v>3500</v>
      </c>
      <c r="B21" s="25" t="s">
        <v>3535</v>
      </c>
      <c r="C21" s="25" t="s">
        <v>3536</v>
      </c>
      <c r="D21" s="25" t="s">
        <v>231</v>
      </c>
      <c r="E21" s="25" t="s">
        <v>232</v>
      </c>
      <c r="F21" s="25" t="s">
        <v>233</v>
      </c>
      <c r="G21" s="26" t="s">
        <v>72</v>
      </c>
      <c r="H21" s="27" t="s">
        <v>251</v>
      </c>
      <c r="I21" s="26">
        <v>1701</v>
      </c>
      <c r="J21" s="26">
        <v>170150</v>
      </c>
      <c r="K21" s="28">
        <v>4</v>
      </c>
      <c r="L21" s="25" t="s">
        <v>234</v>
      </c>
      <c r="M21" s="25" t="s">
        <v>235</v>
      </c>
      <c r="N21" s="25" t="s">
        <v>236</v>
      </c>
      <c r="O21" s="25"/>
      <c r="P21" s="25"/>
      <c r="Q21" s="25"/>
      <c r="R21" s="25"/>
      <c r="S21" s="25"/>
      <c r="T21" s="25"/>
      <c r="U21" s="25" t="s">
        <v>237</v>
      </c>
      <c r="V21" s="25"/>
      <c r="W21" s="25" t="s">
        <v>238</v>
      </c>
      <c r="X21" s="25" t="s">
        <v>239</v>
      </c>
      <c r="Y21" s="25" t="s">
        <v>240</v>
      </c>
      <c r="Z21" s="25"/>
      <c r="AA21" s="25"/>
      <c r="AB21" s="25"/>
      <c r="AC21" s="25"/>
      <c r="AD21" s="25"/>
      <c r="AE21" s="28">
        <v>2</v>
      </c>
      <c r="AF21" s="28" t="s">
        <v>64</v>
      </c>
      <c r="AG21" s="29" t="s">
        <v>65</v>
      </c>
      <c r="AH21" s="30"/>
      <c r="AI21" s="31" t="s">
        <v>66</v>
      </c>
      <c r="AJ21" s="32" t="s">
        <v>6938</v>
      </c>
      <c r="AK21" s="33" t="s">
        <v>67</v>
      </c>
      <c r="AL21" s="34">
        <v>45561</v>
      </c>
      <c r="AM21" s="36" t="s">
        <v>66</v>
      </c>
      <c r="AN21" s="36"/>
      <c r="AO21" s="36"/>
      <c r="AP21" s="36"/>
      <c r="AQ21" s="37">
        <f t="shared" si="3"/>
        <v>0</v>
      </c>
      <c r="AR21" s="38">
        <f t="shared" si="4"/>
        <v>0</v>
      </c>
      <c r="AS21" s="39">
        <f t="shared" si="5"/>
        <v>0</v>
      </c>
      <c r="AT21" s="91"/>
      <c r="AU21" s="92" t="s">
        <v>1356</v>
      </c>
      <c r="AV21" s="93"/>
      <c r="AW21" s="94"/>
      <c r="AX21" s="93"/>
      <c r="AY21" s="95"/>
      <c r="AZ21" s="91"/>
      <c r="BA21" s="92" t="s">
        <v>1356</v>
      </c>
      <c r="BB21" s="93"/>
      <c r="BC21" s="95"/>
      <c r="BD21" s="93"/>
      <c r="BE21" s="95"/>
      <c r="BF21" s="91"/>
      <c r="BG21" s="92" t="s">
        <v>1356</v>
      </c>
      <c r="BH21" s="93"/>
      <c r="BI21" s="95"/>
      <c r="BJ21" s="93"/>
      <c r="BK21" s="95"/>
      <c r="BL21" s="91"/>
      <c r="BM21" s="92" t="s">
        <v>1356</v>
      </c>
      <c r="BN21" s="93"/>
      <c r="BO21" s="95"/>
      <c r="BP21" s="93"/>
      <c r="BQ21" s="95"/>
      <c r="BR21" s="91"/>
      <c r="BS21" s="92" t="s">
        <v>1356</v>
      </c>
      <c r="BT21" s="93"/>
      <c r="BU21" s="95"/>
      <c r="BV21" s="93"/>
      <c r="BW21" s="95"/>
      <c r="BX21" s="113"/>
      <c r="BY21" s="114"/>
      <c r="BZ21" s="115"/>
      <c r="CA21" s="116"/>
      <c r="CB21" s="115"/>
      <c r="CC21" s="116"/>
      <c r="CD21" s="113"/>
      <c r="CE21" s="114"/>
      <c r="CF21" s="115"/>
      <c r="CG21" s="116"/>
      <c r="CH21" s="115"/>
      <c r="CI21" s="116"/>
      <c r="CJ21" s="113"/>
      <c r="CK21" s="114" t="s">
        <v>1356</v>
      </c>
      <c r="CL21" s="115"/>
      <c r="CM21" s="116"/>
      <c r="CN21" s="115"/>
      <c r="CO21" s="116"/>
      <c r="CP21" s="113"/>
      <c r="CQ21" s="114" t="s">
        <v>1356</v>
      </c>
      <c r="CR21" s="115"/>
      <c r="CS21" s="116"/>
      <c r="CT21" s="115"/>
      <c r="CU21" s="116"/>
      <c r="CV21" s="113"/>
      <c r="CW21" s="114" t="s">
        <v>1356</v>
      </c>
      <c r="CX21" s="115"/>
      <c r="CY21" s="116"/>
      <c r="CZ21" s="115"/>
      <c r="DA21" s="116"/>
      <c r="DB21" s="128" t="s">
        <v>7085</v>
      </c>
      <c r="DC21" s="128" t="s">
        <v>105</v>
      </c>
    </row>
    <row r="22" spans="1:107" s="40" customFormat="1" ht="14.55" customHeight="1" x14ac:dyDescent="0.3">
      <c r="A22" s="25" t="s">
        <v>3500</v>
      </c>
      <c r="B22" s="25" t="s">
        <v>3537</v>
      </c>
      <c r="C22" s="41">
        <v>1792571944001</v>
      </c>
      <c r="D22" s="25" t="s">
        <v>241</v>
      </c>
      <c r="E22" s="25" t="s">
        <v>242</v>
      </c>
      <c r="F22" s="25" t="s">
        <v>243</v>
      </c>
      <c r="G22" s="26" t="s">
        <v>72</v>
      </c>
      <c r="H22" s="27" t="s">
        <v>251</v>
      </c>
      <c r="I22" s="26">
        <v>1701</v>
      </c>
      <c r="J22" s="26">
        <v>170150</v>
      </c>
      <c r="K22" s="28">
        <v>4</v>
      </c>
      <c r="L22" s="25" t="s">
        <v>244</v>
      </c>
      <c r="M22" s="25" t="s">
        <v>245</v>
      </c>
      <c r="N22" s="25" t="s">
        <v>246</v>
      </c>
      <c r="O22" s="25"/>
      <c r="P22" s="25"/>
      <c r="Q22" s="25" t="s">
        <v>247</v>
      </c>
      <c r="R22" s="25"/>
      <c r="S22" s="25"/>
      <c r="T22" s="25"/>
      <c r="U22" s="25"/>
      <c r="V22" s="25"/>
      <c r="W22" s="25" t="s">
        <v>248</v>
      </c>
      <c r="X22" s="25" t="s">
        <v>249</v>
      </c>
      <c r="Y22" s="25" t="s">
        <v>250</v>
      </c>
      <c r="Z22" s="25">
        <v>-78.481832999999995</v>
      </c>
      <c r="AA22" s="25">
        <v>-0.18273300000000001</v>
      </c>
      <c r="AB22" s="25">
        <v>170150156</v>
      </c>
      <c r="AC22" s="25">
        <v>170150156007</v>
      </c>
      <c r="AD22" s="25">
        <v>170150156007001</v>
      </c>
      <c r="AE22" s="28">
        <v>2</v>
      </c>
      <c r="AF22" s="28" t="s">
        <v>64</v>
      </c>
      <c r="AG22" s="29" t="s">
        <v>65</v>
      </c>
      <c r="AH22" s="30"/>
      <c r="AI22" s="31" t="s">
        <v>66</v>
      </c>
      <c r="AJ22" s="32" t="s">
        <v>6938</v>
      </c>
      <c r="AK22" s="33" t="s">
        <v>67</v>
      </c>
      <c r="AL22" s="34">
        <v>45562</v>
      </c>
      <c r="AM22" s="36" t="s">
        <v>66</v>
      </c>
      <c r="AN22" s="36"/>
      <c r="AO22" s="36"/>
      <c r="AP22" s="36"/>
      <c r="AQ22" s="37">
        <f t="shared" si="3"/>
        <v>0</v>
      </c>
      <c r="AR22" s="38">
        <f t="shared" si="4"/>
        <v>0</v>
      </c>
      <c r="AS22" s="39">
        <f t="shared" si="5"/>
        <v>0</v>
      </c>
      <c r="AT22" s="91"/>
      <c r="AU22" s="92" t="s">
        <v>1356</v>
      </c>
      <c r="AV22" s="93"/>
      <c r="AW22" s="94"/>
      <c r="AX22" s="93"/>
      <c r="AY22" s="95"/>
      <c r="AZ22" s="91"/>
      <c r="BA22" s="92" t="s">
        <v>1356</v>
      </c>
      <c r="BB22" s="93"/>
      <c r="BC22" s="95"/>
      <c r="BD22" s="93"/>
      <c r="BE22" s="95"/>
      <c r="BF22" s="91"/>
      <c r="BG22" s="92" t="s">
        <v>1356</v>
      </c>
      <c r="BH22" s="93"/>
      <c r="BI22" s="95"/>
      <c r="BJ22" s="93"/>
      <c r="BK22" s="95"/>
      <c r="BL22" s="91"/>
      <c r="BM22" s="92" t="s">
        <v>1356</v>
      </c>
      <c r="BN22" s="93"/>
      <c r="BO22" s="95"/>
      <c r="BP22" s="93"/>
      <c r="BQ22" s="95"/>
      <c r="BR22" s="91"/>
      <c r="BS22" s="92" t="s">
        <v>1356</v>
      </c>
      <c r="BT22" s="93"/>
      <c r="BU22" s="95"/>
      <c r="BV22" s="93"/>
      <c r="BW22" s="95"/>
      <c r="BX22" s="113"/>
      <c r="BY22" s="114"/>
      <c r="BZ22" s="115"/>
      <c r="CA22" s="116"/>
      <c r="CB22" s="115"/>
      <c r="CC22" s="116"/>
      <c r="CD22" s="113"/>
      <c r="CE22" s="114"/>
      <c r="CF22" s="115"/>
      <c r="CG22" s="116"/>
      <c r="CH22" s="115"/>
      <c r="CI22" s="116"/>
      <c r="CJ22" s="113"/>
      <c r="CK22" s="114" t="s">
        <v>1356</v>
      </c>
      <c r="CL22" s="115"/>
      <c r="CM22" s="116"/>
      <c r="CN22" s="115"/>
      <c r="CO22" s="116"/>
      <c r="CP22" s="113"/>
      <c r="CQ22" s="114" t="s">
        <v>1356</v>
      </c>
      <c r="CR22" s="115"/>
      <c r="CS22" s="116"/>
      <c r="CT22" s="115"/>
      <c r="CU22" s="116"/>
      <c r="CV22" s="113"/>
      <c r="CW22" s="114" t="s">
        <v>1356</v>
      </c>
      <c r="CX22" s="115"/>
      <c r="CY22" s="116"/>
      <c r="CZ22" s="115" t="s">
        <v>252</v>
      </c>
      <c r="DA22" s="116"/>
      <c r="DB22" s="128" t="s">
        <v>7085</v>
      </c>
      <c r="DC22" s="128" t="s">
        <v>253</v>
      </c>
    </row>
    <row r="23" spans="1:107" s="40" customFormat="1" ht="14.55" customHeight="1" x14ac:dyDescent="0.3">
      <c r="A23" s="25" t="s">
        <v>3500</v>
      </c>
      <c r="B23" s="25" t="s">
        <v>3538</v>
      </c>
      <c r="C23" s="60" t="s">
        <v>3539</v>
      </c>
      <c r="D23" s="25" t="s">
        <v>254</v>
      </c>
      <c r="E23" s="25" t="s">
        <v>255</v>
      </c>
      <c r="F23" s="25" t="s">
        <v>256</v>
      </c>
      <c r="G23" s="26" t="s">
        <v>72</v>
      </c>
      <c r="H23" s="27" t="s">
        <v>251</v>
      </c>
      <c r="I23" s="26">
        <v>1701</v>
      </c>
      <c r="J23" s="26">
        <v>170150</v>
      </c>
      <c r="K23" s="28">
        <v>4</v>
      </c>
      <c r="L23" s="25" t="s">
        <v>257</v>
      </c>
      <c r="M23" s="25" t="s">
        <v>258</v>
      </c>
      <c r="N23" s="25" t="s">
        <v>98</v>
      </c>
      <c r="O23" s="25"/>
      <c r="P23" s="25"/>
      <c r="Q23" s="25" t="s">
        <v>259</v>
      </c>
      <c r="R23" s="25" t="s">
        <v>260</v>
      </c>
      <c r="S23" s="25" t="s">
        <v>261</v>
      </c>
      <c r="T23" s="25"/>
      <c r="U23" s="25"/>
      <c r="V23" s="25"/>
      <c r="W23" s="25" t="s">
        <v>262</v>
      </c>
      <c r="X23" s="25" t="s">
        <v>263</v>
      </c>
      <c r="Y23" s="25"/>
      <c r="Z23" s="25"/>
      <c r="AA23" s="25"/>
      <c r="AB23" s="25"/>
      <c r="AC23" s="25"/>
      <c r="AD23" s="25"/>
      <c r="AE23" s="28">
        <v>2</v>
      </c>
      <c r="AF23" s="28" t="s">
        <v>64</v>
      </c>
      <c r="AG23" s="29" t="s">
        <v>65</v>
      </c>
      <c r="AH23" s="30"/>
      <c r="AI23" s="31" t="s">
        <v>66</v>
      </c>
      <c r="AJ23" s="32" t="s">
        <v>6938</v>
      </c>
      <c r="AK23" s="33" t="s">
        <v>67</v>
      </c>
      <c r="AL23" s="34">
        <v>45565</v>
      </c>
      <c r="AM23" s="36" t="s">
        <v>66</v>
      </c>
      <c r="AN23" s="36"/>
      <c r="AO23" s="36"/>
      <c r="AP23" s="36"/>
      <c r="AQ23" s="37">
        <f t="shared" si="3"/>
        <v>0</v>
      </c>
      <c r="AR23" s="38">
        <f t="shared" si="4"/>
        <v>0</v>
      </c>
      <c r="AS23" s="39">
        <f t="shared" si="5"/>
        <v>0</v>
      </c>
      <c r="AT23" s="91"/>
      <c r="AU23" s="92" t="s">
        <v>1356</v>
      </c>
      <c r="AV23" s="93"/>
      <c r="AW23" s="94"/>
      <c r="AX23" s="93"/>
      <c r="AY23" s="95"/>
      <c r="AZ23" s="91"/>
      <c r="BA23" s="92" t="s">
        <v>1356</v>
      </c>
      <c r="BB23" s="93"/>
      <c r="BC23" s="95"/>
      <c r="BD23" s="93"/>
      <c r="BE23" s="95"/>
      <c r="BF23" s="91"/>
      <c r="BG23" s="92" t="s">
        <v>1356</v>
      </c>
      <c r="BH23" s="93"/>
      <c r="BI23" s="95"/>
      <c r="BJ23" s="93"/>
      <c r="BK23" s="95"/>
      <c r="BL23" s="91"/>
      <c r="BM23" s="92" t="s">
        <v>1356</v>
      </c>
      <c r="BN23" s="93"/>
      <c r="BO23" s="95"/>
      <c r="BP23" s="93"/>
      <c r="BQ23" s="95"/>
      <c r="BR23" s="91"/>
      <c r="BS23" s="92" t="s">
        <v>1356</v>
      </c>
      <c r="BT23" s="93"/>
      <c r="BU23" s="95"/>
      <c r="BV23" s="93"/>
      <c r="BW23" s="95"/>
      <c r="BX23" s="113"/>
      <c r="BY23" s="114"/>
      <c r="BZ23" s="115"/>
      <c r="CA23" s="116"/>
      <c r="CB23" s="115"/>
      <c r="CC23" s="116"/>
      <c r="CD23" s="113"/>
      <c r="CE23" s="114"/>
      <c r="CF23" s="115"/>
      <c r="CG23" s="116"/>
      <c r="CH23" s="115"/>
      <c r="CI23" s="116"/>
      <c r="CJ23" s="113"/>
      <c r="CK23" s="114" t="s">
        <v>1356</v>
      </c>
      <c r="CL23" s="115"/>
      <c r="CM23" s="116"/>
      <c r="CN23" s="115"/>
      <c r="CO23" s="116"/>
      <c r="CP23" s="113"/>
      <c r="CQ23" s="114" t="s">
        <v>1356</v>
      </c>
      <c r="CR23" s="115"/>
      <c r="CS23" s="116"/>
      <c r="CT23" s="115"/>
      <c r="CU23" s="116"/>
      <c r="CV23" s="113"/>
      <c r="CW23" s="114" t="s">
        <v>1356</v>
      </c>
      <c r="CX23" s="115"/>
      <c r="CY23" s="116"/>
      <c r="CZ23" s="115"/>
      <c r="DA23" s="116"/>
      <c r="DB23" s="128" t="s">
        <v>7085</v>
      </c>
      <c r="DC23" s="128" t="s">
        <v>105</v>
      </c>
    </row>
    <row r="24" spans="1:107" s="40" customFormat="1" ht="14.55" customHeight="1" x14ac:dyDescent="0.3">
      <c r="A24" s="25" t="s">
        <v>3500</v>
      </c>
      <c r="B24" s="25" t="s">
        <v>3540</v>
      </c>
      <c r="C24" s="25" t="s">
        <v>3541</v>
      </c>
      <c r="D24" s="25" t="s">
        <v>264</v>
      </c>
      <c r="E24" s="25" t="s">
        <v>70</v>
      </c>
      <c r="F24" s="25" t="s">
        <v>265</v>
      </c>
      <c r="G24" s="26" t="s">
        <v>109</v>
      </c>
      <c r="H24" s="27" t="s">
        <v>2719</v>
      </c>
      <c r="I24" s="26">
        <v>1002</v>
      </c>
      <c r="J24" s="26">
        <v>100250</v>
      </c>
      <c r="K24" s="28">
        <v>4</v>
      </c>
      <c r="L24" s="25" t="s">
        <v>266</v>
      </c>
      <c r="M24" s="25" t="s">
        <v>267</v>
      </c>
      <c r="N24" s="25" t="s">
        <v>268</v>
      </c>
      <c r="O24" s="25"/>
      <c r="P24" s="25"/>
      <c r="Q24" s="25" t="s">
        <v>264</v>
      </c>
      <c r="R24" s="25" t="s">
        <v>113</v>
      </c>
      <c r="S24" s="25"/>
      <c r="T24" s="25"/>
      <c r="U24" s="25" t="s">
        <v>269</v>
      </c>
      <c r="V24" s="25" t="s">
        <v>224</v>
      </c>
      <c r="W24" s="25" t="s">
        <v>270</v>
      </c>
      <c r="X24" s="25" t="s">
        <v>271</v>
      </c>
      <c r="Y24" s="25" t="s">
        <v>272</v>
      </c>
      <c r="Z24" s="25">
        <v>-78.204346239585902</v>
      </c>
      <c r="AA24" s="25">
        <v>0.33698006903177319</v>
      </c>
      <c r="AB24" s="25">
        <v>100250003</v>
      </c>
      <c r="AC24" s="25">
        <v>100250003004</v>
      </c>
      <c r="AD24" s="25">
        <v>100250003004004</v>
      </c>
      <c r="AE24" s="28">
        <v>2</v>
      </c>
      <c r="AF24" s="28" t="s">
        <v>64</v>
      </c>
      <c r="AG24" s="29" t="s">
        <v>65</v>
      </c>
      <c r="AH24" s="30"/>
      <c r="AI24" s="31" t="s">
        <v>66</v>
      </c>
      <c r="AJ24" s="32" t="s">
        <v>6938</v>
      </c>
      <c r="AK24" s="33" t="s">
        <v>67</v>
      </c>
      <c r="AL24" s="34">
        <v>45580</v>
      </c>
      <c r="AM24" s="35" t="s">
        <v>66</v>
      </c>
      <c r="AN24" s="36"/>
      <c r="AO24" s="36"/>
      <c r="AP24" s="36"/>
      <c r="AQ24" s="37">
        <f t="shared" si="3"/>
        <v>0</v>
      </c>
      <c r="AR24" s="38">
        <f t="shared" si="4"/>
        <v>0</v>
      </c>
      <c r="AS24" s="39">
        <f t="shared" si="5"/>
        <v>0</v>
      </c>
      <c r="AT24" s="91"/>
      <c r="AU24" s="92" t="s">
        <v>1356</v>
      </c>
      <c r="AV24" s="93"/>
      <c r="AW24" s="94"/>
      <c r="AX24" s="93"/>
      <c r="AY24" s="95"/>
      <c r="AZ24" s="91"/>
      <c r="BA24" s="92" t="s">
        <v>1356</v>
      </c>
      <c r="BB24" s="93"/>
      <c r="BC24" s="95"/>
      <c r="BD24" s="93"/>
      <c r="BE24" s="95"/>
      <c r="BF24" s="91"/>
      <c r="BG24" s="92" t="s">
        <v>1356</v>
      </c>
      <c r="BH24" s="93"/>
      <c r="BI24" s="95"/>
      <c r="BJ24" s="93"/>
      <c r="BK24" s="95"/>
      <c r="BL24" s="91"/>
      <c r="BM24" s="92" t="s">
        <v>1356</v>
      </c>
      <c r="BN24" s="93"/>
      <c r="BO24" s="95"/>
      <c r="BP24" s="93"/>
      <c r="BQ24" s="95"/>
      <c r="BR24" s="91"/>
      <c r="BS24" s="92" t="s">
        <v>1356</v>
      </c>
      <c r="BT24" s="93"/>
      <c r="BU24" s="95"/>
      <c r="BV24" s="93"/>
      <c r="BW24" s="95"/>
      <c r="BX24" s="113"/>
      <c r="BY24" s="114" t="s">
        <v>1356</v>
      </c>
      <c r="BZ24" s="115"/>
      <c r="CA24" s="116"/>
      <c r="CB24" s="115"/>
      <c r="CC24" s="116"/>
      <c r="CD24" s="113"/>
      <c r="CE24" s="114" t="s">
        <v>1356</v>
      </c>
      <c r="CF24" s="115"/>
      <c r="CG24" s="116"/>
      <c r="CH24" s="115"/>
      <c r="CI24" s="116"/>
      <c r="CJ24" s="113"/>
      <c r="CK24" s="114" t="s">
        <v>1356</v>
      </c>
      <c r="CL24" s="115"/>
      <c r="CM24" s="116"/>
      <c r="CN24" s="115"/>
      <c r="CO24" s="116"/>
      <c r="CP24" s="113"/>
      <c r="CQ24" s="114" t="s">
        <v>1356</v>
      </c>
      <c r="CR24" s="115"/>
      <c r="CS24" s="116"/>
      <c r="CT24" s="115"/>
      <c r="CU24" s="116"/>
      <c r="CV24" s="113"/>
      <c r="CW24" s="114" t="s">
        <v>1356</v>
      </c>
      <c r="CX24" s="115"/>
      <c r="CY24" s="116"/>
      <c r="CZ24" s="115"/>
      <c r="DA24" s="116"/>
      <c r="DB24" s="128" t="s">
        <v>7085</v>
      </c>
      <c r="DC24" s="128" t="s">
        <v>105</v>
      </c>
    </row>
    <row r="25" spans="1:107" s="40" customFormat="1" ht="14.55" customHeight="1" x14ac:dyDescent="0.3">
      <c r="A25" s="25" t="s">
        <v>3500</v>
      </c>
      <c r="B25" s="25" t="s">
        <v>3542</v>
      </c>
      <c r="C25" s="41">
        <v>1792224659001</v>
      </c>
      <c r="D25" s="25" t="s">
        <v>273</v>
      </c>
      <c r="E25" s="25"/>
      <c r="F25" s="25" t="s">
        <v>274</v>
      </c>
      <c r="G25" s="26" t="s">
        <v>72</v>
      </c>
      <c r="H25" s="27" t="s">
        <v>251</v>
      </c>
      <c r="I25" s="26">
        <v>1701</v>
      </c>
      <c r="J25" s="26">
        <v>170150</v>
      </c>
      <c r="K25" s="28">
        <v>4</v>
      </c>
      <c r="L25" s="25" t="s">
        <v>204</v>
      </c>
      <c r="M25" s="25" t="s">
        <v>275</v>
      </c>
      <c r="N25" s="25" t="s">
        <v>276</v>
      </c>
      <c r="O25" s="25"/>
      <c r="P25" s="25"/>
      <c r="Q25" s="25"/>
      <c r="R25" s="25"/>
      <c r="S25" s="25"/>
      <c r="T25" s="25"/>
      <c r="U25" s="25" t="s">
        <v>277</v>
      </c>
      <c r="V25" s="25"/>
      <c r="W25" s="25" t="s">
        <v>278</v>
      </c>
      <c r="X25" s="25" t="s">
        <v>279</v>
      </c>
      <c r="Y25" s="25" t="s">
        <v>280</v>
      </c>
      <c r="Z25" s="25">
        <v>-78.503690438000007</v>
      </c>
      <c r="AA25" s="25">
        <v>-0.20967345400000001</v>
      </c>
      <c r="AB25" s="25">
        <v>170150200</v>
      </c>
      <c r="AC25" s="25">
        <v>170150200005</v>
      </c>
      <c r="AD25" s="25">
        <v>170150200005001</v>
      </c>
      <c r="AE25" s="28">
        <v>2</v>
      </c>
      <c r="AF25" s="28" t="s">
        <v>64</v>
      </c>
      <c r="AG25" s="29" t="s">
        <v>65</v>
      </c>
      <c r="AH25" s="30"/>
      <c r="AI25" s="31" t="s">
        <v>66</v>
      </c>
      <c r="AJ25" s="32" t="s">
        <v>6938</v>
      </c>
      <c r="AK25" s="33" t="s">
        <v>67</v>
      </c>
      <c r="AL25" s="34">
        <v>45573</v>
      </c>
      <c r="AM25" s="36" t="s">
        <v>66</v>
      </c>
      <c r="AN25" s="36"/>
      <c r="AO25" s="36"/>
      <c r="AP25" s="36"/>
      <c r="AQ25" s="37">
        <f t="shared" si="3"/>
        <v>0</v>
      </c>
      <c r="AR25" s="38">
        <f t="shared" si="4"/>
        <v>0</v>
      </c>
      <c r="AS25" s="39">
        <f t="shared" si="5"/>
        <v>0</v>
      </c>
      <c r="AT25" s="91"/>
      <c r="AU25" s="92" t="s">
        <v>1356</v>
      </c>
      <c r="AV25" s="93"/>
      <c r="AW25" s="94"/>
      <c r="AX25" s="93"/>
      <c r="AY25" s="95"/>
      <c r="AZ25" s="91"/>
      <c r="BA25" s="92" t="s">
        <v>1356</v>
      </c>
      <c r="BB25" s="93"/>
      <c r="BC25" s="95"/>
      <c r="BD25" s="93"/>
      <c r="BE25" s="95"/>
      <c r="BF25" s="91"/>
      <c r="BG25" s="92" t="s">
        <v>1356</v>
      </c>
      <c r="BH25" s="93"/>
      <c r="BI25" s="95"/>
      <c r="BJ25" s="93"/>
      <c r="BK25" s="95"/>
      <c r="BL25" s="91"/>
      <c r="BM25" s="92" t="s">
        <v>1356</v>
      </c>
      <c r="BN25" s="93"/>
      <c r="BO25" s="95"/>
      <c r="BP25" s="93"/>
      <c r="BQ25" s="95"/>
      <c r="BR25" s="91"/>
      <c r="BS25" s="92" t="s">
        <v>1356</v>
      </c>
      <c r="BT25" s="93"/>
      <c r="BU25" s="95"/>
      <c r="BV25" s="93"/>
      <c r="BW25" s="95"/>
      <c r="BX25" s="113"/>
      <c r="BY25" s="114"/>
      <c r="BZ25" s="115"/>
      <c r="CA25" s="116"/>
      <c r="CB25" s="115"/>
      <c r="CC25" s="116"/>
      <c r="CD25" s="113"/>
      <c r="CE25" s="114"/>
      <c r="CF25" s="115"/>
      <c r="CG25" s="116"/>
      <c r="CH25" s="115"/>
      <c r="CI25" s="116"/>
      <c r="CJ25" s="113"/>
      <c r="CK25" s="114" t="s">
        <v>1356</v>
      </c>
      <c r="CL25" s="115"/>
      <c r="CM25" s="116"/>
      <c r="CN25" s="115"/>
      <c r="CO25" s="116"/>
      <c r="CP25" s="113"/>
      <c r="CQ25" s="114" t="s">
        <v>1356</v>
      </c>
      <c r="CR25" s="115"/>
      <c r="CS25" s="116"/>
      <c r="CT25" s="115"/>
      <c r="CU25" s="116"/>
      <c r="CV25" s="113"/>
      <c r="CW25" s="114" t="s">
        <v>1356</v>
      </c>
      <c r="CX25" s="115"/>
      <c r="CY25" s="116"/>
      <c r="CZ25" s="115"/>
      <c r="DA25" s="116"/>
      <c r="DB25" s="128" t="s">
        <v>7085</v>
      </c>
      <c r="DC25" s="131" t="s">
        <v>6751</v>
      </c>
    </row>
    <row r="26" spans="1:107" s="40" customFormat="1" ht="14.55" customHeight="1" x14ac:dyDescent="0.3">
      <c r="A26" s="25" t="s">
        <v>3500</v>
      </c>
      <c r="B26" s="25" t="s">
        <v>3543</v>
      </c>
      <c r="C26" s="60" t="s">
        <v>3544</v>
      </c>
      <c r="D26" s="25" t="s">
        <v>281</v>
      </c>
      <c r="E26" s="25" t="s">
        <v>281</v>
      </c>
      <c r="F26" s="25" t="s">
        <v>282</v>
      </c>
      <c r="G26" s="26" t="s">
        <v>72</v>
      </c>
      <c r="H26" s="27" t="s">
        <v>251</v>
      </c>
      <c r="I26" s="26">
        <v>1701</v>
      </c>
      <c r="J26" s="26">
        <v>170150</v>
      </c>
      <c r="K26" s="28">
        <v>4</v>
      </c>
      <c r="L26" s="25" t="s">
        <v>283</v>
      </c>
      <c r="M26" s="25" t="s">
        <v>284</v>
      </c>
      <c r="N26" s="25" t="s">
        <v>285</v>
      </c>
      <c r="O26" s="25"/>
      <c r="P26" s="25"/>
      <c r="Q26" s="25"/>
      <c r="R26" s="25"/>
      <c r="S26" s="25"/>
      <c r="T26" s="25"/>
      <c r="U26" s="25"/>
      <c r="V26" s="25"/>
      <c r="W26" s="25" t="s">
        <v>286</v>
      </c>
      <c r="X26" s="25" t="s">
        <v>287</v>
      </c>
      <c r="Y26" s="25" t="s">
        <v>288</v>
      </c>
      <c r="Z26" s="25"/>
      <c r="AA26" s="25"/>
      <c r="AB26" s="25"/>
      <c r="AC26" s="25"/>
      <c r="AD26" s="25"/>
      <c r="AE26" s="28">
        <v>2</v>
      </c>
      <c r="AF26" s="28" t="s">
        <v>64</v>
      </c>
      <c r="AG26" s="29" t="s">
        <v>65</v>
      </c>
      <c r="AH26" s="30"/>
      <c r="AI26" s="31" t="s">
        <v>65</v>
      </c>
      <c r="AJ26" s="32" t="s">
        <v>6938</v>
      </c>
      <c r="AK26" s="33" t="s">
        <v>92</v>
      </c>
      <c r="AL26" s="34">
        <v>45581</v>
      </c>
      <c r="AM26" s="36"/>
      <c r="AN26" s="36"/>
      <c r="AO26" s="36"/>
      <c r="AP26" s="36"/>
      <c r="AQ26" s="37">
        <f t="shared" si="3"/>
        <v>0</v>
      </c>
      <c r="AR26" s="38">
        <f t="shared" si="4"/>
        <v>0</v>
      </c>
      <c r="AS26" s="39">
        <f t="shared" si="5"/>
        <v>0</v>
      </c>
      <c r="AT26" s="91"/>
      <c r="AU26" s="92" t="s">
        <v>1356</v>
      </c>
      <c r="AV26" s="93"/>
      <c r="AW26" s="94"/>
      <c r="AX26" s="93"/>
      <c r="AY26" s="95"/>
      <c r="AZ26" s="91"/>
      <c r="BA26" s="92" t="s">
        <v>1356</v>
      </c>
      <c r="BB26" s="93"/>
      <c r="BC26" s="95"/>
      <c r="BD26" s="93"/>
      <c r="BE26" s="95"/>
      <c r="BF26" s="91"/>
      <c r="BG26" s="92" t="s">
        <v>1356</v>
      </c>
      <c r="BH26" s="93"/>
      <c r="BI26" s="95"/>
      <c r="BJ26" s="93"/>
      <c r="BK26" s="95"/>
      <c r="BL26" s="91"/>
      <c r="BM26" s="92" t="s">
        <v>1356</v>
      </c>
      <c r="BN26" s="93"/>
      <c r="BO26" s="95"/>
      <c r="BP26" s="93"/>
      <c r="BQ26" s="95"/>
      <c r="BR26" s="91"/>
      <c r="BS26" s="92" t="s">
        <v>1356</v>
      </c>
      <c r="BT26" s="93"/>
      <c r="BU26" s="95"/>
      <c r="BV26" s="93"/>
      <c r="BW26" s="95"/>
      <c r="BX26" s="113"/>
      <c r="BY26" s="114"/>
      <c r="BZ26" s="115"/>
      <c r="CA26" s="116"/>
      <c r="CB26" s="115"/>
      <c r="CC26" s="116"/>
      <c r="CD26" s="113"/>
      <c r="CE26" s="114"/>
      <c r="CF26" s="115"/>
      <c r="CG26" s="116"/>
      <c r="CH26" s="115"/>
      <c r="CI26" s="116"/>
      <c r="CJ26" s="113"/>
      <c r="CK26" s="114" t="s">
        <v>1356</v>
      </c>
      <c r="CL26" s="115"/>
      <c r="CM26" s="116"/>
      <c r="CN26" s="115"/>
      <c r="CO26" s="116"/>
      <c r="CP26" s="113"/>
      <c r="CQ26" s="114" t="s">
        <v>1356</v>
      </c>
      <c r="CR26" s="115"/>
      <c r="CS26" s="116"/>
      <c r="CT26" s="115"/>
      <c r="CU26" s="116"/>
      <c r="CV26" s="113"/>
      <c r="CW26" s="114" t="s">
        <v>1356</v>
      </c>
      <c r="CX26" s="115"/>
      <c r="CY26" s="116"/>
      <c r="CZ26" s="115"/>
      <c r="DA26" s="116"/>
      <c r="DB26" s="128" t="s">
        <v>7085</v>
      </c>
      <c r="DC26" s="128" t="s">
        <v>92</v>
      </c>
    </row>
    <row r="27" spans="1:107" s="40" customFormat="1" ht="14.55" customHeight="1" x14ac:dyDescent="0.3">
      <c r="A27" s="42" t="s">
        <v>3456</v>
      </c>
      <c r="B27" s="42" t="s">
        <v>4089</v>
      </c>
      <c r="C27" s="42" t="s">
        <v>2777</v>
      </c>
      <c r="D27" s="42" t="s">
        <v>2778</v>
      </c>
      <c r="E27" s="42" t="s">
        <v>2779</v>
      </c>
      <c r="F27" s="42" t="s">
        <v>596</v>
      </c>
      <c r="G27" s="42" t="s">
        <v>1059</v>
      </c>
      <c r="H27" s="43" t="s">
        <v>6924</v>
      </c>
      <c r="I27" s="44">
        <v>1801</v>
      </c>
      <c r="J27" s="44">
        <v>180150</v>
      </c>
      <c r="K27" s="45">
        <v>3</v>
      </c>
      <c r="L27" s="42" t="s">
        <v>2719</v>
      </c>
      <c r="M27" s="42"/>
      <c r="N27" s="42" t="s">
        <v>2780</v>
      </c>
      <c r="O27" s="42"/>
      <c r="P27" s="42"/>
      <c r="Q27" s="42"/>
      <c r="R27" s="42"/>
      <c r="S27" s="42"/>
      <c r="T27" s="42"/>
      <c r="U27" s="42" t="s">
        <v>2781</v>
      </c>
      <c r="V27" s="42"/>
      <c r="W27" s="42" t="s">
        <v>2782</v>
      </c>
      <c r="X27" s="42" t="s">
        <v>2783</v>
      </c>
      <c r="Y27" s="42" t="s">
        <v>2784</v>
      </c>
      <c r="Z27" s="42">
        <v>-78.617819999999995</v>
      </c>
      <c r="AA27" s="42">
        <v>-1.2548589999999999</v>
      </c>
      <c r="AB27" s="42">
        <v>180150044</v>
      </c>
      <c r="AC27" s="42">
        <v>180150044002</v>
      </c>
      <c r="AD27" s="42">
        <v>180150044002002</v>
      </c>
      <c r="AE27" s="45">
        <v>4</v>
      </c>
      <c r="AF27" s="45" t="s">
        <v>499</v>
      </c>
      <c r="AG27" s="46" t="s">
        <v>66</v>
      </c>
      <c r="AH27" s="47" t="s">
        <v>2785</v>
      </c>
      <c r="AI27" s="48" t="s">
        <v>66</v>
      </c>
      <c r="AJ27" s="49" t="s">
        <v>6938</v>
      </c>
      <c r="AK27" s="50" t="s">
        <v>67</v>
      </c>
      <c r="AL27" s="51">
        <v>45124</v>
      </c>
      <c r="AM27" s="52" t="s">
        <v>66</v>
      </c>
      <c r="AN27" s="42"/>
      <c r="AO27" s="42"/>
      <c r="AP27" s="42"/>
      <c r="AQ27" s="53">
        <f t="shared" si="3"/>
        <v>1</v>
      </c>
      <c r="AR27" s="54">
        <f t="shared" si="4"/>
        <v>0</v>
      </c>
      <c r="AS27" s="55">
        <f t="shared" si="5"/>
        <v>1</v>
      </c>
      <c r="AT27" s="96" t="s">
        <v>2786</v>
      </c>
      <c r="AU27" s="96" t="s">
        <v>2787</v>
      </c>
      <c r="AV27" s="96">
        <v>26.79</v>
      </c>
      <c r="AW27" s="97">
        <v>45587</v>
      </c>
      <c r="AX27" s="96"/>
      <c r="AY27" s="98"/>
      <c r="AZ27" s="96"/>
      <c r="BA27" s="96" t="s">
        <v>1356</v>
      </c>
      <c r="BB27" s="96"/>
      <c r="BC27" s="98"/>
      <c r="BD27" s="96"/>
      <c r="BE27" s="98"/>
      <c r="BF27" s="96"/>
      <c r="BG27" s="96" t="s">
        <v>1356</v>
      </c>
      <c r="BH27" s="96"/>
      <c r="BI27" s="98"/>
      <c r="BJ27" s="96"/>
      <c r="BK27" s="98"/>
      <c r="BL27" s="96"/>
      <c r="BM27" s="96" t="s">
        <v>1356</v>
      </c>
      <c r="BN27" s="96"/>
      <c r="BO27" s="98"/>
      <c r="BP27" s="96"/>
      <c r="BQ27" s="98"/>
      <c r="BR27" s="96"/>
      <c r="BS27" s="96" t="s">
        <v>1356</v>
      </c>
      <c r="BT27" s="96"/>
      <c r="BU27" s="98"/>
      <c r="BV27" s="96"/>
      <c r="BW27" s="98"/>
      <c r="BX27" s="117"/>
      <c r="BY27" s="117" t="s">
        <v>1356</v>
      </c>
      <c r="BZ27" s="117"/>
      <c r="CA27" s="118"/>
      <c r="CB27" s="117"/>
      <c r="CC27" s="118"/>
      <c r="CD27" s="117"/>
      <c r="CE27" s="117" t="s">
        <v>1356</v>
      </c>
      <c r="CF27" s="117"/>
      <c r="CG27" s="118"/>
      <c r="CH27" s="117"/>
      <c r="CI27" s="118"/>
      <c r="CJ27" s="117"/>
      <c r="CK27" s="117" t="s">
        <v>1356</v>
      </c>
      <c r="CL27" s="117"/>
      <c r="CM27" s="118"/>
      <c r="CN27" s="117"/>
      <c r="CO27" s="118"/>
      <c r="CP27" s="117"/>
      <c r="CQ27" s="117" t="s">
        <v>1356</v>
      </c>
      <c r="CR27" s="117"/>
      <c r="CS27" s="118"/>
      <c r="CT27" s="117"/>
      <c r="CU27" s="118"/>
      <c r="CV27" s="117"/>
      <c r="CW27" s="117" t="s">
        <v>1356</v>
      </c>
      <c r="CX27" s="117"/>
      <c r="CY27" s="118"/>
      <c r="CZ27" s="117"/>
      <c r="DA27" s="118"/>
      <c r="DB27" s="129" t="s">
        <v>6962</v>
      </c>
      <c r="DC27" s="130" t="s">
        <v>105</v>
      </c>
    </row>
    <row r="28" spans="1:107" s="40" customFormat="1" ht="14.55" customHeight="1" x14ac:dyDescent="0.3">
      <c r="A28" s="42" t="s">
        <v>3456</v>
      </c>
      <c r="B28" s="42" t="s">
        <v>4097</v>
      </c>
      <c r="C28" s="42" t="s">
        <v>2805</v>
      </c>
      <c r="D28" s="42" t="s">
        <v>2806</v>
      </c>
      <c r="E28" s="42" t="s">
        <v>2807</v>
      </c>
      <c r="F28" s="42" t="s">
        <v>596</v>
      </c>
      <c r="G28" s="42" t="s">
        <v>1059</v>
      </c>
      <c r="H28" s="43" t="s">
        <v>6924</v>
      </c>
      <c r="I28" s="44">
        <v>1801</v>
      </c>
      <c r="J28" s="44">
        <v>180150</v>
      </c>
      <c r="K28" s="45">
        <v>3</v>
      </c>
      <c r="L28" s="42" t="s">
        <v>2808</v>
      </c>
      <c r="M28" s="42"/>
      <c r="N28" s="42" t="s">
        <v>1586</v>
      </c>
      <c r="O28" s="42"/>
      <c r="P28" s="42"/>
      <c r="Q28" s="42"/>
      <c r="R28" s="42"/>
      <c r="S28" s="42"/>
      <c r="T28" s="42" t="s">
        <v>2809</v>
      </c>
      <c r="U28" s="42" t="s">
        <v>2491</v>
      </c>
      <c r="V28" s="42"/>
      <c r="W28" s="42" t="s">
        <v>2810</v>
      </c>
      <c r="X28" s="42" t="s">
        <v>2811</v>
      </c>
      <c r="Y28" s="42" t="s">
        <v>2812</v>
      </c>
      <c r="Z28" s="42"/>
      <c r="AA28" s="42"/>
      <c r="AB28" s="42">
        <v>180150034</v>
      </c>
      <c r="AC28" s="42">
        <v>180150034006</v>
      </c>
      <c r="AD28" s="42">
        <v>180150034006002</v>
      </c>
      <c r="AE28" s="45">
        <v>5</v>
      </c>
      <c r="AF28" s="45" t="s">
        <v>772</v>
      </c>
      <c r="AG28" s="46" t="s">
        <v>66</v>
      </c>
      <c r="AH28" s="47" t="s">
        <v>2813</v>
      </c>
      <c r="AI28" s="48" t="s">
        <v>66</v>
      </c>
      <c r="AJ28" s="49" t="s">
        <v>6938</v>
      </c>
      <c r="AK28" s="50" t="s">
        <v>67</v>
      </c>
      <c r="AL28" s="51">
        <v>45124</v>
      </c>
      <c r="AM28" s="52" t="s">
        <v>66</v>
      </c>
      <c r="AN28" s="42"/>
      <c r="AO28" s="42"/>
      <c r="AP28" s="42"/>
      <c r="AQ28" s="53">
        <f t="shared" si="3"/>
        <v>2</v>
      </c>
      <c r="AR28" s="54">
        <f t="shared" si="4"/>
        <v>0</v>
      </c>
      <c r="AS28" s="55">
        <f t="shared" si="5"/>
        <v>2</v>
      </c>
      <c r="AT28" s="96" t="s">
        <v>602</v>
      </c>
      <c r="AU28" s="96" t="s">
        <v>2814</v>
      </c>
      <c r="AV28" s="96">
        <v>48</v>
      </c>
      <c r="AW28" s="97">
        <v>45569</v>
      </c>
      <c r="AX28" s="96"/>
      <c r="AY28" s="98"/>
      <c r="AZ28" s="96" t="s">
        <v>616</v>
      </c>
      <c r="BA28" s="96" t="s">
        <v>2815</v>
      </c>
      <c r="BB28" s="96">
        <v>53</v>
      </c>
      <c r="BC28" s="98">
        <v>45569</v>
      </c>
      <c r="BD28" s="96"/>
      <c r="BE28" s="98"/>
      <c r="BF28" s="96"/>
      <c r="BG28" s="96" t="s">
        <v>1356</v>
      </c>
      <c r="BH28" s="96"/>
      <c r="BI28" s="98"/>
      <c r="BJ28" s="96"/>
      <c r="BK28" s="98"/>
      <c r="BL28" s="96"/>
      <c r="BM28" s="96" t="s">
        <v>1356</v>
      </c>
      <c r="BN28" s="96"/>
      <c r="BO28" s="98"/>
      <c r="BP28" s="96"/>
      <c r="BQ28" s="98"/>
      <c r="BR28" s="96"/>
      <c r="BS28" s="96" t="s">
        <v>1356</v>
      </c>
      <c r="BT28" s="96"/>
      <c r="BU28" s="98"/>
      <c r="BV28" s="96"/>
      <c r="BW28" s="98"/>
      <c r="BX28" s="117"/>
      <c r="BY28" s="117" t="s">
        <v>1356</v>
      </c>
      <c r="BZ28" s="117"/>
      <c r="CA28" s="118"/>
      <c r="CB28" s="117"/>
      <c r="CC28" s="118"/>
      <c r="CD28" s="117"/>
      <c r="CE28" s="117" t="s">
        <v>1356</v>
      </c>
      <c r="CF28" s="117"/>
      <c r="CG28" s="118"/>
      <c r="CH28" s="117"/>
      <c r="CI28" s="118"/>
      <c r="CJ28" s="117"/>
      <c r="CK28" s="117" t="s">
        <v>1356</v>
      </c>
      <c r="CL28" s="117"/>
      <c r="CM28" s="118"/>
      <c r="CN28" s="117"/>
      <c r="CO28" s="118"/>
      <c r="CP28" s="117"/>
      <c r="CQ28" s="117" t="s">
        <v>1356</v>
      </c>
      <c r="CR28" s="117"/>
      <c r="CS28" s="118"/>
      <c r="CT28" s="117"/>
      <c r="CU28" s="118"/>
      <c r="CV28" s="117"/>
      <c r="CW28" s="117" t="s">
        <v>1356</v>
      </c>
      <c r="CX28" s="117"/>
      <c r="CY28" s="118"/>
      <c r="CZ28" s="117"/>
      <c r="DA28" s="118"/>
      <c r="DB28" s="129" t="s">
        <v>6962</v>
      </c>
      <c r="DC28" s="130" t="s">
        <v>105</v>
      </c>
    </row>
    <row r="29" spans="1:107" s="40" customFormat="1" ht="14.55" customHeight="1" x14ac:dyDescent="0.3">
      <c r="A29" s="25" t="s">
        <v>3500</v>
      </c>
      <c r="B29" s="25" t="s">
        <v>3549</v>
      </c>
      <c r="C29" s="41">
        <v>1793065120001</v>
      </c>
      <c r="D29" s="25" t="s">
        <v>308</v>
      </c>
      <c r="E29" s="25" t="s">
        <v>70</v>
      </c>
      <c r="F29" s="25" t="s">
        <v>309</v>
      </c>
      <c r="G29" s="26" t="s">
        <v>72</v>
      </c>
      <c r="H29" s="27" t="s">
        <v>251</v>
      </c>
      <c r="I29" s="26">
        <v>1701</v>
      </c>
      <c r="J29" s="26">
        <v>170150</v>
      </c>
      <c r="K29" s="28">
        <v>4</v>
      </c>
      <c r="L29" s="25" t="s">
        <v>310</v>
      </c>
      <c r="M29" s="25" t="s">
        <v>311</v>
      </c>
      <c r="N29" s="25" t="s">
        <v>312</v>
      </c>
      <c r="O29" s="25"/>
      <c r="P29" s="25"/>
      <c r="Q29" s="25" t="s">
        <v>313</v>
      </c>
      <c r="R29" s="25" t="s">
        <v>314</v>
      </c>
      <c r="S29" s="25"/>
      <c r="T29" s="25"/>
      <c r="U29" s="25" t="s">
        <v>315</v>
      </c>
      <c r="V29" s="25"/>
      <c r="W29" s="25" t="s">
        <v>316</v>
      </c>
      <c r="X29" s="25" t="s">
        <v>317</v>
      </c>
      <c r="Y29" s="25"/>
      <c r="Z29" s="25"/>
      <c r="AA29" s="25"/>
      <c r="AB29" s="25"/>
      <c r="AC29" s="25"/>
      <c r="AD29" s="25"/>
      <c r="AE29" s="28">
        <v>2</v>
      </c>
      <c r="AF29" s="28" t="s">
        <v>64</v>
      </c>
      <c r="AG29" s="29" t="s">
        <v>65</v>
      </c>
      <c r="AH29" s="30"/>
      <c r="AI29" s="31" t="s">
        <v>66</v>
      </c>
      <c r="AJ29" s="32" t="s">
        <v>6938</v>
      </c>
      <c r="AK29" s="33" t="s">
        <v>67</v>
      </c>
      <c r="AL29" s="34">
        <v>45562</v>
      </c>
      <c r="AM29" s="36" t="s">
        <v>66</v>
      </c>
      <c r="AN29" s="36"/>
      <c r="AO29" s="36"/>
      <c r="AP29" s="36"/>
      <c r="AQ29" s="37">
        <f t="shared" si="3"/>
        <v>0</v>
      </c>
      <c r="AR29" s="38">
        <f t="shared" si="4"/>
        <v>0</v>
      </c>
      <c r="AS29" s="39">
        <f t="shared" si="5"/>
        <v>0</v>
      </c>
      <c r="AT29" s="91"/>
      <c r="AU29" s="92" t="s">
        <v>1356</v>
      </c>
      <c r="AV29" s="93"/>
      <c r="AW29" s="94"/>
      <c r="AX29" s="93"/>
      <c r="AY29" s="95"/>
      <c r="AZ29" s="91"/>
      <c r="BA29" s="92" t="s">
        <v>1356</v>
      </c>
      <c r="BB29" s="93"/>
      <c r="BC29" s="95"/>
      <c r="BD29" s="93"/>
      <c r="BE29" s="95"/>
      <c r="BF29" s="91"/>
      <c r="BG29" s="92" t="s">
        <v>1356</v>
      </c>
      <c r="BH29" s="93"/>
      <c r="BI29" s="95"/>
      <c r="BJ29" s="93"/>
      <c r="BK29" s="95"/>
      <c r="BL29" s="91"/>
      <c r="BM29" s="92" t="s">
        <v>1356</v>
      </c>
      <c r="BN29" s="93"/>
      <c r="BO29" s="95"/>
      <c r="BP29" s="93"/>
      <c r="BQ29" s="95"/>
      <c r="BR29" s="91"/>
      <c r="BS29" s="92" t="s">
        <v>1356</v>
      </c>
      <c r="BT29" s="93"/>
      <c r="BU29" s="95"/>
      <c r="BV29" s="93"/>
      <c r="BW29" s="95"/>
      <c r="BX29" s="113"/>
      <c r="BY29" s="114"/>
      <c r="BZ29" s="115"/>
      <c r="CA29" s="116"/>
      <c r="CB29" s="115"/>
      <c r="CC29" s="116"/>
      <c r="CD29" s="113"/>
      <c r="CE29" s="114"/>
      <c r="CF29" s="115"/>
      <c r="CG29" s="116"/>
      <c r="CH29" s="115"/>
      <c r="CI29" s="116"/>
      <c r="CJ29" s="113"/>
      <c r="CK29" s="114" t="s">
        <v>1356</v>
      </c>
      <c r="CL29" s="115"/>
      <c r="CM29" s="116"/>
      <c r="CN29" s="115"/>
      <c r="CO29" s="116"/>
      <c r="CP29" s="113"/>
      <c r="CQ29" s="114" t="s">
        <v>1356</v>
      </c>
      <c r="CR29" s="115"/>
      <c r="CS29" s="116"/>
      <c r="CT29" s="115"/>
      <c r="CU29" s="116"/>
      <c r="CV29" s="113"/>
      <c r="CW29" s="114" t="s">
        <v>1356</v>
      </c>
      <c r="CX29" s="115"/>
      <c r="CY29" s="116"/>
      <c r="CZ29" s="115"/>
      <c r="DA29" s="116"/>
      <c r="DB29" s="128" t="s">
        <v>7085</v>
      </c>
      <c r="DC29" s="128" t="s">
        <v>68</v>
      </c>
    </row>
    <row r="30" spans="1:107" s="40" customFormat="1" ht="14.55" customHeight="1" x14ac:dyDescent="0.3">
      <c r="A30" s="25" t="s">
        <v>3500</v>
      </c>
      <c r="B30" s="25" t="s">
        <v>3550</v>
      </c>
      <c r="C30" s="41">
        <v>1792747511001</v>
      </c>
      <c r="D30" s="25" t="s">
        <v>318</v>
      </c>
      <c r="E30" s="25" t="s">
        <v>70</v>
      </c>
      <c r="F30" s="25" t="s">
        <v>319</v>
      </c>
      <c r="G30" s="26" t="s">
        <v>72</v>
      </c>
      <c r="H30" s="27" t="s">
        <v>251</v>
      </c>
      <c r="I30" s="26">
        <v>1701</v>
      </c>
      <c r="J30" s="26">
        <v>170150</v>
      </c>
      <c r="K30" s="28">
        <v>4</v>
      </c>
      <c r="L30" s="25" t="s">
        <v>320</v>
      </c>
      <c r="M30" s="25" t="s">
        <v>321</v>
      </c>
      <c r="N30" s="25" t="s">
        <v>221</v>
      </c>
      <c r="O30" s="25"/>
      <c r="P30" s="25"/>
      <c r="Q30" s="25"/>
      <c r="R30" s="25"/>
      <c r="S30" s="25"/>
      <c r="T30" s="25"/>
      <c r="U30" s="25" t="s">
        <v>322</v>
      </c>
      <c r="V30" s="25"/>
      <c r="W30" s="25" t="s">
        <v>323</v>
      </c>
      <c r="X30" s="25" t="s">
        <v>324</v>
      </c>
      <c r="Y30" s="25" t="s">
        <v>325</v>
      </c>
      <c r="Z30" s="25"/>
      <c r="AA30" s="25"/>
      <c r="AB30" s="25"/>
      <c r="AC30" s="25"/>
      <c r="AD30" s="25"/>
      <c r="AE30" s="28">
        <v>2</v>
      </c>
      <c r="AF30" s="28" t="s">
        <v>64</v>
      </c>
      <c r="AG30" s="29" t="s">
        <v>65</v>
      </c>
      <c r="AH30" s="30"/>
      <c r="AI30" s="31" t="s">
        <v>66</v>
      </c>
      <c r="AJ30" s="32" t="s">
        <v>6938</v>
      </c>
      <c r="AK30" s="33" t="s">
        <v>67</v>
      </c>
      <c r="AL30" s="34">
        <v>45561</v>
      </c>
      <c r="AM30" s="36" t="s">
        <v>66</v>
      </c>
      <c r="AN30" s="36"/>
      <c r="AO30" s="36"/>
      <c r="AP30" s="36"/>
      <c r="AQ30" s="37">
        <f t="shared" si="3"/>
        <v>0</v>
      </c>
      <c r="AR30" s="38">
        <f t="shared" si="4"/>
        <v>0</v>
      </c>
      <c r="AS30" s="39">
        <f t="shared" si="5"/>
        <v>0</v>
      </c>
      <c r="AT30" s="91"/>
      <c r="AU30" s="92" t="s">
        <v>1356</v>
      </c>
      <c r="AV30" s="93"/>
      <c r="AW30" s="94"/>
      <c r="AX30" s="93"/>
      <c r="AY30" s="95"/>
      <c r="AZ30" s="91"/>
      <c r="BA30" s="92" t="s">
        <v>1356</v>
      </c>
      <c r="BB30" s="93"/>
      <c r="BC30" s="95"/>
      <c r="BD30" s="93"/>
      <c r="BE30" s="95"/>
      <c r="BF30" s="91"/>
      <c r="BG30" s="92" t="s">
        <v>1356</v>
      </c>
      <c r="BH30" s="93"/>
      <c r="BI30" s="95"/>
      <c r="BJ30" s="93"/>
      <c r="BK30" s="95"/>
      <c r="BL30" s="91"/>
      <c r="BM30" s="92" t="s">
        <v>1356</v>
      </c>
      <c r="BN30" s="93"/>
      <c r="BO30" s="95"/>
      <c r="BP30" s="93"/>
      <c r="BQ30" s="95"/>
      <c r="BR30" s="91"/>
      <c r="BS30" s="92" t="s">
        <v>1356</v>
      </c>
      <c r="BT30" s="93"/>
      <c r="BU30" s="95"/>
      <c r="BV30" s="93"/>
      <c r="BW30" s="95"/>
      <c r="BX30" s="113"/>
      <c r="BY30" s="114"/>
      <c r="BZ30" s="115"/>
      <c r="CA30" s="116"/>
      <c r="CB30" s="115"/>
      <c r="CC30" s="116"/>
      <c r="CD30" s="113"/>
      <c r="CE30" s="114"/>
      <c r="CF30" s="115"/>
      <c r="CG30" s="116"/>
      <c r="CH30" s="115"/>
      <c r="CI30" s="116"/>
      <c r="CJ30" s="113"/>
      <c r="CK30" s="114" t="s">
        <v>1356</v>
      </c>
      <c r="CL30" s="115"/>
      <c r="CM30" s="116"/>
      <c r="CN30" s="115"/>
      <c r="CO30" s="116"/>
      <c r="CP30" s="113"/>
      <c r="CQ30" s="114" t="s">
        <v>1356</v>
      </c>
      <c r="CR30" s="115"/>
      <c r="CS30" s="116"/>
      <c r="CT30" s="115"/>
      <c r="CU30" s="116"/>
      <c r="CV30" s="113"/>
      <c r="CW30" s="114" t="s">
        <v>1356</v>
      </c>
      <c r="CX30" s="115"/>
      <c r="CY30" s="116"/>
      <c r="CZ30" s="115"/>
      <c r="DA30" s="116"/>
      <c r="DB30" s="128" t="s">
        <v>7085</v>
      </c>
      <c r="DC30" s="131" t="s">
        <v>6751</v>
      </c>
    </row>
    <row r="31" spans="1:107" s="40" customFormat="1" ht="14.55" customHeight="1" x14ac:dyDescent="0.3">
      <c r="A31" s="25" t="s">
        <v>3500</v>
      </c>
      <c r="B31" s="25" t="s">
        <v>3551</v>
      </c>
      <c r="C31" s="25" t="s">
        <v>3552</v>
      </c>
      <c r="D31" s="25" t="s">
        <v>326</v>
      </c>
      <c r="E31" s="25" t="s">
        <v>70</v>
      </c>
      <c r="F31" s="25" t="s">
        <v>327</v>
      </c>
      <c r="G31" s="26" t="s">
        <v>228</v>
      </c>
      <c r="H31" s="27" t="s">
        <v>6923</v>
      </c>
      <c r="I31" s="26">
        <v>2101</v>
      </c>
      <c r="J31" s="26">
        <v>210150</v>
      </c>
      <c r="K31" s="28">
        <v>4</v>
      </c>
      <c r="L31" s="25" t="s">
        <v>328</v>
      </c>
      <c r="M31" s="25" t="s">
        <v>258</v>
      </c>
      <c r="N31" s="25" t="s">
        <v>329</v>
      </c>
      <c r="O31" s="25"/>
      <c r="P31" s="25"/>
      <c r="Q31" s="25"/>
      <c r="R31" s="25"/>
      <c r="S31" s="25"/>
      <c r="T31" s="25"/>
      <c r="U31" s="25" t="s">
        <v>330</v>
      </c>
      <c r="V31" s="25"/>
      <c r="W31" s="25" t="s">
        <v>331</v>
      </c>
      <c r="X31" s="25" t="s">
        <v>332</v>
      </c>
      <c r="Y31" s="25" t="s">
        <v>333</v>
      </c>
      <c r="Z31" s="25"/>
      <c r="AA31" s="25"/>
      <c r="AB31" s="25"/>
      <c r="AC31" s="25"/>
      <c r="AD31" s="25"/>
      <c r="AE31" s="28">
        <v>2</v>
      </c>
      <c r="AF31" s="28" t="s">
        <v>64</v>
      </c>
      <c r="AG31" s="29" t="s">
        <v>65</v>
      </c>
      <c r="AH31" s="30"/>
      <c r="AI31" s="31" t="s">
        <v>66</v>
      </c>
      <c r="AJ31" s="32" t="s">
        <v>6938</v>
      </c>
      <c r="AK31" s="33" t="s">
        <v>67</v>
      </c>
      <c r="AL31" s="34">
        <v>45553</v>
      </c>
      <c r="AM31" s="36" t="s">
        <v>66</v>
      </c>
      <c r="AN31" s="36"/>
      <c r="AO31" s="36"/>
      <c r="AP31" s="36"/>
      <c r="AQ31" s="37">
        <f t="shared" si="3"/>
        <v>0</v>
      </c>
      <c r="AR31" s="38">
        <f t="shared" si="4"/>
        <v>0</v>
      </c>
      <c r="AS31" s="39">
        <f t="shared" si="5"/>
        <v>0</v>
      </c>
      <c r="AT31" s="91"/>
      <c r="AU31" s="92" t="s">
        <v>1356</v>
      </c>
      <c r="AV31" s="93"/>
      <c r="AW31" s="94"/>
      <c r="AX31" s="93"/>
      <c r="AY31" s="95"/>
      <c r="AZ31" s="91"/>
      <c r="BA31" s="92" t="s">
        <v>1356</v>
      </c>
      <c r="BB31" s="93"/>
      <c r="BC31" s="95"/>
      <c r="BD31" s="93"/>
      <c r="BE31" s="95"/>
      <c r="BF31" s="91"/>
      <c r="BG31" s="92" t="s">
        <v>1356</v>
      </c>
      <c r="BH31" s="93"/>
      <c r="BI31" s="95"/>
      <c r="BJ31" s="93"/>
      <c r="BK31" s="95"/>
      <c r="BL31" s="91"/>
      <c r="BM31" s="92" t="s">
        <v>1356</v>
      </c>
      <c r="BN31" s="93"/>
      <c r="BO31" s="95"/>
      <c r="BP31" s="93"/>
      <c r="BQ31" s="95"/>
      <c r="BR31" s="91"/>
      <c r="BS31" s="92" t="s">
        <v>1356</v>
      </c>
      <c r="BT31" s="93"/>
      <c r="BU31" s="95"/>
      <c r="BV31" s="93"/>
      <c r="BW31" s="95"/>
      <c r="BX31" s="113"/>
      <c r="BY31" s="114" t="s">
        <v>1356</v>
      </c>
      <c r="BZ31" s="115"/>
      <c r="CA31" s="116"/>
      <c r="CB31" s="115"/>
      <c r="CC31" s="116"/>
      <c r="CD31" s="113"/>
      <c r="CE31" s="114" t="s">
        <v>1356</v>
      </c>
      <c r="CF31" s="115"/>
      <c r="CG31" s="116"/>
      <c r="CH31" s="115"/>
      <c r="CI31" s="116"/>
      <c r="CJ31" s="113"/>
      <c r="CK31" s="114" t="s">
        <v>1356</v>
      </c>
      <c r="CL31" s="115"/>
      <c r="CM31" s="116"/>
      <c r="CN31" s="115"/>
      <c r="CO31" s="116"/>
      <c r="CP31" s="113"/>
      <c r="CQ31" s="114" t="s">
        <v>1356</v>
      </c>
      <c r="CR31" s="115"/>
      <c r="CS31" s="116"/>
      <c r="CT31" s="115"/>
      <c r="CU31" s="116"/>
      <c r="CV31" s="113"/>
      <c r="CW31" s="114" t="s">
        <v>1356</v>
      </c>
      <c r="CX31" s="115"/>
      <c r="CY31" s="116"/>
      <c r="CZ31" s="115"/>
      <c r="DA31" s="116"/>
      <c r="DB31" s="128" t="s">
        <v>7085</v>
      </c>
      <c r="DC31" s="128" t="s">
        <v>253</v>
      </c>
    </row>
    <row r="32" spans="1:107" s="40" customFormat="1" ht="14.55" customHeight="1" x14ac:dyDescent="0.3">
      <c r="A32" s="25" t="s">
        <v>3500</v>
      </c>
      <c r="B32" s="25" t="s">
        <v>3553</v>
      </c>
      <c r="C32" s="60" t="s">
        <v>3554</v>
      </c>
      <c r="D32" s="25" t="s">
        <v>334</v>
      </c>
      <c r="E32" s="25" t="s">
        <v>70</v>
      </c>
      <c r="F32" s="25" t="s">
        <v>327</v>
      </c>
      <c r="G32" s="26" t="s">
        <v>72</v>
      </c>
      <c r="H32" s="27" t="s">
        <v>251</v>
      </c>
      <c r="I32" s="26">
        <v>1701</v>
      </c>
      <c r="J32" s="26">
        <v>170150</v>
      </c>
      <c r="K32" s="28">
        <v>4</v>
      </c>
      <c r="L32" s="25" t="s">
        <v>127</v>
      </c>
      <c r="M32" s="25" t="s">
        <v>335</v>
      </c>
      <c r="N32" s="25" t="s">
        <v>336</v>
      </c>
      <c r="O32" s="25"/>
      <c r="P32" s="25"/>
      <c r="Q32" s="25" t="s">
        <v>337</v>
      </c>
      <c r="R32" s="25" t="s">
        <v>338</v>
      </c>
      <c r="S32" s="25" t="s">
        <v>339</v>
      </c>
      <c r="T32" s="25"/>
      <c r="U32" s="25"/>
      <c r="V32" s="25"/>
      <c r="W32" s="25" t="s">
        <v>340</v>
      </c>
      <c r="X32" s="25" t="s">
        <v>341</v>
      </c>
      <c r="Y32" s="25" t="s">
        <v>342</v>
      </c>
      <c r="Z32" s="25"/>
      <c r="AA32" s="25"/>
      <c r="AB32" s="25"/>
      <c r="AC32" s="25"/>
      <c r="AD32" s="25"/>
      <c r="AE32" s="28">
        <v>2</v>
      </c>
      <c r="AF32" s="28" t="s">
        <v>64</v>
      </c>
      <c r="AG32" s="29" t="s">
        <v>65</v>
      </c>
      <c r="AH32" s="30"/>
      <c r="AI32" s="31" t="s">
        <v>66</v>
      </c>
      <c r="AJ32" s="32" t="s">
        <v>6938</v>
      </c>
      <c r="AK32" s="33" t="s">
        <v>67</v>
      </c>
      <c r="AL32" s="34">
        <v>45562</v>
      </c>
      <c r="AM32" s="36" t="s">
        <v>66</v>
      </c>
      <c r="AN32" s="36"/>
      <c r="AO32" s="36"/>
      <c r="AP32" s="36"/>
      <c r="AQ32" s="37">
        <f t="shared" si="3"/>
        <v>0</v>
      </c>
      <c r="AR32" s="38">
        <f t="shared" si="4"/>
        <v>0</v>
      </c>
      <c r="AS32" s="39">
        <f t="shared" si="5"/>
        <v>0</v>
      </c>
      <c r="AT32" s="91"/>
      <c r="AU32" s="92" t="s">
        <v>1356</v>
      </c>
      <c r="AV32" s="93"/>
      <c r="AW32" s="94"/>
      <c r="AX32" s="93"/>
      <c r="AY32" s="95"/>
      <c r="AZ32" s="91"/>
      <c r="BA32" s="92" t="s">
        <v>1356</v>
      </c>
      <c r="BB32" s="93"/>
      <c r="BC32" s="95"/>
      <c r="BD32" s="93"/>
      <c r="BE32" s="95"/>
      <c r="BF32" s="91"/>
      <c r="BG32" s="92" t="s">
        <v>1356</v>
      </c>
      <c r="BH32" s="93"/>
      <c r="BI32" s="95"/>
      <c r="BJ32" s="93"/>
      <c r="BK32" s="95"/>
      <c r="BL32" s="91"/>
      <c r="BM32" s="92" t="s">
        <v>1356</v>
      </c>
      <c r="BN32" s="93"/>
      <c r="BO32" s="95"/>
      <c r="BP32" s="93"/>
      <c r="BQ32" s="95"/>
      <c r="BR32" s="91"/>
      <c r="BS32" s="92" t="s">
        <v>1356</v>
      </c>
      <c r="BT32" s="93"/>
      <c r="BU32" s="95"/>
      <c r="BV32" s="93"/>
      <c r="BW32" s="95"/>
      <c r="BX32" s="113"/>
      <c r="BY32" s="114"/>
      <c r="BZ32" s="115"/>
      <c r="CA32" s="116"/>
      <c r="CB32" s="115"/>
      <c r="CC32" s="116"/>
      <c r="CD32" s="113"/>
      <c r="CE32" s="114"/>
      <c r="CF32" s="115"/>
      <c r="CG32" s="116"/>
      <c r="CH32" s="115"/>
      <c r="CI32" s="116"/>
      <c r="CJ32" s="113"/>
      <c r="CK32" s="114" t="s">
        <v>1356</v>
      </c>
      <c r="CL32" s="115"/>
      <c r="CM32" s="116"/>
      <c r="CN32" s="115"/>
      <c r="CO32" s="116"/>
      <c r="CP32" s="113"/>
      <c r="CQ32" s="114" t="s">
        <v>1356</v>
      </c>
      <c r="CR32" s="115"/>
      <c r="CS32" s="116"/>
      <c r="CT32" s="115"/>
      <c r="CU32" s="116"/>
      <c r="CV32" s="113"/>
      <c r="CW32" s="114" t="s">
        <v>1356</v>
      </c>
      <c r="CX32" s="115"/>
      <c r="CY32" s="116"/>
      <c r="CZ32" s="115"/>
      <c r="DA32" s="116"/>
      <c r="DB32" s="128" t="s">
        <v>7085</v>
      </c>
      <c r="DC32" s="131" t="s">
        <v>6751</v>
      </c>
    </row>
    <row r="33" spans="1:107" s="40" customFormat="1" ht="14.55" customHeight="1" x14ac:dyDescent="0.3">
      <c r="A33" s="25" t="s">
        <v>3500</v>
      </c>
      <c r="B33" s="25" t="s">
        <v>3555</v>
      </c>
      <c r="C33" s="41">
        <v>1791769392001</v>
      </c>
      <c r="D33" s="25" t="s">
        <v>343</v>
      </c>
      <c r="E33" s="25" t="s">
        <v>344</v>
      </c>
      <c r="F33" s="25" t="s">
        <v>345</v>
      </c>
      <c r="G33" s="26" t="s">
        <v>72</v>
      </c>
      <c r="H33" s="27" t="s">
        <v>251</v>
      </c>
      <c r="I33" s="26">
        <v>1701</v>
      </c>
      <c r="J33" s="26">
        <v>170150</v>
      </c>
      <c r="K33" s="28">
        <v>4</v>
      </c>
      <c r="L33" s="25" t="s">
        <v>221</v>
      </c>
      <c r="M33" s="25" t="s">
        <v>346</v>
      </c>
      <c r="N33" s="25" t="s">
        <v>234</v>
      </c>
      <c r="O33" s="25"/>
      <c r="P33" s="25"/>
      <c r="Q33" s="25"/>
      <c r="R33" s="25"/>
      <c r="S33" s="25"/>
      <c r="T33" s="25"/>
      <c r="U33" s="25"/>
      <c r="V33" s="25"/>
      <c r="W33" s="25" t="s">
        <v>347</v>
      </c>
      <c r="X33" s="25" t="s">
        <v>348</v>
      </c>
      <c r="Y33" s="25" t="s">
        <v>349</v>
      </c>
      <c r="Z33" s="25">
        <v>-78.474149999999995</v>
      </c>
      <c r="AA33" s="25">
        <v>-0.112342</v>
      </c>
      <c r="AB33" s="25">
        <v>170150117</v>
      </c>
      <c r="AC33" s="25">
        <v>170150117001</v>
      </c>
      <c r="AD33" s="25">
        <v>170150117001002</v>
      </c>
      <c r="AE33" s="28">
        <v>2</v>
      </c>
      <c r="AF33" s="28" t="s">
        <v>64</v>
      </c>
      <c r="AG33" s="29" t="s">
        <v>65</v>
      </c>
      <c r="AH33" s="30"/>
      <c r="AI33" s="31" t="s">
        <v>66</v>
      </c>
      <c r="AJ33" s="32" t="s">
        <v>6938</v>
      </c>
      <c r="AK33" s="33" t="s">
        <v>67</v>
      </c>
      <c r="AL33" s="34">
        <v>45576</v>
      </c>
      <c r="AM33" s="36" t="s">
        <v>66</v>
      </c>
      <c r="AN33" s="36"/>
      <c r="AO33" s="36"/>
      <c r="AP33" s="36"/>
      <c r="AQ33" s="37">
        <f t="shared" si="3"/>
        <v>0</v>
      </c>
      <c r="AR33" s="38">
        <f t="shared" si="4"/>
        <v>0</v>
      </c>
      <c r="AS33" s="39">
        <f t="shared" si="5"/>
        <v>0</v>
      </c>
      <c r="AT33" s="91"/>
      <c r="AU33" s="92" t="s">
        <v>1356</v>
      </c>
      <c r="AV33" s="93"/>
      <c r="AW33" s="94"/>
      <c r="AX33" s="93"/>
      <c r="AY33" s="95"/>
      <c r="AZ33" s="91"/>
      <c r="BA33" s="92" t="s">
        <v>1356</v>
      </c>
      <c r="BB33" s="93"/>
      <c r="BC33" s="95"/>
      <c r="BD33" s="93"/>
      <c r="BE33" s="95"/>
      <c r="BF33" s="91"/>
      <c r="BG33" s="92" t="s">
        <v>1356</v>
      </c>
      <c r="BH33" s="93"/>
      <c r="BI33" s="95"/>
      <c r="BJ33" s="93"/>
      <c r="BK33" s="95"/>
      <c r="BL33" s="91"/>
      <c r="BM33" s="92" t="s">
        <v>1356</v>
      </c>
      <c r="BN33" s="93"/>
      <c r="BO33" s="95"/>
      <c r="BP33" s="93"/>
      <c r="BQ33" s="95"/>
      <c r="BR33" s="91"/>
      <c r="BS33" s="92" t="s">
        <v>1356</v>
      </c>
      <c r="BT33" s="93"/>
      <c r="BU33" s="95"/>
      <c r="BV33" s="93"/>
      <c r="BW33" s="95"/>
      <c r="BX33" s="113"/>
      <c r="BY33" s="114" t="s">
        <v>1356</v>
      </c>
      <c r="BZ33" s="115"/>
      <c r="CA33" s="116"/>
      <c r="CB33" s="115"/>
      <c r="CC33" s="116"/>
      <c r="CD33" s="113"/>
      <c r="CE33" s="114" t="s">
        <v>1356</v>
      </c>
      <c r="CF33" s="115"/>
      <c r="CG33" s="116"/>
      <c r="CH33" s="115"/>
      <c r="CI33" s="116"/>
      <c r="CJ33" s="113"/>
      <c r="CK33" s="114" t="s">
        <v>1356</v>
      </c>
      <c r="CL33" s="115"/>
      <c r="CM33" s="116"/>
      <c r="CN33" s="115"/>
      <c r="CO33" s="116"/>
      <c r="CP33" s="113"/>
      <c r="CQ33" s="114" t="s">
        <v>1356</v>
      </c>
      <c r="CR33" s="115"/>
      <c r="CS33" s="116"/>
      <c r="CT33" s="115"/>
      <c r="CU33" s="116"/>
      <c r="CV33" s="113"/>
      <c r="CW33" s="114" t="s">
        <v>1356</v>
      </c>
      <c r="CX33" s="115"/>
      <c r="CY33" s="116"/>
      <c r="CZ33" s="115"/>
      <c r="DA33" s="116"/>
      <c r="DB33" s="128" t="s">
        <v>7085</v>
      </c>
      <c r="DC33" s="128" t="s">
        <v>105</v>
      </c>
    </row>
    <row r="34" spans="1:107" s="40" customFormat="1" ht="14.55" customHeight="1" x14ac:dyDescent="0.3">
      <c r="A34" s="25" t="s">
        <v>3500</v>
      </c>
      <c r="B34" s="25" t="s">
        <v>3556</v>
      </c>
      <c r="C34" s="41">
        <v>1791982290001</v>
      </c>
      <c r="D34" s="25" t="s">
        <v>350</v>
      </c>
      <c r="E34" s="25" t="s">
        <v>351</v>
      </c>
      <c r="F34" s="25" t="s">
        <v>352</v>
      </c>
      <c r="G34" s="26" t="s">
        <v>72</v>
      </c>
      <c r="H34" s="27" t="s">
        <v>251</v>
      </c>
      <c r="I34" s="26">
        <v>1701</v>
      </c>
      <c r="J34" s="26">
        <v>170150</v>
      </c>
      <c r="K34" s="28">
        <v>4</v>
      </c>
      <c r="L34" s="25" t="s">
        <v>353</v>
      </c>
      <c r="M34" s="25" t="s">
        <v>354</v>
      </c>
      <c r="N34" s="25" t="s">
        <v>355</v>
      </c>
      <c r="O34" s="25"/>
      <c r="P34" s="25"/>
      <c r="Q34" s="25"/>
      <c r="R34" s="25"/>
      <c r="S34" s="25"/>
      <c r="T34" s="25"/>
      <c r="U34" s="25"/>
      <c r="V34" s="25"/>
      <c r="W34" s="25" t="s">
        <v>356</v>
      </c>
      <c r="X34" s="25" t="s">
        <v>357</v>
      </c>
      <c r="Y34" s="25" t="s">
        <v>358</v>
      </c>
      <c r="Z34" s="25">
        <v>-78.483087057000006</v>
      </c>
      <c r="AA34" s="25"/>
      <c r="AB34" s="25">
        <v>170150179</v>
      </c>
      <c r="AC34" s="25">
        <v>170150179002</v>
      </c>
      <c r="AD34" s="25">
        <v>170150179002001</v>
      </c>
      <c r="AE34" s="28">
        <v>2</v>
      </c>
      <c r="AF34" s="28" t="s">
        <v>64</v>
      </c>
      <c r="AG34" s="29" t="s">
        <v>65</v>
      </c>
      <c r="AH34" s="30"/>
      <c r="AI34" s="31" t="s">
        <v>65</v>
      </c>
      <c r="AJ34" s="32" t="s">
        <v>6938</v>
      </c>
      <c r="AK34" s="33" t="s">
        <v>92</v>
      </c>
      <c r="AL34" s="34">
        <v>45582</v>
      </c>
      <c r="AM34" s="36"/>
      <c r="AN34" s="36"/>
      <c r="AO34" s="36"/>
      <c r="AP34" s="36"/>
      <c r="AQ34" s="37">
        <f t="shared" si="3"/>
        <v>0</v>
      </c>
      <c r="AR34" s="38">
        <f t="shared" si="4"/>
        <v>0</v>
      </c>
      <c r="AS34" s="39">
        <f t="shared" si="5"/>
        <v>0</v>
      </c>
      <c r="AT34" s="91"/>
      <c r="AU34" s="92" t="s">
        <v>1356</v>
      </c>
      <c r="AV34" s="93"/>
      <c r="AW34" s="94"/>
      <c r="AX34" s="93"/>
      <c r="AY34" s="95"/>
      <c r="AZ34" s="91"/>
      <c r="BA34" s="92" t="s">
        <v>1356</v>
      </c>
      <c r="BB34" s="93"/>
      <c r="BC34" s="95"/>
      <c r="BD34" s="93"/>
      <c r="BE34" s="95"/>
      <c r="BF34" s="91"/>
      <c r="BG34" s="92" t="s">
        <v>1356</v>
      </c>
      <c r="BH34" s="93"/>
      <c r="BI34" s="95"/>
      <c r="BJ34" s="93"/>
      <c r="BK34" s="95"/>
      <c r="BL34" s="91"/>
      <c r="BM34" s="92" t="s">
        <v>1356</v>
      </c>
      <c r="BN34" s="93"/>
      <c r="BO34" s="95"/>
      <c r="BP34" s="93"/>
      <c r="BQ34" s="95"/>
      <c r="BR34" s="91"/>
      <c r="BS34" s="92" t="s">
        <v>1356</v>
      </c>
      <c r="BT34" s="93"/>
      <c r="BU34" s="95"/>
      <c r="BV34" s="93"/>
      <c r="BW34" s="95"/>
      <c r="BX34" s="113"/>
      <c r="BY34" s="114" t="s">
        <v>1356</v>
      </c>
      <c r="BZ34" s="115"/>
      <c r="CA34" s="116"/>
      <c r="CB34" s="115"/>
      <c r="CC34" s="116"/>
      <c r="CD34" s="113"/>
      <c r="CE34" s="114" t="s">
        <v>1356</v>
      </c>
      <c r="CF34" s="115"/>
      <c r="CG34" s="116"/>
      <c r="CH34" s="115"/>
      <c r="CI34" s="116"/>
      <c r="CJ34" s="113"/>
      <c r="CK34" s="114" t="s">
        <v>1356</v>
      </c>
      <c r="CL34" s="115"/>
      <c r="CM34" s="116"/>
      <c r="CN34" s="115"/>
      <c r="CO34" s="116"/>
      <c r="CP34" s="113"/>
      <c r="CQ34" s="114" t="s">
        <v>1356</v>
      </c>
      <c r="CR34" s="115"/>
      <c r="CS34" s="116"/>
      <c r="CT34" s="115"/>
      <c r="CU34" s="116"/>
      <c r="CV34" s="113"/>
      <c r="CW34" s="114" t="s">
        <v>1356</v>
      </c>
      <c r="CX34" s="115"/>
      <c r="CY34" s="116"/>
      <c r="CZ34" s="115"/>
      <c r="DA34" s="116"/>
      <c r="DB34" s="128" t="s">
        <v>7085</v>
      </c>
      <c r="DC34" s="128" t="s">
        <v>92</v>
      </c>
    </row>
    <row r="35" spans="1:107" s="40" customFormat="1" ht="14.55" customHeight="1" x14ac:dyDescent="0.3">
      <c r="A35" s="25" t="s">
        <v>3500</v>
      </c>
      <c r="B35" s="25" t="s">
        <v>3557</v>
      </c>
      <c r="C35" s="60" t="s">
        <v>3558</v>
      </c>
      <c r="D35" s="25" t="s">
        <v>359</v>
      </c>
      <c r="E35" s="25" t="s">
        <v>360</v>
      </c>
      <c r="F35" s="25" t="s">
        <v>361</v>
      </c>
      <c r="G35" s="26" t="s">
        <v>72</v>
      </c>
      <c r="H35" s="27" t="s">
        <v>251</v>
      </c>
      <c r="I35" s="26">
        <v>1701</v>
      </c>
      <c r="J35" s="26">
        <v>170150</v>
      </c>
      <c r="K35" s="28">
        <v>4</v>
      </c>
      <c r="L35" s="25" t="s">
        <v>362</v>
      </c>
      <c r="M35" s="25" t="s">
        <v>363</v>
      </c>
      <c r="N35" s="25" t="s">
        <v>364</v>
      </c>
      <c r="O35" s="25"/>
      <c r="P35" s="25"/>
      <c r="Q35" s="25"/>
      <c r="R35" s="25"/>
      <c r="S35" s="25"/>
      <c r="T35" s="25"/>
      <c r="U35" s="25" t="s">
        <v>365</v>
      </c>
      <c r="V35" s="25"/>
      <c r="W35" s="25" t="s">
        <v>366</v>
      </c>
      <c r="X35" s="25" t="s">
        <v>367</v>
      </c>
      <c r="Y35" s="25" t="s">
        <v>368</v>
      </c>
      <c r="Z35" s="25"/>
      <c r="AA35" s="25"/>
      <c r="AB35" s="25"/>
      <c r="AC35" s="25"/>
      <c r="AD35" s="25"/>
      <c r="AE35" s="28">
        <v>2</v>
      </c>
      <c r="AF35" s="28" t="s">
        <v>64</v>
      </c>
      <c r="AG35" s="29" t="s">
        <v>65</v>
      </c>
      <c r="AH35" s="30"/>
      <c r="AI35" s="31" t="s">
        <v>66</v>
      </c>
      <c r="AJ35" s="32" t="s">
        <v>6938</v>
      </c>
      <c r="AK35" s="33" t="s">
        <v>67</v>
      </c>
      <c r="AL35" s="34">
        <v>45565</v>
      </c>
      <c r="AM35" s="36" t="s">
        <v>66</v>
      </c>
      <c r="AN35" s="36"/>
      <c r="AO35" s="36"/>
      <c r="AP35" s="36"/>
      <c r="AQ35" s="37">
        <f t="shared" si="3"/>
        <v>0</v>
      </c>
      <c r="AR35" s="38">
        <f t="shared" si="4"/>
        <v>0</v>
      </c>
      <c r="AS35" s="39">
        <f t="shared" si="5"/>
        <v>0</v>
      </c>
      <c r="AT35" s="91"/>
      <c r="AU35" s="92" t="s">
        <v>1356</v>
      </c>
      <c r="AV35" s="93"/>
      <c r="AW35" s="94"/>
      <c r="AX35" s="93"/>
      <c r="AY35" s="95"/>
      <c r="AZ35" s="91"/>
      <c r="BA35" s="92" t="s">
        <v>1356</v>
      </c>
      <c r="BB35" s="93"/>
      <c r="BC35" s="95"/>
      <c r="BD35" s="93"/>
      <c r="BE35" s="95"/>
      <c r="BF35" s="91"/>
      <c r="BG35" s="92" t="s">
        <v>1356</v>
      </c>
      <c r="BH35" s="93"/>
      <c r="BI35" s="95"/>
      <c r="BJ35" s="93"/>
      <c r="BK35" s="95"/>
      <c r="BL35" s="91"/>
      <c r="BM35" s="92" t="s">
        <v>1356</v>
      </c>
      <c r="BN35" s="93"/>
      <c r="BO35" s="95"/>
      <c r="BP35" s="93"/>
      <c r="BQ35" s="95"/>
      <c r="BR35" s="91"/>
      <c r="BS35" s="92" t="s">
        <v>1356</v>
      </c>
      <c r="BT35" s="93"/>
      <c r="BU35" s="95"/>
      <c r="BV35" s="93"/>
      <c r="BW35" s="95"/>
      <c r="BX35" s="113"/>
      <c r="BY35" s="114" t="s">
        <v>1356</v>
      </c>
      <c r="BZ35" s="115"/>
      <c r="CA35" s="116"/>
      <c r="CB35" s="115"/>
      <c r="CC35" s="116"/>
      <c r="CD35" s="113"/>
      <c r="CE35" s="114" t="s">
        <v>1356</v>
      </c>
      <c r="CF35" s="115"/>
      <c r="CG35" s="116"/>
      <c r="CH35" s="115"/>
      <c r="CI35" s="116"/>
      <c r="CJ35" s="113"/>
      <c r="CK35" s="114" t="s">
        <v>1356</v>
      </c>
      <c r="CL35" s="115"/>
      <c r="CM35" s="116"/>
      <c r="CN35" s="115"/>
      <c r="CO35" s="116"/>
      <c r="CP35" s="113"/>
      <c r="CQ35" s="114" t="s">
        <v>1356</v>
      </c>
      <c r="CR35" s="115"/>
      <c r="CS35" s="116"/>
      <c r="CT35" s="115"/>
      <c r="CU35" s="116"/>
      <c r="CV35" s="113"/>
      <c r="CW35" s="114" t="s">
        <v>1356</v>
      </c>
      <c r="CX35" s="115"/>
      <c r="CY35" s="116"/>
      <c r="CZ35" s="115"/>
      <c r="DA35" s="116"/>
      <c r="DB35" s="128" t="s">
        <v>7085</v>
      </c>
      <c r="DC35" s="131" t="s">
        <v>6751</v>
      </c>
    </row>
    <row r="36" spans="1:107" s="40" customFormat="1" ht="14.55" customHeight="1" x14ac:dyDescent="0.3">
      <c r="A36" s="25" t="s">
        <v>3500</v>
      </c>
      <c r="B36" s="25" t="s">
        <v>3559</v>
      </c>
      <c r="C36" s="25" t="s">
        <v>3560</v>
      </c>
      <c r="D36" s="25" t="s">
        <v>369</v>
      </c>
      <c r="E36" s="25" t="s">
        <v>370</v>
      </c>
      <c r="F36" s="25" t="s">
        <v>81</v>
      </c>
      <c r="G36" s="26" t="s">
        <v>57</v>
      </c>
      <c r="H36" s="27" t="s">
        <v>6922</v>
      </c>
      <c r="I36" s="26">
        <v>804</v>
      </c>
      <c r="J36" s="26">
        <v>80450</v>
      </c>
      <c r="K36" s="28">
        <v>4</v>
      </c>
      <c r="L36" s="25" t="s">
        <v>371</v>
      </c>
      <c r="M36" s="25" t="s">
        <v>258</v>
      </c>
      <c r="N36" s="25"/>
      <c r="O36" s="25" t="s">
        <v>372</v>
      </c>
      <c r="P36" s="25"/>
      <c r="Q36" s="25"/>
      <c r="R36" s="25"/>
      <c r="S36" s="25"/>
      <c r="T36" s="25"/>
      <c r="U36" s="25" t="s">
        <v>373</v>
      </c>
      <c r="V36" s="25"/>
      <c r="W36" s="25" t="s">
        <v>374</v>
      </c>
      <c r="X36" s="25" t="s">
        <v>375</v>
      </c>
      <c r="Y36" s="25" t="s">
        <v>376</v>
      </c>
      <c r="Z36" s="25">
        <v>-79.458280999999999</v>
      </c>
      <c r="AA36" s="25">
        <v>0.31107800000000002</v>
      </c>
      <c r="AB36" s="25">
        <v>80450915</v>
      </c>
      <c r="AC36" s="25">
        <v>80450915001</v>
      </c>
      <c r="AD36" s="25">
        <v>80450915001005</v>
      </c>
      <c r="AE36" s="28">
        <v>3</v>
      </c>
      <c r="AF36" s="28" t="s">
        <v>377</v>
      </c>
      <c r="AG36" s="29" t="s">
        <v>65</v>
      </c>
      <c r="AH36" s="30"/>
      <c r="AI36" s="31" t="s">
        <v>66</v>
      </c>
      <c r="AJ36" s="32" t="s">
        <v>6938</v>
      </c>
      <c r="AK36" s="33" t="s">
        <v>67</v>
      </c>
      <c r="AL36" s="34">
        <v>45572</v>
      </c>
      <c r="AM36" s="35" t="s">
        <v>66</v>
      </c>
      <c r="AN36" s="36"/>
      <c r="AO36" s="36"/>
      <c r="AP36" s="36"/>
      <c r="AQ36" s="37">
        <f t="shared" si="3"/>
        <v>0</v>
      </c>
      <c r="AR36" s="38">
        <f t="shared" si="4"/>
        <v>0</v>
      </c>
      <c r="AS36" s="39">
        <f t="shared" si="5"/>
        <v>0</v>
      </c>
      <c r="AT36" s="91"/>
      <c r="AU36" s="92" t="s">
        <v>1356</v>
      </c>
      <c r="AV36" s="93"/>
      <c r="AW36" s="94"/>
      <c r="AX36" s="93"/>
      <c r="AY36" s="95"/>
      <c r="AZ36" s="91"/>
      <c r="BA36" s="92" t="s">
        <v>1356</v>
      </c>
      <c r="BB36" s="93"/>
      <c r="BC36" s="95"/>
      <c r="BD36" s="93"/>
      <c r="BE36" s="95"/>
      <c r="BF36" s="91"/>
      <c r="BG36" s="92" t="s">
        <v>1356</v>
      </c>
      <c r="BH36" s="93"/>
      <c r="BI36" s="95"/>
      <c r="BJ36" s="93"/>
      <c r="BK36" s="95"/>
      <c r="BL36" s="91"/>
      <c r="BM36" s="92" t="s">
        <v>1356</v>
      </c>
      <c r="BN36" s="93"/>
      <c r="BO36" s="95"/>
      <c r="BP36" s="93"/>
      <c r="BQ36" s="95"/>
      <c r="BR36" s="91"/>
      <c r="BS36" s="92" t="s">
        <v>1356</v>
      </c>
      <c r="BT36" s="93"/>
      <c r="BU36" s="95"/>
      <c r="BV36" s="93"/>
      <c r="BW36" s="95"/>
      <c r="BX36" s="113"/>
      <c r="BY36" s="114" t="s">
        <v>1356</v>
      </c>
      <c r="BZ36" s="115"/>
      <c r="CA36" s="116"/>
      <c r="CB36" s="115"/>
      <c r="CC36" s="116"/>
      <c r="CD36" s="113"/>
      <c r="CE36" s="114" t="s">
        <v>1356</v>
      </c>
      <c r="CF36" s="115"/>
      <c r="CG36" s="116"/>
      <c r="CH36" s="115"/>
      <c r="CI36" s="116"/>
      <c r="CJ36" s="113"/>
      <c r="CK36" s="114" t="s">
        <v>1356</v>
      </c>
      <c r="CL36" s="115"/>
      <c r="CM36" s="116"/>
      <c r="CN36" s="115"/>
      <c r="CO36" s="116"/>
      <c r="CP36" s="113"/>
      <c r="CQ36" s="114" t="s">
        <v>1356</v>
      </c>
      <c r="CR36" s="115"/>
      <c r="CS36" s="116"/>
      <c r="CT36" s="115"/>
      <c r="CU36" s="116"/>
      <c r="CV36" s="113"/>
      <c r="CW36" s="114" t="s">
        <v>1356</v>
      </c>
      <c r="CX36" s="115"/>
      <c r="CY36" s="116"/>
      <c r="CZ36" s="115"/>
      <c r="DA36" s="116"/>
      <c r="DB36" s="128" t="s">
        <v>7085</v>
      </c>
      <c r="DC36" s="128" t="s">
        <v>87</v>
      </c>
    </row>
    <row r="37" spans="1:107" s="40" customFormat="1" ht="14.55" customHeight="1" x14ac:dyDescent="0.3">
      <c r="A37" s="42" t="s">
        <v>3456</v>
      </c>
      <c r="B37" s="42" t="s">
        <v>4033</v>
      </c>
      <c r="C37" s="42" t="s">
        <v>2495</v>
      </c>
      <c r="D37" s="42" t="s">
        <v>2496</v>
      </c>
      <c r="E37" s="42" t="s">
        <v>2497</v>
      </c>
      <c r="F37" s="42" t="s">
        <v>2498</v>
      </c>
      <c r="G37" s="42" t="s">
        <v>1059</v>
      </c>
      <c r="H37" s="43" t="s">
        <v>6924</v>
      </c>
      <c r="I37" s="44">
        <v>1801</v>
      </c>
      <c r="J37" s="44">
        <v>180156</v>
      </c>
      <c r="K37" s="45">
        <v>3</v>
      </c>
      <c r="L37" s="42" t="s">
        <v>2499</v>
      </c>
      <c r="M37" s="42"/>
      <c r="N37" s="42" t="s">
        <v>2500</v>
      </c>
      <c r="O37" s="42"/>
      <c r="P37" s="42"/>
      <c r="Q37" s="42"/>
      <c r="R37" s="42"/>
      <c r="S37" s="42"/>
      <c r="T37" s="42"/>
      <c r="U37" s="42" t="s">
        <v>2501</v>
      </c>
      <c r="V37" s="42"/>
      <c r="W37" s="42" t="s">
        <v>2502</v>
      </c>
      <c r="X37" s="42" t="s">
        <v>2503</v>
      </c>
      <c r="Y37" s="42" t="s">
        <v>2504</v>
      </c>
      <c r="Z37" s="42">
        <v>-78.590993285179138</v>
      </c>
      <c r="AA37" s="42">
        <v>-1.217277256873615</v>
      </c>
      <c r="AB37" s="42">
        <v>180156002</v>
      </c>
      <c r="AC37" s="42">
        <v>180156002001</v>
      </c>
      <c r="AD37" s="42">
        <v>180156002001002</v>
      </c>
      <c r="AE37" s="45">
        <v>2</v>
      </c>
      <c r="AF37" s="45" t="s">
        <v>64</v>
      </c>
      <c r="AG37" s="46" t="s">
        <v>66</v>
      </c>
      <c r="AH37" s="47" t="s">
        <v>2505</v>
      </c>
      <c r="AI37" s="48" t="s">
        <v>66</v>
      </c>
      <c r="AJ37" s="49" t="s">
        <v>6938</v>
      </c>
      <c r="AK37" s="50" t="s">
        <v>67</v>
      </c>
      <c r="AL37" s="51">
        <v>45125</v>
      </c>
      <c r="AM37" s="52" t="s">
        <v>66</v>
      </c>
      <c r="AN37" s="42"/>
      <c r="AO37" s="42"/>
      <c r="AP37" s="42"/>
      <c r="AQ37" s="53">
        <f t="shared" si="3"/>
        <v>2</v>
      </c>
      <c r="AR37" s="54">
        <f t="shared" si="4"/>
        <v>0</v>
      </c>
      <c r="AS37" s="55">
        <f t="shared" si="5"/>
        <v>2</v>
      </c>
      <c r="AT37" s="96" t="s">
        <v>2506</v>
      </c>
      <c r="AU37" s="96" t="s">
        <v>2507</v>
      </c>
      <c r="AV37" s="96">
        <v>0.27500000000000002</v>
      </c>
      <c r="AW37" s="97">
        <v>45575</v>
      </c>
      <c r="AX37" s="96"/>
      <c r="AY37" s="98"/>
      <c r="AZ37" s="96" t="s">
        <v>2506</v>
      </c>
      <c r="BA37" s="96" t="s">
        <v>2507</v>
      </c>
      <c r="BB37" s="96">
        <v>0.28499999999999998</v>
      </c>
      <c r="BC37" s="98">
        <v>45575</v>
      </c>
      <c r="BD37" s="96"/>
      <c r="BE37" s="98"/>
      <c r="BF37" s="96"/>
      <c r="BG37" s="96" t="s">
        <v>1356</v>
      </c>
      <c r="BH37" s="96"/>
      <c r="BI37" s="98"/>
      <c r="BJ37" s="96"/>
      <c r="BK37" s="98"/>
      <c r="BL37" s="96"/>
      <c r="BM37" s="96" t="s">
        <v>1356</v>
      </c>
      <c r="BN37" s="96"/>
      <c r="BO37" s="98"/>
      <c r="BP37" s="96"/>
      <c r="BQ37" s="98"/>
      <c r="BR37" s="96"/>
      <c r="BS37" s="96" t="s">
        <v>1356</v>
      </c>
      <c r="BT37" s="96"/>
      <c r="BU37" s="98"/>
      <c r="BV37" s="96"/>
      <c r="BW37" s="98"/>
      <c r="BX37" s="117"/>
      <c r="BY37" s="117" t="s">
        <v>1356</v>
      </c>
      <c r="BZ37" s="117"/>
      <c r="CA37" s="118"/>
      <c r="CB37" s="117"/>
      <c r="CC37" s="118"/>
      <c r="CD37" s="117"/>
      <c r="CE37" s="117" t="s">
        <v>1356</v>
      </c>
      <c r="CF37" s="117"/>
      <c r="CG37" s="118"/>
      <c r="CH37" s="117"/>
      <c r="CI37" s="118"/>
      <c r="CJ37" s="117"/>
      <c r="CK37" s="117" t="s">
        <v>1356</v>
      </c>
      <c r="CL37" s="117"/>
      <c r="CM37" s="118"/>
      <c r="CN37" s="117"/>
      <c r="CO37" s="118"/>
      <c r="CP37" s="117"/>
      <c r="CQ37" s="117" t="s">
        <v>1356</v>
      </c>
      <c r="CR37" s="117"/>
      <c r="CS37" s="118"/>
      <c r="CT37" s="117"/>
      <c r="CU37" s="118"/>
      <c r="CV37" s="117"/>
      <c r="CW37" s="117" t="s">
        <v>1356</v>
      </c>
      <c r="CX37" s="117"/>
      <c r="CY37" s="118"/>
      <c r="CZ37" s="117"/>
      <c r="DA37" s="118"/>
      <c r="DB37" s="129" t="s">
        <v>6962</v>
      </c>
      <c r="DC37" s="130" t="s">
        <v>105</v>
      </c>
    </row>
    <row r="38" spans="1:107" s="40" customFormat="1" ht="14.55" customHeight="1" x14ac:dyDescent="0.3">
      <c r="A38" s="42" t="s">
        <v>3456</v>
      </c>
      <c r="B38" s="42" t="s">
        <v>4070</v>
      </c>
      <c r="C38" s="42" t="s">
        <v>2664</v>
      </c>
      <c r="D38" s="42" t="s">
        <v>2665</v>
      </c>
      <c r="E38" s="42" t="s">
        <v>2666</v>
      </c>
      <c r="F38" s="42" t="s">
        <v>2498</v>
      </c>
      <c r="G38" s="42" t="s">
        <v>1059</v>
      </c>
      <c r="H38" s="43" t="s">
        <v>6924</v>
      </c>
      <c r="I38" s="44">
        <v>1801</v>
      </c>
      <c r="J38" s="44">
        <v>180150</v>
      </c>
      <c r="K38" s="45">
        <v>4</v>
      </c>
      <c r="L38" s="42" t="s">
        <v>2667</v>
      </c>
      <c r="M38" s="42"/>
      <c r="N38" s="42" t="s">
        <v>2668</v>
      </c>
      <c r="O38" s="42" t="s">
        <v>2669</v>
      </c>
      <c r="P38" s="42"/>
      <c r="Q38" s="42"/>
      <c r="R38" s="42"/>
      <c r="S38" s="42"/>
      <c r="T38" s="42" t="s">
        <v>2670</v>
      </c>
      <c r="U38" s="42" t="s">
        <v>2671</v>
      </c>
      <c r="V38" s="42"/>
      <c r="W38" s="42" t="s">
        <v>2672</v>
      </c>
      <c r="X38" s="42" t="s">
        <v>2673</v>
      </c>
      <c r="Y38" s="42" t="s">
        <v>2674</v>
      </c>
      <c r="Z38" s="42">
        <v>-78.601104000000007</v>
      </c>
      <c r="AA38" s="42">
        <v>-1.2290000000000001</v>
      </c>
      <c r="AB38" s="42">
        <v>180150006</v>
      </c>
      <c r="AC38" s="42">
        <v>180150006001</v>
      </c>
      <c r="AD38" s="42">
        <v>180150006001002</v>
      </c>
      <c r="AE38" s="45">
        <v>3</v>
      </c>
      <c r="AF38" s="45" t="s">
        <v>377</v>
      </c>
      <c r="AG38" s="46" t="s">
        <v>66</v>
      </c>
      <c r="AH38" s="47" t="s">
        <v>2675</v>
      </c>
      <c r="AI38" s="48" t="s">
        <v>66</v>
      </c>
      <c r="AJ38" s="49" t="s">
        <v>6938</v>
      </c>
      <c r="AK38" s="50" t="s">
        <v>67</v>
      </c>
      <c r="AL38" s="51">
        <v>45125</v>
      </c>
      <c r="AM38" s="52" t="s">
        <v>66</v>
      </c>
      <c r="AN38" s="42"/>
      <c r="AO38" s="42"/>
      <c r="AP38" s="42"/>
      <c r="AQ38" s="53">
        <f t="shared" si="3"/>
        <v>1</v>
      </c>
      <c r="AR38" s="54">
        <f t="shared" si="4"/>
        <v>0</v>
      </c>
      <c r="AS38" s="55">
        <f t="shared" si="5"/>
        <v>1</v>
      </c>
      <c r="AT38" s="96" t="s">
        <v>2506</v>
      </c>
      <c r="AU38" s="96" t="s">
        <v>2507</v>
      </c>
      <c r="AV38" s="96">
        <v>0.28499999999999998</v>
      </c>
      <c r="AW38" s="97">
        <v>45586</v>
      </c>
      <c r="AX38" s="96"/>
      <c r="AY38" s="98"/>
      <c r="AZ38" s="96"/>
      <c r="BA38" s="96" t="s">
        <v>1356</v>
      </c>
      <c r="BB38" s="96"/>
      <c r="BC38" s="98"/>
      <c r="BD38" s="96"/>
      <c r="BE38" s="98"/>
      <c r="BF38" s="96"/>
      <c r="BG38" s="96" t="s">
        <v>1356</v>
      </c>
      <c r="BH38" s="96"/>
      <c r="BI38" s="98"/>
      <c r="BJ38" s="96"/>
      <c r="BK38" s="98"/>
      <c r="BL38" s="96"/>
      <c r="BM38" s="96" t="s">
        <v>1356</v>
      </c>
      <c r="BN38" s="96"/>
      <c r="BO38" s="98"/>
      <c r="BP38" s="96"/>
      <c r="BQ38" s="98"/>
      <c r="BR38" s="96"/>
      <c r="BS38" s="96" t="s">
        <v>1356</v>
      </c>
      <c r="BT38" s="96"/>
      <c r="BU38" s="98"/>
      <c r="BV38" s="96"/>
      <c r="BW38" s="98"/>
      <c r="BX38" s="117"/>
      <c r="BY38" s="117" t="s">
        <v>1356</v>
      </c>
      <c r="BZ38" s="117"/>
      <c r="CA38" s="118"/>
      <c r="CB38" s="117"/>
      <c r="CC38" s="118"/>
      <c r="CD38" s="117"/>
      <c r="CE38" s="117" t="s">
        <v>1356</v>
      </c>
      <c r="CF38" s="117"/>
      <c r="CG38" s="118"/>
      <c r="CH38" s="117"/>
      <c r="CI38" s="118"/>
      <c r="CJ38" s="117"/>
      <c r="CK38" s="117" t="s">
        <v>1356</v>
      </c>
      <c r="CL38" s="117"/>
      <c r="CM38" s="118"/>
      <c r="CN38" s="117"/>
      <c r="CO38" s="118"/>
      <c r="CP38" s="117"/>
      <c r="CQ38" s="117" t="s">
        <v>1356</v>
      </c>
      <c r="CR38" s="117"/>
      <c r="CS38" s="118"/>
      <c r="CT38" s="117"/>
      <c r="CU38" s="118"/>
      <c r="CV38" s="117"/>
      <c r="CW38" s="117" t="s">
        <v>1356</v>
      </c>
      <c r="CX38" s="117"/>
      <c r="CY38" s="118"/>
      <c r="CZ38" s="117"/>
      <c r="DA38" s="118"/>
      <c r="DB38" s="129" t="s">
        <v>6962</v>
      </c>
      <c r="DC38" s="130" t="s">
        <v>105</v>
      </c>
    </row>
    <row r="39" spans="1:107" s="40" customFormat="1" ht="14.55" customHeight="1" x14ac:dyDescent="0.3">
      <c r="A39" s="25" t="s">
        <v>3500</v>
      </c>
      <c r="B39" s="25" t="s">
        <v>3565</v>
      </c>
      <c r="C39" s="25" t="s">
        <v>3566</v>
      </c>
      <c r="D39" s="25" t="s">
        <v>398</v>
      </c>
      <c r="E39" s="25" t="s">
        <v>398</v>
      </c>
      <c r="F39" s="25" t="s">
        <v>142</v>
      </c>
      <c r="G39" s="26" t="s">
        <v>72</v>
      </c>
      <c r="H39" s="27" t="s">
        <v>251</v>
      </c>
      <c r="I39" s="26">
        <v>1701</v>
      </c>
      <c r="J39" s="26">
        <v>170150</v>
      </c>
      <c r="K39" s="28">
        <v>4</v>
      </c>
      <c r="L39" s="25" t="s">
        <v>399</v>
      </c>
      <c r="M39" s="25" t="s">
        <v>400</v>
      </c>
      <c r="N39" s="25" t="s">
        <v>401</v>
      </c>
      <c r="O39" s="25"/>
      <c r="P39" s="25"/>
      <c r="Q39" s="25" t="s">
        <v>402</v>
      </c>
      <c r="R39" s="25" t="s">
        <v>403</v>
      </c>
      <c r="S39" s="25"/>
      <c r="T39" s="25"/>
      <c r="U39" s="25"/>
      <c r="V39" s="25" t="s">
        <v>404</v>
      </c>
      <c r="W39" s="25" t="s">
        <v>405</v>
      </c>
      <c r="X39" s="25" t="s">
        <v>406</v>
      </c>
      <c r="Y39" s="25" t="s">
        <v>407</v>
      </c>
      <c r="Z39" s="25"/>
      <c r="AA39" s="25"/>
      <c r="AB39" s="25">
        <v>170150096</v>
      </c>
      <c r="AC39" s="25">
        <v>170150096009</v>
      </c>
      <c r="AD39" s="25">
        <v>170150096009001</v>
      </c>
      <c r="AE39" s="28">
        <v>3</v>
      </c>
      <c r="AF39" s="28" t="s">
        <v>377</v>
      </c>
      <c r="AG39" s="29" t="s">
        <v>65</v>
      </c>
      <c r="AH39" s="61"/>
      <c r="AI39" s="31" t="s">
        <v>66</v>
      </c>
      <c r="AJ39" s="32" t="s">
        <v>6938</v>
      </c>
      <c r="AK39" s="33" t="s">
        <v>67</v>
      </c>
      <c r="AL39" s="34">
        <v>45573</v>
      </c>
      <c r="AM39" s="35" t="s">
        <v>66</v>
      </c>
      <c r="AN39" s="36"/>
      <c r="AO39" s="36"/>
      <c r="AP39" s="36"/>
      <c r="AQ39" s="37">
        <f t="shared" si="3"/>
        <v>0</v>
      </c>
      <c r="AR39" s="38">
        <f t="shared" si="4"/>
        <v>0</v>
      </c>
      <c r="AS39" s="39">
        <f t="shared" si="5"/>
        <v>0</v>
      </c>
      <c r="AT39" s="91"/>
      <c r="AU39" s="92" t="s">
        <v>1356</v>
      </c>
      <c r="AV39" s="93"/>
      <c r="AW39" s="94"/>
      <c r="AX39" s="93"/>
      <c r="AY39" s="95"/>
      <c r="AZ39" s="91"/>
      <c r="BA39" s="92" t="s">
        <v>1356</v>
      </c>
      <c r="BB39" s="93"/>
      <c r="BC39" s="95"/>
      <c r="BD39" s="93"/>
      <c r="BE39" s="95"/>
      <c r="BF39" s="91"/>
      <c r="BG39" s="92" t="s">
        <v>1356</v>
      </c>
      <c r="BH39" s="93"/>
      <c r="BI39" s="95"/>
      <c r="BJ39" s="93"/>
      <c r="BK39" s="95"/>
      <c r="BL39" s="91"/>
      <c r="BM39" s="92" t="s">
        <v>1356</v>
      </c>
      <c r="BN39" s="93"/>
      <c r="BO39" s="95"/>
      <c r="BP39" s="93"/>
      <c r="BQ39" s="95"/>
      <c r="BR39" s="91"/>
      <c r="BS39" s="92" t="s">
        <v>1356</v>
      </c>
      <c r="BT39" s="93"/>
      <c r="BU39" s="95"/>
      <c r="BV39" s="93"/>
      <c r="BW39" s="95"/>
      <c r="BX39" s="113"/>
      <c r="BY39" s="114" t="s">
        <v>1356</v>
      </c>
      <c r="BZ39" s="115"/>
      <c r="CA39" s="116"/>
      <c r="CB39" s="115"/>
      <c r="CC39" s="116"/>
      <c r="CD39" s="113"/>
      <c r="CE39" s="114" t="s">
        <v>1356</v>
      </c>
      <c r="CF39" s="115"/>
      <c r="CG39" s="116"/>
      <c r="CH39" s="115"/>
      <c r="CI39" s="116"/>
      <c r="CJ39" s="113"/>
      <c r="CK39" s="114" t="s">
        <v>1356</v>
      </c>
      <c r="CL39" s="115"/>
      <c r="CM39" s="116"/>
      <c r="CN39" s="115"/>
      <c r="CO39" s="116"/>
      <c r="CP39" s="113"/>
      <c r="CQ39" s="114" t="s">
        <v>1356</v>
      </c>
      <c r="CR39" s="115"/>
      <c r="CS39" s="116"/>
      <c r="CT39" s="115"/>
      <c r="CU39" s="116"/>
      <c r="CV39" s="113"/>
      <c r="CW39" s="114" t="s">
        <v>1356</v>
      </c>
      <c r="CX39" s="115"/>
      <c r="CY39" s="116"/>
      <c r="CZ39" s="115"/>
      <c r="DA39" s="116"/>
      <c r="DB39" s="128" t="s">
        <v>7085</v>
      </c>
      <c r="DC39" s="128" t="s">
        <v>87</v>
      </c>
    </row>
    <row r="40" spans="1:107" s="40" customFormat="1" ht="14.55" customHeight="1" x14ac:dyDescent="0.3">
      <c r="A40" s="25" t="s">
        <v>3500</v>
      </c>
      <c r="B40" s="25" t="s">
        <v>3567</v>
      </c>
      <c r="C40" s="25" t="s">
        <v>3568</v>
      </c>
      <c r="D40" s="25" t="s">
        <v>408</v>
      </c>
      <c r="E40" s="25" t="s">
        <v>409</v>
      </c>
      <c r="F40" s="25" t="s">
        <v>201</v>
      </c>
      <c r="G40" s="26" t="s">
        <v>57</v>
      </c>
      <c r="H40" s="27" t="s">
        <v>6922</v>
      </c>
      <c r="I40" s="26">
        <v>804</v>
      </c>
      <c r="J40" s="26">
        <v>80450</v>
      </c>
      <c r="K40" s="28">
        <v>4</v>
      </c>
      <c r="L40" s="25" t="s">
        <v>410</v>
      </c>
      <c r="M40" s="25" t="s">
        <v>258</v>
      </c>
      <c r="N40" s="25" t="s">
        <v>411</v>
      </c>
      <c r="O40" s="25" t="s">
        <v>412</v>
      </c>
      <c r="P40" s="25"/>
      <c r="Q40" s="25"/>
      <c r="R40" s="25" t="s">
        <v>60</v>
      </c>
      <c r="S40" s="25"/>
      <c r="T40" s="25" t="s">
        <v>413</v>
      </c>
      <c r="U40" s="25" t="s">
        <v>414</v>
      </c>
      <c r="V40" s="25"/>
      <c r="W40" s="25" t="s">
        <v>415</v>
      </c>
      <c r="X40" s="25" t="s">
        <v>416</v>
      </c>
      <c r="Y40" s="25" t="s">
        <v>417</v>
      </c>
      <c r="Z40" s="25">
        <v>-79.407218</v>
      </c>
      <c r="AA40" s="25">
        <v>4.3742999999999997E-2</v>
      </c>
      <c r="AB40" s="25"/>
      <c r="AC40" s="25"/>
      <c r="AD40" s="25"/>
      <c r="AE40" s="28">
        <v>3</v>
      </c>
      <c r="AF40" s="28" t="s">
        <v>377</v>
      </c>
      <c r="AG40" s="29" t="s">
        <v>65</v>
      </c>
      <c r="AH40" s="30"/>
      <c r="AI40" s="31" t="s">
        <v>66</v>
      </c>
      <c r="AJ40" s="32" t="s">
        <v>6938</v>
      </c>
      <c r="AK40" s="33" t="s">
        <v>67</v>
      </c>
      <c r="AL40" s="34">
        <v>45573</v>
      </c>
      <c r="AM40" s="35" t="s">
        <v>66</v>
      </c>
      <c r="AN40" s="36"/>
      <c r="AO40" s="36"/>
      <c r="AP40" s="36"/>
      <c r="AQ40" s="37">
        <f t="shared" si="3"/>
        <v>0</v>
      </c>
      <c r="AR40" s="38">
        <f t="shared" si="4"/>
        <v>0</v>
      </c>
      <c r="AS40" s="39">
        <f t="shared" si="5"/>
        <v>0</v>
      </c>
      <c r="AT40" s="91"/>
      <c r="AU40" s="92" t="s">
        <v>1356</v>
      </c>
      <c r="AV40" s="93"/>
      <c r="AW40" s="94"/>
      <c r="AX40" s="93"/>
      <c r="AY40" s="95"/>
      <c r="AZ40" s="91"/>
      <c r="BA40" s="92" t="s">
        <v>1356</v>
      </c>
      <c r="BB40" s="93"/>
      <c r="BC40" s="95"/>
      <c r="BD40" s="93"/>
      <c r="BE40" s="95"/>
      <c r="BF40" s="91"/>
      <c r="BG40" s="92" t="s">
        <v>1356</v>
      </c>
      <c r="BH40" s="93"/>
      <c r="BI40" s="95"/>
      <c r="BJ40" s="93"/>
      <c r="BK40" s="95"/>
      <c r="BL40" s="91"/>
      <c r="BM40" s="92" t="s">
        <v>1356</v>
      </c>
      <c r="BN40" s="93"/>
      <c r="BO40" s="95"/>
      <c r="BP40" s="93"/>
      <c r="BQ40" s="95"/>
      <c r="BR40" s="91"/>
      <c r="BS40" s="92" t="s">
        <v>1356</v>
      </c>
      <c r="BT40" s="93"/>
      <c r="BU40" s="95"/>
      <c r="BV40" s="93"/>
      <c r="BW40" s="95"/>
      <c r="BX40" s="113"/>
      <c r="BY40" s="114" t="s">
        <v>1356</v>
      </c>
      <c r="BZ40" s="115"/>
      <c r="CA40" s="116"/>
      <c r="CB40" s="115"/>
      <c r="CC40" s="116"/>
      <c r="CD40" s="113"/>
      <c r="CE40" s="114" t="s">
        <v>1356</v>
      </c>
      <c r="CF40" s="115"/>
      <c r="CG40" s="116"/>
      <c r="CH40" s="115"/>
      <c r="CI40" s="116"/>
      <c r="CJ40" s="113"/>
      <c r="CK40" s="114" t="s">
        <v>1356</v>
      </c>
      <c r="CL40" s="115"/>
      <c r="CM40" s="116"/>
      <c r="CN40" s="115"/>
      <c r="CO40" s="116"/>
      <c r="CP40" s="113"/>
      <c r="CQ40" s="114" t="s">
        <v>1356</v>
      </c>
      <c r="CR40" s="115"/>
      <c r="CS40" s="116"/>
      <c r="CT40" s="115"/>
      <c r="CU40" s="116"/>
      <c r="CV40" s="113"/>
      <c r="CW40" s="114" t="s">
        <v>1356</v>
      </c>
      <c r="CX40" s="115"/>
      <c r="CY40" s="116"/>
      <c r="CZ40" s="115"/>
      <c r="DA40" s="116"/>
      <c r="DB40" s="128" t="s">
        <v>7085</v>
      </c>
      <c r="DC40" s="131" t="s">
        <v>6751</v>
      </c>
    </row>
    <row r="41" spans="1:107" s="40" customFormat="1" ht="14.55" customHeight="1" x14ac:dyDescent="0.3">
      <c r="A41" s="25" t="s">
        <v>3500</v>
      </c>
      <c r="B41" s="25" t="s">
        <v>3569</v>
      </c>
      <c r="C41" s="60" t="s">
        <v>3570</v>
      </c>
      <c r="D41" s="25" t="s">
        <v>418</v>
      </c>
      <c r="E41" s="25" t="s">
        <v>419</v>
      </c>
      <c r="F41" s="25" t="s">
        <v>420</v>
      </c>
      <c r="G41" s="26" t="s">
        <v>72</v>
      </c>
      <c r="H41" s="27" t="s">
        <v>251</v>
      </c>
      <c r="I41" s="26">
        <v>1701</v>
      </c>
      <c r="J41" s="26">
        <v>170150</v>
      </c>
      <c r="K41" s="28">
        <v>4</v>
      </c>
      <c r="L41" s="25" t="s">
        <v>421</v>
      </c>
      <c r="M41" s="25" t="s">
        <v>422</v>
      </c>
      <c r="N41" s="25" t="s">
        <v>423</v>
      </c>
      <c r="O41" s="25"/>
      <c r="P41" s="25"/>
      <c r="Q41" s="25" t="s">
        <v>424</v>
      </c>
      <c r="R41" s="25" t="s">
        <v>425</v>
      </c>
      <c r="S41" s="25"/>
      <c r="T41" s="25"/>
      <c r="U41" s="25" t="s">
        <v>426</v>
      </c>
      <c r="V41" s="25"/>
      <c r="W41" s="25" t="s">
        <v>427</v>
      </c>
      <c r="X41" s="25" t="s">
        <v>428</v>
      </c>
      <c r="Y41" s="25" t="s">
        <v>429</v>
      </c>
      <c r="Z41" s="25">
        <v>-78.495857000000001</v>
      </c>
      <c r="AA41" s="25">
        <v>-0.20733699999999999</v>
      </c>
      <c r="AB41" s="25">
        <v>170150189</v>
      </c>
      <c r="AC41" s="25">
        <v>170150189009</v>
      </c>
      <c r="AD41" s="25">
        <v>170150189009006</v>
      </c>
      <c r="AE41" s="28">
        <v>3</v>
      </c>
      <c r="AF41" s="28" t="s">
        <v>377</v>
      </c>
      <c r="AG41" s="29" t="s">
        <v>65</v>
      </c>
      <c r="AH41" s="30"/>
      <c r="AI41" s="31" t="s">
        <v>66</v>
      </c>
      <c r="AJ41" s="32" t="s">
        <v>6938</v>
      </c>
      <c r="AK41" s="33" t="s">
        <v>67</v>
      </c>
      <c r="AL41" s="34">
        <v>45580</v>
      </c>
      <c r="AM41" s="36" t="s">
        <v>66</v>
      </c>
      <c r="AN41" s="36"/>
      <c r="AO41" s="36"/>
      <c r="AP41" s="36"/>
      <c r="AQ41" s="37">
        <f t="shared" si="3"/>
        <v>0</v>
      </c>
      <c r="AR41" s="38">
        <f t="shared" si="4"/>
        <v>0</v>
      </c>
      <c r="AS41" s="39">
        <f t="shared" si="5"/>
        <v>0</v>
      </c>
      <c r="AT41" s="91"/>
      <c r="AU41" s="92" t="s">
        <v>1356</v>
      </c>
      <c r="AV41" s="93"/>
      <c r="AW41" s="94"/>
      <c r="AX41" s="93"/>
      <c r="AY41" s="95"/>
      <c r="AZ41" s="91"/>
      <c r="BA41" s="92" t="s">
        <v>1356</v>
      </c>
      <c r="BB41" s="93"/>
      <c r="BC41" s="95"/>
      <c r="BD41" s="93"/>
      <c r="BE41" s="95"/>
      <c r="BF41" s="91"/>
      <c r="BG41" s="92" t="s">
        <v>1356</v>
      </c>
      <c r="BH41" s="93"/>
      <c r="BI41" s="95"/>
      <c r="BJ41" s="93"/>
      <c r="BK41" s="95"/>
      <c r="BL41" s="91"/>
      <c r="BM41" s="92" t="s">
        <v>1356</v>
      </c>
      <c r="BN41" s="93"/>
      <c r="BO41" s="95"/>
      <c r="BP41" s="93"/>
      <c r="BQ41" s="95"/>
      <c r="BR41" s="91"/>
      <c r="BS41" s="92" t="s">
        <v>1356</v>
      </c>
      <c r="BT41" s="93"/>
      <c r="BU41" s="95"/>
      <c r="BV41" s="93"/>
      <c r="BW41" s="95"/>
      <c r="BX41" s="113"/>
      <c r="BY41" s="114" t="s">
        <v>1356</v>
      </c>
      <c r="BZ41" s="115"/>
      <c r="CA41" s="116"/>
      <c r="CB41" s="115"/>
      <c r="CC41" s="116"/>
      <c r="CD41" s="113"/>
      <c r="CE41" s="114" t="s">
        <v>1356</v>
      </c>
      <c r="CF41" s="115"/>
      <c r="CG41" s="116"/>
      <c r="CH41" s="115"/>
      <c r="CI41" s="116"/>
      <c r="CJ41" s="113"/>
      <c r="CK41" s="114" t="s">
        <v>1356</v>
      </c>
      <c r="CL41" s="115"/>
      <c r="CM41" s="116"/>
      <c r="CN41" s="115"/>
      <c r="CO41" s="116"/>
      <c r="CP41" s="113"/>
      <c r="CQ41" s="114" t="s">
        <v>1356</v>
      </c>
      <c r="CR41" s="115"/>
      <c r="CS41" s="116"/>
      <c r="CT41" s="115"/>
      <c r="CU41" s="116"/>
      <c r="CV41" s="113"/>
      <c r="CW41" s="114" t="s">
        <v>1356</v>
      </c>
      <c r="CX41" s="115"/>
      <c r="CY41" s="116"/>
      <c r="CZ41" s="115"/>
      <c r="DA41" s="116"/>
      <c r="DB41" s="128" t="s">
        <v>7085</v>
      </c>
      <c r="DC41" s="128" t="s">
        <v>105</v>
      </c>
    </row>
    <row r="42" spans="1:107" s="40" customFormat="1" ht="14.55" customHeight="1" x14ac:dyDescent="0.3">
      <c r="A42" s="25" t="s">
        <v>3500</v>
      </c>
      <c r="B42" s="25" t="s">
        <v>3571</v>
      </c>
      <c r="C42" s="41">
        <v>1793165982001</v>
      </c>
      <c r="D42" s="25" t="s">
        <v>430</v>
      </c>
      <c r="E42" s="25" t="s">
        <v>70</v>
      </c>
      <c r="F42" s="25" t="s">
        <v>431</v>
      </c>
      <c r="G42" s="26" t="s">
        <v>72</v>
      </c>
      <c r="H42" s="27" t="s">
        <v>251</v>
      </c>
      <c r="I42" s="26">
        <v>1701</v>
      </c>
      <c r="J42" s="26">
        <v>170150</v>
      </c>
      <c r="K42" s="28">
        <v>4</v>
      </c>
      <c r="L42" s="25" t="s">
        <v>432</v>
      </c>
      <c r="M42" s="25" t="s">
        <v>433</v>
      </c>
      <c r="N42" s="25" t="s">
        <v>434</v>
      </c>
      <c r="O42" s="25"/>
      <c r="P42" s="25"/>
      <c r="Q42" s="25"/>
      <c r="R42" s="25"/>
      <c r="S42" s="25"/>
      <c r="T42" s="25"/>
      <c r="U42" s="25"/>
      <c r="V42" s="25"/>
      <c r="W42" s="25"/>
      <c r="X42" s="25" t="s">
        <v>435</v>
      </c>
      <c r="Y42" s="25" t="s">
        <v>436</v>
      </c>
      <c r="Z42" s="25"/>
      <c r="AA42" s="25"/>
      <c r="AB42" s="25"/>
      <c r="AC42" s="25"/>
      <c r="AD42" s="25"/>
      <c r="AE42" s="28">
        <v>3</v>
      </c>
      <c r="AF42" s="28" t="s">
        <v>377</v>
      </c>
      <c r="AG42" s="29" t="s">
        <v>65</v>
      </c>
      <c r="AH42" s="30"/>
      <c r="AI42" s="31" t="s">
        <v>65</v>
      </c>
      <c r="AJ42" s="32" t="s">
        <v>6938</v>
      </c>
      <c r="AK42" s="33" t="s">
        <v>92</v>
      </c>
      <c r="AL42" s="34">
        <v>45574</v>
      </c>
      <c r="AM42" s="36"/>
      <c r="AN42" s="36"/>
      <c r="AO42" s="36"/>
      <c r="AP42" s="36"/>
      <c r="AQ42" s="37">
        <f t="shared" si="3"/>
        <v>0</v>
      </c>
      <c r="AR42" s="38">
        <f t="shared" si="4"/>
        <v>0</v>
      </c>
      <c r="AS42" s="39">
        <f t="shared" si="5"/>
        <v>0</v>
      </c>
      <c r="AT42" s="91"/>
      <c r="AU42" s="92" t="s">
        <v>1356</v>
      </c>
      <c r="AV42" s="93"/>
      <c r="AW42" s="94"/>
      <c r="AX42" s="93"/>
      <c r="AY42" s="95"/>
      <c r="AZ42" s="91"/>
      <c r="BA42" s="92" t="s">
        <v>1356</v>
      </c>
      <c r="BB42" s="93"/>
      <c r="BC42" s="95"/>
      <c r="BD42" s="93"/>
      <c r="BE42" s="95"/>
      <c r="BF42" s="91"/>
      <c r="BG42" s="92" t="s">
        <v>1356</v>
      </c>
      <c r="BH42" s="93"/>
      <c r="BI42" s="95"/>
      <c r="BJ42" s="93"/>
      <c r="BK42" s="95"/>
      <c r="BL42" s="91"/>
      <c r="BM42" s="92" t="s">
        <v>1356</v>
      </c>
      <c r="BN42" s="93"/>
      <c r="BO42" s="95"/>
      <c r="BP42" s="93"/>
      <c r="BQ42" s="95"/>
      <c r="BR42" s="91"/>
      <c r="BS42" s="92" t="s">
        <v>1356</v>
      </c>
      <c r="BT42" s="93"/>
      <c r="BU42" s="95"/>
      <c r="BV42" s="93"/>
      <c r="BW42" s="95"/>
      <c r="BX42" s="113"/>
      <c r="BY42" s="114" t="s">
        <v>1356</v>
      </c>
      <c r="BZ42" s="115"/>
      <c r="CA42" s="116"/>
      <c r="CB42" s="115"/>
      <c r="CC42" s="116"/>
      <c r="CD42" s="113"/>
      <c r="CE42" s="114" t="s">
        <v>1356</v>
      </c>
      <c r="CF42" s="115"/>
      <c r="CG42" s="116"/>
      <c r="CH42" s="115"/>
      <c r="CI42" s="116"/>
      <c r="CJ42" s="113"/>
      <c r="CK42" s="114" t="s">
        <v>1356</v>
      </c>
      <c r="CL42" s="115"/>
      <c r="CM42" s="116"/>
      <c r="CN42" s="115"/>
      <c r="CO42" s="116"/>
      <c r="CP42" s="113"/>
      <c r="CQ42" s="114" t="s">
        <v>1356</v>
      </c>
      <c r="CR42" s="115"/>
      <c r="CS42" s="116"/>
      <c r="CT42" s="115"/>
      <c r="CU42" s="116"/>
      <c r="CV42" s="113"/>
      <c r="CW42" s="114" t="s">
        <v>1356</v>
      </c>
      <c r="CX42" s="115"/>
      <c r="CY42" s="116"/>
      <c r="CZ42" s="115"/>
      <c r="DA42" s="116"/>
      <c r="DB42" s="128" t="s">
        <v>7085</v>
      </c>
      <c r="DC42" s="128" t="s">
        <v>92</v>
      </c>
    </row>
    <row r="43" spans="1:107" s="40" customFormat="1" ht="14.55" customHeight="1" x14ac:dyDescent="0.3">
      <c r="A43" s="42" t="s">
        <v>3456</v>
      </c>
      <c r="B43" s="42" t="s">
        <v>4034</v>
      </c>
      <c r="C43" s="42" t="s">
        <v>2508</v>
      </c>
      <c r="D43" s="42" t="s">
        <v>2509</v>
      </c>
      <c r="E43" s="42" t="s">
        <v>2510</v>
      </c>
      <c r="F43" s="42" t="s">
        <v>2498</v>
      </c>
      <c r="G43" s="42" t="s">
        <v>1059</v>
      </c>
      <c r="H43" s="43" t="s">
        <v>6924</v>
      </c>
      <c r="I43" s="44">
        <v>1801</v>
      </c>
      <c r="J43" s="44">
        <v>180152</v>
      </c>
      <c r="K43" s="45">
        <v>4</v>
      </c>
      <c r="L43" s="42" t="s">
        <v>1017</v>
      </c>
      <c r="M43" s="42" t="s">
        <v>258</v>
      </c>
      <c r="N43" s="42" t="s">
        <v>2511</v>
      </c>
      <c r="O43" s="42" t="s">
        <v>2512</v>
      </c>
      <c r="P43" s="42"/>
      <c r="Q43" s="42"/>
      <c r="R43" s="42"/>
      <c r="S43" s="42"/>
      <c r="T43" s="42"/>
      <c r="U43" s="42"/>
      <c r="V43" s="42"/>
      <c r="W43" s="42" t="s">
        <v>2513</v>
      </c>
      <c r="X43" s="42" t="s">
        <v>2514</v>
      </c>
      <c r="Y43" s="42" t="s">
        <v>2515</v>
      </c>
      <c r="Z43" s="42">
        <v>-78.595967000000002</v>
      </c>
      <c r="AA43" s="42">
        <v>-1.2121420000000001</v>
      </c>
      <c r="AB43" s="42">
        <v>180152002</v>
      </c>
      <c r="AC43" s="42">
        <v>180152002002</v>
      </c>
      <c r="AD43" s="42">
        <v>180152002002001</v>
      </c>
      <c r="AE43" s="45">
        <v>2</v>
      </c>
      <c r="AF43" s="45" t="s">
        <v>64</v>
      </c>
      <c r="AG43" s="46" t="s">
        <v>66</v>
      </c>
      <c r="AH43" s="47" t="s">
        <v>2516</v>
      </c>
      <c r="AI43" s="48" t="s">
        <v>66</v>
      </c>
      <c r="AJ43" s="49" t="s">
        <v>6938</v>
      </c>
      <c r="AK43" s="50" t="s">
        <v>67</v>
      </c>
      <c r="AL43" s="51">
        <v>45127</v>
      </c>
      <c r="AM43" s="52" t="s">
        <v>66</v>
      </c>
      <c r="AN43" s="42"/>
      <c r="AO43" s="42"/>
      <c r="AP43" s="42"/>
      <c r="AQ43" s="53">
        <f t="shared" si="3"/>
        <v>2</v>
      </c>
      <c r="AR43" s="54">
        <f t="shared" si="4"/>
        <v>0</v>
      </c>
      <c r="AS43" s="55">
        <f t="shared" si="5"/>
        <v>2</v>
      </c>
      <c r="AT43" s="96" t="s">
        <v>2517</v>
      </c>
      <c r="AU43" s="96" t="s">
        <v>2518</v>
      </c>
      <c r="AV43" s="96">
        <v>0.28000000000000003</v>
      </c>
      <c r="AW43" s="97">
        <v>45586</v>
      </c>
      <c r="AX43" s="96"/>
      <c r="AY43" s="98"/>
      <c r="AZ43" s="96" t="s">
        <v>2506</v>
      </c>
      <c r="BA43" s="96" t="s">
        <v>2507</v>
      </c>
      <c r="BB43" s="96">
        <v>0.24</v>
      </c>
      <c r="BC43" s="98">
        <v>45586</v>
      </c>
      <c r="BD43" s="96"/>
      <c r="BE43" s="98"/>
      <c r="BF43" s="96"/>
      <c r="BG43" s="96" t="s">
        <v>1356</v>
      </c>
      <c r="BH43" s="96"/>
      <c r="BI43" s="98"/>
      <c r="BJ43" s="96"/>
      <c r="BK43" s="98"/>
      <c r="BL43" s="96"/>
      <c r="BM43" s="96" t="s">
        <v>1356</v>
      </c>
      <c r="BN43" s="96"/>
      <c r="BO43" s="98"/>
      <c r="BP43" s="96"/>
      <c r="BQ43" s="98"/>
      <c r="BR43" s="96"/>
      <c r="BS43" s="96" t="s">
        <v>1356</v>
      </c>
      <c r="BT43" s="96"/>
      <c r="BU43" s="98"/>
      <c r="BV43" s="96"/>
      <c r="BW43" s="98"/>
      <c r="BX43" s="117"/>
      <c r="BY43" s="117" t="s">
        <v>1356</v>
      </c>
      <c r="BZ43" s="117"/>
      <c r="CA43" s="118"/>
      <c r="CB43" s="117"/>
      <c r="CC43" s="118"/>
      <c r="CD43" s="117"/>
      <c r="CE43" s="117" t="s">
        <v>1356</v>
      </c>
      <c r="CF43" s="117"/>
      <c r="CG43" s="118"/>
      <c r="CH43" s="117"/>
      <c r="CI43" s="118"/>
      <c r="CJ43" s="117"/>
      <c r="CK43" s="117" t="s">
        <v>1356</v>
      </c>
      <c r="CL43" s="117"/>
      <c r="CM43" s="118"/>
      <c r="CN43" s="117"/>
      <c r="CO43" s="118"/>
      <c r="CP43" s="117"/>
      <c r="CQ43" s="117" t="s">
        <v>1356</v>
      </c>
      <c r="CR43" s="117"/>
      <c r="CS43" s="118"/>
      <c r="CT43" s="117"/>
      <c r="CU43" s="118"/>
      <c r="CV43" s="117"/>
      <c r="CW43" s="117" t="s">
        <v>1356</v>
      </c>
      <c r="CX43" s="117"/>
      <c r="CY43" s="118"/>
      <c r="CZ43" s="117"/>
      <c r="DA43" s="118"/>
      <c r="DB43" s="129" t="s">
        <v>6962</v>
      </c>
      <c r="DC43" s="130" t="s">
        <v>105</v>
      </c>
    </row>
    <row r="44" spans="1:107" s="40" customFormat="1" ht="14.55" customHeight="1" x14ac:dyDescent="0.3">
      <c r="A44" s="25" t="s">
        <v>3500</v>
      </c>
      <c r="B44" s="25" t="s">
        <v>3574</v>
      </c>
      <c r="C44" s="60" t="s">
        <v>3575</v>
      </c>
      <c r="D44" s="25" t="s">
        <v>450</v>
      </c>
      <c r="E44" s="25" t="s">
        <v>451</v>
      </c>
      <c r="F44" s="25" t="s">
        <v>256</v>
      </c>
      <c r="G44" s="26" t="s">
        <v>72</v>
      </c>
      <c r="H44" s="27" t="s">
        <v>251</v>
      </c>
      <c r="I44" s="26">
        <v>1701</v>
      </c>
      <c r="J44" s="26">
        <v>170150</v>
      </c>
      <c r="K44" s="28">
        <v>4</v>
      </c>
      <c r="L44" s="25" t="s">
        <v>452</v>
      </c>
      <c r="M44" s="25" t="s">
        <v>453</v>
      </c>
      <c r="N44" s="25" t="s">
        <v>454</v>
      </c>
      <c r="O44" s="25"/>
      <c r="P44" s="25"/>
      <c r="Q44" s="25"/>
      <c r="R44" s="25"/>
      <c r="S44" s="25"/>
      <c r="T44" s="25"/>
      <c r="U44" s="25" t="s">
        <v>455</v>
      </c>
      <c r="V44" s="25"/>
      <c r="W44" s="25" t="s">
        <v>456</v>
      </c>
      <c r="X44" s="25" t="s">
        <v>457</v>
      </c>
      <c r="Y44" s="25" t="s">
        <v>458</v>
      </c>
      <c r="Z44" s="25"/>
      <c r="AA44" s="25"/>
      <c r="AB44" s="25"/>
      <c r="AC44" s="25"/>
      <c r="AD44" s="25"/>
      <c r="AE44" s="28">
        <v>3</v>
      </c>
      <c r="AF44" s="28" t="s">
        <v>377</v>
      </c>
      <c r="AG44" s="29" t="s">
        <v>65</v>
      </c>
      <c r="AH44" s="30"/>
      <c r="AI44" s="31" t="s">
        <v>66</v>
      </c>
      <c r="AJ44" s="32" t="s">
        <v>6938</v>
      </c>
      <c r="AK44" s="33" t="s">
        <v>67</v>
      </c>
      <c r="AL44" s="34">
        <v>45573</v>
      </c>
      <c r="AM44" s="36" t="s">
        <v>66</v>
      </c>
      <c r="AN44" s="36"/>
      <c r="AO44" s="36"/>
      <c r="AP44" s="36"/>
      <c r="AQ44" s="37">
        <f t="shared" si="3"/>
        <v>0</v>
      </c>
      <c r="AR44" s="38">
        <f t="shared" si="4"/>
        <v>0</v>
      </c>
      <c r="AS44" s="39">
        <f t="shared" si="5"/>
        <v>0</v>
      </c>
      <c r="AT44" s="91"/>
      <c r="AU44" s="92" t="s">
        <v>1356</v>
      </c>
      <c r="AV44" s="93"/>
      <c r="AW44" s="94"/>
      <c r="AX44" s="93"/>
      <c r="AY44" s="95"/>
      <c r="AZ44" s="91"/>
      <c r="BA44" s="92" t="s">
        <v>1356</v>
      </c>
      <c r="BB44" s="93"/>
      <c r="BC44" s="95"/>
      <c r="BD44" s="93"/>
      <c r="BE44" s="95"/>
      <c r="BF44" s="91"/>
      <c r="BG44" s="92" t="s">
        <v>1356</v>
      </c>
      <c r="BH44" s="93"/>
      <c r="BI44" s="95"/>
      <c r="BJ44" s="93"/>
      <c r="BK44" s="95"/>
      <c r="BL44" s="91"/>
      <c r="BM44" s="92" t="s">
        <v>1356</v>
      </c>
      <c r="BN44" s="93"/>
      <c r="BO44" s="95"/>
      <c r="BP44" s="93"/>
      <c r="BQ44" s="95"/>
      <c r="BR44" s="91"/>
      <c r="BS44" s="92" t="s">
        <v>1356</v>
      </c>
      <c r="BT44" s="93"/>
      <c r="BU44" s="95"/>
      <c r="BV44" s="93"/>
      <c r="BW44" s="95"/>
      <c r="BX44" s="113"/>
      <c r="BY44" s="114" t="s">
        <v>1356</v>
      </c>
      <c r="BZ44" s="115"/>
      <c r="CA44" s="116"/>
      <c r="CB44" s="115"/>
      <c r="CC44" s="116"/>
      <c r="CD44" s="113"/>
      <c r="CE44" s="114" t="s">
        <v>1356</v>
      </c>
      <c r="CF44" s="115"/>
      <c r="CG44" s="116"/>
      <c r="CH44" s="115"/>
      <c r="CI44" s="116"/>
      <c r="CJ44" s="113"/>
      <c r="CK44" s="114" t="s">
        <v>1356</v>
      </c>
      <c r="CL44" s="115"/>
      <c r="CM44" s="116"/>
      <c r="CN44" s="115"/>
      <c r="CO44" s="116"/>
      <c r="CP44" s="113"/>
      <c r="CQ44" s="114" t="s">
        <v>1356</v>
      </c>
      <c r="CR44" s="115"/>
      <c r="CS44" s="116"/>
      <c r="CT44" s="115"/>
      <c r="CU44" s="116"/>
      <c r="CV44" s="113"/>
      <c r="CW44" s="114" t="s">
        <v>1356</v>
      </c>
      <c r="CX44" s="115"/>
      <c r="CY44" s="116"/>
      <c r="CZ44" s="115"/>
      <c r="DA44" s="116"/>
      <c r="DB44" s="128" t="s">
        <v>7085</v>
      </c>
      <c r="DC44" s="128" t="s">
        <v>78</v>
      </c>
    </row>
    <row r="45" spans="1:107" s="40" customFormat="1" ht="14.55" customHeight="1" x14ac:dyDescent="0.3">
      <c r="A45" s="42" t="s">
        <v>3456</v>
      </c>
      <c r="B45" s="42" t="s">
        <v>4069</v>
      </c>
      <c r="C45" s="42" t="s">
        <v>2656</v>
      </c>
      <c r="D45" s="42" t="s">
        <v>2657</v>
      </c>
      <c r="E45" s="42" t="s">
        <v>2657</v>
      </c>
      <c r="F45" s="42" t="s">
        <v>2498</v>
      </c>
      <c r="G45" s="42" t="s">
        <v>1059</v>
      </c>
      <c r="H45" s="43" t="s">
        <v>6924</v>
      </c>
      <c r="I45" s="44">
        <v>1801</v>
      </c>
      <c r="J45" s="44">
        <v>180156</v>
      </c>
      <c r="K45" s="45">
        <v>4</v>
      </c>
      <c r="L45" s="42" t="s">
        <v>2658</v>
      </c>
      <c r="M45" s="42"/>
      <c r="N45" s="42" t="s">
        <v>2659</v>
      </c>
      <c r="O45" s="42"/>
      <c r="P45" s="42"/>
      <c r="Q45" s="42"/>
      <c r="R45" s="42"/>
      <c r="S45" s="42"/>
      <c r="T45" s="42"/>
      <c r="U45" s="42"/>
      <c r="V45" s="42"/>
      <c r="W45" s="42" t="s">
        <v>2660</v>
      </c>
      <c r="X45" s="42" t="s">
        <v>2661</v>
      </c>
      <c r="Y45" s="42" t="s">
        <v>2662</v>
      </c>
      <c r="Z45" s="42">
        <v>-78.587500000000006</v>
      </c>
      <c r="AA45" s="42">
        <v>-1.201138</v>
      </c>
      <c r="AB45" s="42">
        <v>180156904</v>
      </c>
      <c r="AC45" s="42">
        <v>180156904004</v>
      </c>
      <c r="AD45" s="42">
        <v>180156904004011</v>
      </c>
      <c r="AE45" s="45">
        <v>3</v>
      </c>
      <c r="AF45" s="45" t="s">
        <v>377</v>
      </c>
      <c r="AG45" s="46" t="s">
        <v>66</v>
      </c>
      <c r="AH45" s="47" t="s">
        <v>2663</v>
      </c>
      <c r="AI45" s="48" t="s">
        <v>66</v>
      </c>
      <c r="AJ45" s="49" t="s">
        <v>6938</v>
      </c>
      <c r="AK45" s="50" t="s">
        <v>67</v>
      </c>
      <c r="AL45" s="51">
        <v>45127</v>
      </c>
      <c r="AM45" s="52" t="s">
        <v>66</v>
      </c>
      <c r="AN45" s="42"/>
      <c r="AO45" s="42"/>
      <c r="AP45" s="42"/>
      <c r="AQ45" s="53">
        <f t="shared" si="3"/>
        <v>2</v>
      </c>
      <c r="AR45" s="54">
        <f t="shared" si="4"/>
        <v>0</v>
      </c>
      <c r="AS45" s="55">
        <f t="shared" si="5"/>
        <v>2</v>
      </c>
      <c r="AT45" s="96" t="s">
        <v>2517</v>
      </c>
      <c r="AU45" s="96" t="s">
        <v>2518</v>
      </c>
      <c r="AV45" s="96">
        <v>0.36</v>
      </c>
      <c r="AW45" s="97">
        <v>45586</v>
      </c>
      <c r="AX45" s="96"/>
      <c r="AY45" s="98"/>
      <c r="AZ45" s="96" t="s">
        <v>2506</v>
      </c>
      <c r="BA45" s="96" t="s">
        <v>2507</v>
      </c>
      <c r="BB45" s="96">
        <v>0.28999999999999998</v>
      </c>
      <c r="BC45" s="98">
        <v>45586</v>
      </c>
      <c r="BD45" s="96"/>
      <c r="BE45" s="98"/>
      <c r="BF45" s="96"/>
      <c r="BG45" s="96" t="s">
        <v>1356</v>
      </c>
      <c r="BH45" s="96"/>
      <c r="BI45" s="98"/>
      <c r="BJ45" s="96"/>
      <c r="BK45" s="98"/>
      <c r="BL45" s="96"/>
      <c r="BM45" s="96" t="s">
        <v>1356</v>
      </c>
      <c r="BN45" s="96"/>
      <c r="BO45" s="98"/>
      <c r="BP45" s="96"/>
      <c r="BQ45" s="98"/>
      <c r="BR45" s="96"/>
      <c r="BS45" s="96" t="s">
        <v>1356</v>
      </c>
      <c r="BT45" s="96"/>
      <c r="BU45" s="98"/>
      <c r="BV45" s="96"/>
      <c r="BW45" s="98"/>
      <c r="BX45" s="117"/>
      <c r="BY45" s="117" t="s">
        <v>1356</v>
      </c>
      <c r="BZ45" s="117"/>
      <c r="CA45" s="118"/>
      <c r="CB45" s="117"/>
      <c r="CC45" s="118"/>
      <c r="CD45" s="117"/>
      <c r="CE45" s="117" t="s">
        <v>1356</v>
      </c>
      <c r="CF45" s="117"/>
      <c r="CG45" s="118"/>
      <c r="CH45" s="117"/>
      <c r="CI45" s="118"/>
      <c r="CJ45" s="117"/>
      <c r="CK45" s="117" t="s">
        <v>1356</v>
      </c>
      <c r="CL45" s="117"/>
      <c r="CM45" s="118"/>
      <c r="CN45" s="117"/>
      <c r="CO45" s="118"/>
      <c r="CP45" s="117"/>
      <c r="CQ45" s="117" t="s">
        <v>1356</v>
      </c>
      <c r="CR45" s="117"/>
      <c r="CS45" s="118"/>
      <c r="CT45" s="117"/>
      <c r="CU45" s="118"/>
      <c r="CV45" s="117"/>
      <c r="CW45" s="117" t="s">
        <v>1356</v>
      </c>
      <c r="CX45" s="117"/>
      <c r="CY45" s="118"/>
      <c r="CZ45" s="117"/>
      <c r="DA45" s="118"/>
      <c r="DB45" s="129" t="s">
        <v>6962</v>
      </c>
      <c r="DC45" s="130" t="s">
        <v>105</v>
      </c>
    </row>
    <row r="46" spans="1:107" s="40" customFormat="1" ht="14.55" customHeight="1" x14ac:dyDescent="0.3">
      <c r="A46" s="42" t="s">
        <v>3456</v>
      </c>
      <c r="B46" s="42" t="s">
        <v>4042</v>
      </c>
      <c r="C46" s="42" t="s">
        <v>2527</v>
      </c>
      <c r="D46" s="42" t="s">
        <v>2528</v>
      </c>
      <c r="E46" s="42" t="s">
        <v>70</v>
      </c>
      <c r="F46" s="42" t="s">
        <v>651</v>
      </c>
      <c r="G46" s="42" t="s">
        <v>1059</v>
      </c>
      <c r="H46" s="43" t="s">
        <v>6924</v>
      </c>
      <c r="I46" s="44">
        <v>1801</v>
      </c>
      <c r="J46" s="44">
        <v>180165</v>
      </c>
      <c r="K46" s="45">
        <v>4</v>
      </c>
      <c r="L46" s="42" t="s">
        <v>2464</v>
      </c>
      <c r="M46" s="42"/>
      <c r="N46" s="42" t="s">
        <v>2529</v>
      </c>
      <c r="O46" s="42"/>
      <c r="P46" s="42"/>
      <c r="Q46" s="42"/>
      <c r="R46" s="42"/>
      <c r="S46" s="42"/>
      <c r="T46" s="42"/>
      <c r="U46" s="42"/>
      <c r="V46" s="42"/>
      <c r="W46" s="42"/>
      <c r="X46" s="42" t="s">
        <v>2530</v>
      </c>
      <c r="Y46" s="42" t="s">
        <v>2531</v>
      </c>
      <c r="Z46" s="42"/>
      <c r="AA46" s="42"/>
      <c r="AB46" s="42"/>
      <c r="AC46" s="42"/>
      <c r="AD46" s="42"/>
      <c r="AE46" s="45">
        <v>2</v>
      </c>
      <c r="AF46" s="45" t="s">
        <v>64</v>
      </c>
      <c r="AG46" s="46" t="s">
        <v>66</v>
      </c>
      <c r="AH46" s="47" t="s">
        <v>2532</v>
      </c>
      <c r="AI46" s="48" t="s">
        <v>66</v>
      </c>
      <c r="AJ46" s="49" t="s">
        <v>6938</v>
      </c>
      <c r="AK46" s="50" t="s">
        <v>67</v>
      </c>
      <c r="AL46" s="51">
        <v>45134</v>
      </c>
      <c r="AM46" s="52" t="s">
        <v>66</v>
      </c>
      <c r="AN46" s="42"/>
      <c r="AO46" s="42"/>
      <c r="AP46" s="42"/>
      <c r="AQ46" s="53">
        <f t="shared" si="3"/>
        <v>4</v>
      </c>
      <c r="AR46" s="54">
        <f t="shared" si="4"/>
        <v>0</v>
      </c>
      <c r="AS46" s="55">
        <f t="shared" si="5"/>
        <v>4</v>
      </c>
      <c r="AT46" s="96" t="s">
        <v>674</v>
      </c>
      <c r="AU46" s="96" t="s">
        <v>2533</v>
      </c>
      <c r="AV46" s="96">
        <v>62.72</v>
      </c>
      <c r="AW46" s="97">
        <v>45588</v>
      </c>
      <c r="AX46" s="96"/>
      <c r="AY46" s="98"/>
      <c r="AZ46" s="96" t="s">
        <v>661</v>
      </c>
      <c r="BA46" s="96" t="s">
        <v>1761</v>
      </c>
      <c r="BB46" s="96">
        <v>50.19</v>
      </c>
      <c r="BC46" s="98">
        <v>45588</v>
      </c>
      <c r="BD46" s="96"/>
      <c r="BE46" s="98"/>
      <c r="BF46" s="96" t="s">
        <v>671</v>
      </c>
      <c r="BG46" s="96" t="s">
        <v>2251</v>
      </c>
      <c r="BH46" s="96">
        <v>31.2</v>
      </c>
      <c r="BI46" s="98">
        <v>45588</v>
      </c>
      <c r="BJ46" s="96"/>
      <c r="BK46" s="98"/>
      <c r="BL46" s="96" t="s">
        <v>672</v>
      </c>
      <c r="BM46" s="96" t="s">
        <v>2534</v>
      </c>
      <c r="BN46" s="96">
        <v>52.57</v>
      </c>
      <c r="BO46" s="98">
        <v>45588</v>
      </c>
      <c r="BP46" s="96"/>
      <c r="BQ46" s="98"/>
      <c r="BR46" s="96"/>
      <c r="BS46" s="96" t="s">
        <v>1356</v>
      </c>
      <c r="BT46" s="96"/>
      <c r="BU46" s="98"/>
      <c r="BV46" s="96"/>
      <c r="BW46" s="98"/>
      <c r="BX46" s="117"/>
      <c r="BY46" s="117" t="s">
        <v>1356</v>
      </c>
      <c r="BZ46" s="117"/>
      <c r="CA46" s="118"/>
      <c r="CB46" s="117"/>
      <c r="CC46" s="118"/>
      <c r="CD46" s="117"/>
      <c r="CE46" s="117" t="s">
        <v>1356</v>
      </c>
      <c r="CF46" s="117"/>
      <c r="CG46" s="118"/>
      <c r="CH46" s="117"/>
      <c r="CI46" s="118"/>
      <c r="CJ46" s="117"/>
      <c r="CK46" s="117" t="s">
        <v>1356</v>
      </c>
      <c r="CL46" s="117"/>
      <c r="CM46" s="118"/>
      <c r="CN46" s="117"/>
      <c r="CO46" s="118"/>
      <c r="CP46" s="117"/>
      <c r="CQ46" s="117" t="s">
        <v>1356</v>
      </c>
      <c r="CR46" s="117"/>
      <c r="CS46" s="118"/>
      <c r="CT46" s="117"/>
      <c r="CU46" s="118"/>
      <c r="CV46" s="117"/>
      <c r="CW46" s="117" t="s">
        <v>1356</v>
      </c>
      <c r="CX46" s="117"/>
      <c r="CY46" s="118"/>
      <c r="CZ46" s="117"/>
      <c r="DA46" s="118"/>
      <c r="DB46" s="129" t="s">
        <v>6962</v>
      </c>
      <c r="DC46" s="130" t="s">
        <v>105</v>
      </c>
    </row>
    <row r="47" spans="1:107" s="40" customFormat="1" ht="14.55" customHeight="1" x14ac:dyDescent="0.3">
      <c r="A47" s="25" t="s">
        <v>3500</v>
      </c>
      <c r="B47" s="25" t="s">
        <v>3580</v>
      </c>
      <c r="C47" s="41">
        <v>1790977625001</v>
      </c>
      <c r="D47" s="25" t="s">
        <v>480</v>
      </c>
      <c r="E47" s="25" t="s">
        <v>481</v>
      </c>
      <c r="F47" s="25" t="s">
        <v>327</v>
      </c>
      <c r="G47" s="26" t="s">
        <v>72</v>
      </c>
      <c r="H47" s="27" t="s">
        <v>251</v>
      </c>
      <c r="I47" s="26">
        <v>1701</v>
      </c>
      <c r="J47" s="26">
        <v>170150</v>
      </c>
      <c r="K47" s="28">
        <v>4</v>
      </c>
      <c r="L47" s="25" t="s">
        <v>482</v>
      </c>
      <c r="M47" s="25" t="s">
        <v>483</v>
      </c>
      <c r="N47" s="25" t="s">
        <v>484</v>
      </c>
      <c r="O47" s="25"/>
      <c r="P47" s="25"/>
      <c r="Q47" s="25"/>
      <c r="R47" s="25" t="s">
        <v>113</v>
      </c>
      <c r="S47" s="25"/>
      <c r="T47" s="25"/>
      <c r="U47" s="25" t="s">
        <v>485</v>
      </c>
      <c r="V47" s="25"/>
      <c r="W47" s="25" t="s">
        <v>486</v>
      </c>
      <c r="X47" s="25" t="s">
        <v>487</v>
      </c>
      <c r="Y47" s="25" t="s">
        <v>488</v>
      </c>
      <c r="Z47" s="25">
        <v>-78.494516909122467</v>
      </c>
      <c r="AA47" s="25">
        <v>-0.17941803219795391</v>
      </c>
      <c r="AB47" s="25">
        <v>170150158</v>
      </c>
      <c r="AC47" s="25">
        <v>170150158006</v>
      </c>
      <c r="AD47" s="25">
        <v>170150158006001</v>
      </c>
      <c r="AE47" s="28">
        <v>3</v>
      </c>
      <c r="AF47" s="28" t="s">
        <v>377</v>
      </c>
      <c r="AG47" s="29" t="s">
        <v>65</v>
      </c>
      <c r="AH47" s="30"/>
      <c r="AI47" s="31" t="s">
        <v>66</v>
      </c>
      <c r="AJ47" s="32" t="s">
        <v>6938</v>
      </c>
      <c r="AK47" s="33" t="s">
        <v>67</v>
      </c>
      <c r="AL47" s="34">
        <v>45575</v>
      </c>
      <c r="AM47" s="36" t="s">
        <v>66</v>
      </c>
      <c r="AN47" s="36"/>
      <c r="AO47" s="36"/>
      <c r="AP47" s="36"/>
      <c r="AQ47" s="37">
        <f t="shared" si="3"/>
        <v>0</v>
      </c>
      <c r="AR47" s="38">
        <f t="shared" si="4"/>
        <v>0</v>
      </c>
      <c r="AS47" s="39">
        <f t="shared" si="5"/>
        <v>0</v>
      </c>
      <c r="AT47" s="91"/>
      <c r="AU47" s="92" t="s">
        <v>1356</v>
      </c>
      <c r="AV47" s="93"/>
      <c r="AW47" s="94"/>
      <c r="AX47" s="93"/>
      <c r="AY47" s="95"/>
      <c r="AZ47" s="91"/>
      <c r="BA47" s="92" t="s">
        <v>1356</v>
      </c>
      <c r="BB47" s="93"/>
      <c r="BC47" s="95"/>
      <c r="BD47" s="93"/>
      <c r="BE47" s="95"/>
      <c r="BF47" s="91"/>
      <c r="BG47" s="92" t="s">
        <v>1356</v>
      </c>
      <c r="BH47" s="93"/>
      <c r="BI47" s="95"/>
      <c r="BJ47" s="93"/>
      <c r="BK47" s="95"/>
      <c r="BL47" s="91"/>
      <c r="BM47" s="92" t="s">
        <v>1356</v>
      </c>
      <c r="BN47" s="93"/>
      <c r="BO47" s="95"/>
      <c r="BP47" s="93"/>
      <c r="BQ47" s="95"/>
      <c r="BR47" s="91"/>
      <c r="BS47" s="92" t="s">
        <v>1356</v>
      </c>
      <c r="BT47" s="93"/>
      <c r="BU47" s="95"/>
      <c r="BV47" s="93"/>
      <c r="BW47" s="95"/>
      <c r="BX47" s="113"/>
      <c r="BY47" s="114" t="s">
        <v>1356</v>
      </c>
      <c r="BZ47" s="115"/>
      <c r="CA47" s="116"/>
      <c r="CB47" s="115"/>
      <c r="CC47" s="116"/>
      <c r="CD47" s="113"/>
      <c r="CE47" s="114" t="s">
        <v>1356</v>
      </c>
      <c r="CF47" s="115"/>
      <c r="CG47" s="116"/>
      <c r="CH47" s="115"/>
      <c r="CI47" s="116"/>
      <c r="CJ47" s="113"/>
      <c r="CK47" s="114" t="s">
        <v>1356</v>
      </c>
      <c r="CL47" s="115"/>
      <c r="CM47" s="116"/>
      <c r="CN47" s="115"/>
      <c r="CO47" s="116"/>
      <c r="CP47" s="113"/>
      <c r="CQ47" s="114" t="s">
        <v>1356</v>
      </c>
      <c r="CR47" s="115"/>
      <c r="CS47" s="116"/>
      <c r="CT47" s="115"/>
      <c r="CU47" s="116"/>
      <c r="CV47" s="113"/>
      <c r="CW47" s="114" t="s">
        <v>1356</v>
      </c>
      <c r="CX47" s="115"/>
      <c r="CY47" s="116"/>
      <c r="CZ47" s="115"/>
      <c r="DA47" s="116"/>
      <c r="DB47" s="128" t="s">
        <v>7085</v>
      </c>
      <c r="DC47" s="131" t="s">
        <v>6751</v>
      </c>
    </row>
    <row r="48" spans="1:107" s="40" customFormat="1" ht="14.55" customHeight="1" x14ac:dyDescent="0.3">
      <c r="A48" s="42" t="s">
        <v>3456</v>
      </c>
      <c r="B48" s="42" t="s">
        <v>4088</v>
      </c>
      <c r="C48" s="42" t="s">
        <v>2767</v>
      </c>
      <c r="D48" s="42" t="s">
        <v>2768</v>
      </c>
      <c r="E48" s="42" t="s">
        <v>2769</v>
      </c>
      <c r="F48" s="42" t="s">
        <v>175</v>
      </c>
      <c r="G48" s="42" t="s">
        <v>1059</v>
      </c>
      <c r="H48" s="43" t="s">
        <v>6924</v>
      </c>
      <c r="I48" s="44">
        <v>1801</v>
      </c>
      <c r="J48" s="44">
        <v>180152</v>
      </c>
      <c r="K48" s="45">
        <v>4</v>
      </c>
      <c r="L48" s="42" t="s">
        <v>2770</v>
      </c>
      <c r="M48" s="42"/>
      <c r="N48" s="42" t="s">
        <v>2771</v>
      </c>
      <c r="O48" s="42"/>
      <c r="P48" s="42"/>
      <c r="Q48" s="42"/>
      <c r="R48" s="42"/>
      <c r="S48" s="42"/>
      <c r="T48" s="42"/>
      <c r="U48" s="42"/>
      <c r="V48" s="42"/>
      <c r="W48" s="42" t="s">
        <v>2772</v>
      </c>
      <c r="X48" s="42" t="s">
        <v>2773</v>
      </c>
      <c r="Y48" s="42" t="s">
        <v>2774</v>
      </c>
      <c r="Z48" s="42"/>
      <c r="AA48" s="42"/>
      <c r="AB48" s="42">
        <v>180152001</v>
      </c>
      <c r="AC48" s="42">
        <v>180152001004</v>
      </c>
      <c r="AD48" s="42">
        <v>180152001004002</v>
      </c>
      <c r="AE48" s="45">
        <v>4</v>
      </c>
      <c r="AF48" s="45" t="s">
        <v>499</v>
      </c>
      <c r="AG48" s="46" t="s">
        <v>66</v>
      </c>
      <c r="AH48" s="47" t="s">
        <v>2775</v>
      </c>
      <c r="AI48" s="48" t="s">
        <v>66</v>
      </c>
      <c r="AJ48" s="49" t="s">
        <v>6938</v>
      </c>
      <c r="AK48" s="50" t="s">
        <v>67</v>
      </c>
      <c r="AL48" s="51">
        <v>45146</v>
      </c>
      <c r="AM48" s="52" t="s">
        <v>66</v>
      </c>
      <c r="AN48" s="42"/>
      <c r="AO48" s="42"/>
      <c r="AP48" s="42"/>
      <c r="AQ48" s="53">
        <f t="shared" si="3"/>
        <v>3</v>
      </c>
      <c r="AR48" s="54">
        <f t="shared" si="4"/>
        <v>0</v>
      </c>
      <c r="AS48" s="55">
        <f t="shared" si="5"/>
        <v>3</v>
      </c>
      <c r="AT48" s="96" t="s">
        <v>182</v>
      </c>
      <c r="AU48" s="96" t="s">
        <v>1680</v>
      </c>
      <c r="AV48" s="96">
        <v>9.4600000000000009</v>
      </c>
      <c r="AW48" s="97">
        <v>45588</v>
      </c>
      <c r="AX48" s="96"/>
      <c r="AY48" s="98"/>
      <c r="AZ48" s="96" t="s">
        <v>181</v>
      </c>
      <c r="BA48" s="96" t="s">
        <v>2776</v>
      </c>
      <c r="BB48" s="96">
        <v>11.79</v>
      </c>
      <c r="BC48" s="98">
        <v>45588</v>
      </c>
      <c r="BD48" s="96"/>
      <c r="BE48" s="98"/>
      <c r="BF48" s="96" t="s">
        <v>929</v>
      </c>
      <c r="BG48" s="96" t="s">
        <v>1681</v>
      </c>
      <c r="BH48" s="96">
        <v>16.61</v>
      </c>
      <c r="BI48" s="98">
        <v>45588</v>
      </c>
      <c r="BJ48" s="96"/>
      <c r="BK48" s="98"/>
      <c r="BL48" s="96"/>
      <c r="BM48" s="96" t="s">
        <v>1356</v>
      </c>
      <c r="BN48" s="96"/>
      <c r="BO48" s="98"/>
      <c r="BP48" s="96"/>
      <c r="BQ48" s="98"/>
      <c r="BR48" s="96"/>
      <c r="BS48" s="96" t="s">
        <v>1356</v>
      </c>
      <c r="BT48" s="96"/>
      <c r="BU48" s="98"/>
      <c r="BV48" s="96"/>
      <c r="BW48" s="98"/>
      <c r="BX48" s="117"/>
      <c r="BY48" s="117" t="s">
        <v>1356</v>
      </c>
      <c r="BZ48" s="117"/>
      <c r="CA48" s="118"/>
      <c r="CB48" s="117"/>
      <c r="CC48" s="118"/>
      <c r="CD48" s="117"/>
      <c r="CE48" s="117" t="s">
        <v>1356</v>
      </c>
      <c r="CF48" s="117"/>
      <c r="CG48" s="118"/>
      <c r="CH48" s="117"/>
      <c r="CI48" s="118"/>
      <c r="CJ48" s="117"/>
      <c r="CK48" s="117" t="s">
        <v>1356</v>
      </c>
      <c r="CL48" s="117"/>
      <c r="CM48" s="118"/>
      <c r="CN48" s="117"/>
      <c r="CO48" s="118"/>
      <c r="CP48" s="117"/>
      <c r="CQ48" s="117" t="s">
        <v>1356</v>
      </c>
      <c r="CR48" s="117"/>
      <c r="CS48" s="118"/>
      <c r="CT48" s="117"/>
      <c r="CU48" s="118"/>
      <c r="CV48" s="117"/>
      <c r="CW48" s="117" t="s">
        <v>1356</v>
      </c>
      <c r="CX48" s="117"/>
      <c r="CY48" s="118"/>
      <c r="CZ48" s="117"/>
      <c r="DA48" s="118"/>
      <c r="DB48" s="129" t="s">
        <v>6962</v>
      </c>
      <c r="DC48" s="130" t="s">
        <v>105</v>
      </c>
    </row>
    <row r="49" spans="1:107" s="40" customFormat="1" ht="14.55" customHeight="1" x14ac:dyDescent="0.3">
      <c r="A49" s="42" t="s">
        <v>3456</v>
      </c>
      <c r="B49" s="42" t="s">
        <v>4047</v>
      </c>
      <c r="C49" s="42" t="s">
        <v>2565</v>
      </c>
      <c r="D49" s="42" t="s">
        <v>2566</v>
      </c>
      <c r="E49" s="42" t="s">
        <v>2567</v>
      </c>
      <c r="F49" s="42" t="s">
        <v>1493</v>
      </c>
      <c r="G49" s="42" t="s">
        <v>2426</v>
      </c>
      <c r="H49" s="43" t="s">
        <v>6925</v>
      </c>
      <c r="I49" s="44">
        <v>505</v>
      </c>
      <c r="J49" s="44">
        <v>50550</v>
      </c>
      <c r="K49" s="45">
        <v>3</v>
      </c>
      <c r="L49" s="42" t="s">
        <v>2568</v>
      </c>
      <c r="M49" s="42"/>
      <c r="N49" s="42"/>
      <c r="O49" s="42"/>
      <c r="P49" s="42"/>
      <c r="Q49" s="42" t="s">
        <v>2567</v>
      </c>
      <c r="R49" s="42" t="s">
        <v>60</v>
      </c>
      <c r="S49" s="42"/>
      <c r="T49" s="42"/>
      <c r="U49" s="42" t="s">
        <v>2063</v>
      </c>
      <c r="V49" s="42"/>
      <c r="W49" s="42" t="s">
        <v>2569</v>
      </c>
      <c r="X49" s="42"/>
      <c r="Y49" s="42" t="s">
        <v>2570</v>
      </c>
      <c r="Z49" s="42"/>
      <c r="AA49" s="42"/>
      <c r="AB49" s="42">
        <v>50550999</v>
      </c>
      <c r="AC49" s="42">
        <v>50550999027</v>
      </c>
      <c r="AD49" s="42">
        <v>50550999027002</v>
      </c>
      <c r="AE49" s="45">
        <v>2</v>
      </c>
      <c r="AF49" s="45" t="s">
        <v>64</v>
      </c>
      <c r="AG49" s="46" t="s">
        <v>66</v>
      </c>
      <c r="AH49" s="47" t="s">
        <v>2571</v>
      </c>
      <c r="AI49" s="48" t="s">
        <v>66</v>
      </c>
      <c r="AJ49" s="49" t="s">
        <v>6938</v>
      </c>
      <c r="AK49" s="50" t="s">
        <v>67</v>
      </c>
      <c r="AL49" s="51">
        <v>45151</v>
      </c>
      <c r="AM49" s="52" t="s">
        <v>66</v>
      </c>
      <c r="AN49" s="42"/>
      <c r="AO49" s="42"/>
      <c r="AP49" s="42"/>
      <c r="AQ49" s="53">
        <f t="shared" si="3"/>
        <v>3</v>
      </c>
      <c r="AR49" s="54">
        <f t="shared" si="4"/>
        <v>0</v>
      </c>
      <c r="AS49" s="55">
        <f t="shared" si="5"/>
        <v>3</v>
      </c>
      <c r="AT49" s="96" t="s">
        <v>2572</v>
      </c>
      <c r="AU49" s="96" t="s">
        <v>2573</v>
      </c>
      <c r="AV49" s="96">
        <v>0.36</v>
      </c>
      <c r="AW49" s="97">
        <v>45573</v>
      </c>
      <c r="AX49" s="96"/>
      <c r="AY49" s="98"/>
      <c r="AZ49" s="96" t="s">
        <v>2574</v>
      </c>
      <c r="BA49" s="96" t="s">
        <v>2575</v>
      </c>
      <c r="BB49" s="96">
        <v>7</v>
      </c>
      <c r="BC49" s="98">
        <v>45573</v>
      </c>
      <c r="BD49" s="96"/>
      <c r="BE49" s="98"/>
      <c r="BF49" s="96" t="s">
        <v>2576</v>
      </c>
      <c r="BG49" s="96" t="s">
        <v>2577</v>
      </c>
      <c r="BH49" s="96">
        <v>7.5</v>
      </c>
      <c r="BI49" s="98">
        <v>45573</v>
      </c>
      <c r="BJ49" s="96"/>
      <c r="BK49" s="98"/>
      <c r="BL49" s="96"/>
      <c r="BM49" s="96" t="s">
        <v>1356</v>
      </c>
      <c r="BN49" s="96"/>
      <c r="BO49" s="98"/>
      <c r="BP49" s="96"/>
      <c r="BQ49" s="98"/>
      <c r="BR49" s="96"/>
      <c r="BS49" s="96" t="s">
        <v>1356</v>
      </c>
      <c r="BT49" s="96"/>
      <c r="BU49" s="98"/>
      <c r="BV49" s="96"/>
      <c r="BW49" s="98"/>
      <c r="BX49" s="117"/>
      <c r="BY49" s="117" t="s">
        <v>1356</v>
      </c>
      <c r="BZ49" s="117"/>
      <c r="CA49" s="118"/>
      <c r="CB49" s="117"/>
      <c r="CC49" s="118"/>
      <c r="CD49" s="117"/>
      <c r="CE49" s="117" t="s">
        <v>1356</v>
      </c>
      <c r="CF49" s="117"/>
      <c r="CG49" s="118"/>
      <c r="CH49" s="117"/>
      <c r="CI49" s="118"/>
      <c r="CJ49" s="117"/>
      <c r="CK49" s="117" t="s">
        <v>1356</v>
      </c>
      <c r="CL49" s="117"/>
      <c r="CM49" s="118"/>
      <c r="CN49" s="117"/>
      <c r="CO49" s="118"/>
      <c r="CP49" s="117"/>
      <c r="CQ49" s="117" t="s">
        <v>1356</v>
      </c>
      <c r="CR49" s="117"/>
      <c r="CS49" s="118"/>
      <c r="CT49" s="117"/>
      <c r="CU49" s="118"/>
      <c r="CV49" s="117"/>
      <c r="CW49" s="117" t="s">
        <v>1356</v>
      </c>
      <c r="CX49" s="117"/>
      <c r="CY49" s="118"/>
      <c r="CZ49" s="117"/>
      <c r="DA49" s="118"/>
      <c r="DB49" s="129" t="s">
        <v>6962</v>
      </c>
      <c r="DC49" s="130" t="s">
        <v>105</v>
      </c>
    </row>
    <row r="50" spans="1:107" s="40" customFormat="1" ht="14.55" customHeight="1" x14ac:dyDescent="0.3">
      <c r="A50" s="42" t="s">
        <v>3456</v>
      </c>
      <c r="B50" s="42" t="s">
        <v>4107</v>
      </c>
      <c r="C50" s="42" t="s">
        <v>2895</v>
      </c>
      <c r="D50" s="42" t="s">
        <v>2896</v>
      </c>
      <c r="E50" s="42" t="s">
        <v>2897</v>
      </c>
      <c r="F50" s="42" t="s">
        <v>142</v>
      </c>
      <c r="G50" s="42" t="s">
        <v>1059</v>
      </c>
      <c r="H50" s="43" t="s">
        <v>6924</v>
      </c>
      <c r="I50" s="44">
        <v>1801</v>
      </c>
      <c r="J50" s="44">
        <v>180165</v>
      </c>
      <c r="K50" s="45">
        <v>4</v>
      </c>
      <c r="L50" s="42" t="s">
        <v>2463</v>
      </c>
      <c r="M50" s="42"/>
      <c r="N50" s="42"/>
      <c r="O50" s="42" t="s">
        <v>933</v>
      </c>
      <c r="P50" s="42"/>
      <c r="Q50" s="42"/>
      <c r="R50" s="42"/>
      <c r="S50" s="42"/>
      <c r="T50" s="42"/>
      <c r="U50" s="42" t="s">
        <v>2464</v>
      </c>
      <c r="V50" s="42"/>
      <c r="W50" s="42" t="s">
        <v>2898</v>
      </c>
      <c r="X50" s="42" t="s">
        <v>2899</v>
      </c>
      <c r="Y50" s="42" t="s">
        <v>2900</v>
      </c>
      <c r="Z50" s="42"/>
      <c r="AA50" s="42"/>
      <c r="AB50" s="42">
        <v>180165002</v>
      </c>
      <c r="AC50" s="42">
        <v>180165002001</v>
      </c>
      <c r="AD50" s="42">
        <v>180165002001005</v>
      </c>
      <c r="AE50" s="45">
        <v>5</v>
      </c>
      <c r="AF50" s="45" t="s">
        <v>772</v>
      </c>
      <c r="AG50" s="46" t="s">
        <v>66</v>
      </c>
      <c r="AH50" s="47" t="s">
        <v>2901</v>
      </c>
      <c r="AI50" s="48" t="s">
        <v>66</v>
      </c>
      <c r="AJ50" s="49" t="s">
        <v>6938</v>
      </c>
      <c r="AK50" s="50" t="s">
        <v>67</v>
      </c>
      <c r="AL50" s="51">
        <v>45182</v>
      </c>
      <c r="AM50" s="52" t="s">
        <v>66</v>
      </c>
      <c r="AN50" s="42"/>
      <c r="AO50" s="42"/>
      <c r="AP50" s="42"/>
      <c r="AQ50" s="53">
        <f t="shared" si="3"/>
        <v>1</v>
      </c>
      <c r="AR50" s="54">
        <f t="shared" si="4"/>
        <v>0</v>
      </c>
      <c r="AS50" s="55">
        <f t="shared" si="5"/>
        <v>1</v>
      </c>
      <c r="AT50" s="96" t="s">
        <v>889</v>
      </c>
      <c r="AU50" s="96" t="s">
        <v>2902</v>
      </c>
      <c r="AV50" s="96">
        <v>2.331</v>
      </c>
      <c r="AW50" s="97">
        <v>45588</v>
      </c>
      <c r="AX50" s="96"/>
      <c r="AY50" s="98"/>
      <c r="AZ50" s="96"/>
      <c r="BA50" s="96" t="s">
        <v>1356</v>
      </c>
      <c r="BB50" s="96"/>
      <c r="BC50" s="98"/>
      <c r="BD50" s="96"/>
      <c r="BE50" s="98"/>
      <c r="BF50" s="96"/>
      <c r="BG50" s="96" t="s">
        <v>1356</v>
      </c>
      <c r="BH50" s="96"/>
      <c r="BI50" s="98"/>
      <c r="BJ50" s="96"/>
      <c r="BK50" s="98"/>
      <c r="BL50" s="96"/>
      <c r="BM50" s="96" t="s">
        <v>1356</v>
      </c>
      <c r="BN50" s="96"/>
      <c r="BO50" s="98"/>
      <c r="BP50" s="96"/>
      <c r="BQ50" s="98"/>
      <c r="BR50" s="96"/>
      <c r="BS50" s="96" t="s">
        <v>1356</v>
      </c>
      <c r="BT50" s="96"/>
      <c r="BU50" s="98"/>
      <c r="BV50" s="96"/>
      <c r="BW50" s="98"/>
      <c r="BX50" s="117"/>
      <c r="BY50" s="117" t="s">
        <v>1356</v>
      </c>
      <c r="BZ50" s="117"/>
      <c r="CA50" s="118"/>
      <c r="CB50" s="117"/>
      <c r="CC50" s="118"/>
      <c r="CD50" s="117"/>
      <c r="CE50" s="117" t="s">
        <v>1356</v>
      </c>
      <c r="CF50" s="117"/>
      <c r="CG50" s="118"/>
      <c r="CH50" s="117"/>
      <c r="CI50" s="118"/>
      <c r="CJ50" s="117"/>
      <c r="CK50" s="117" t="s">
        <v>1356</v>
      </c>
      <c r="CL50" s="117"/>
      <c r="CM50" s="118"/>
      <c r="CN50" s="117"/>
      <c r="CO50" s="118"/>
      <c r="CP50" s="117"/>
      <c r="CQ50" s="117" t="s">
        <v>1356</v>
      </c>
      <c r="CR50" s="117"/>
      <c r="CS50" s="118"/>
      <c r="CT50" s="117"/>
      <c r="CU50" s="118"/>
      <c r="CV50" s="117"/>
      <c r="CW50" s="117" t="s">
        <v>1356</v>
      </c>
      <c r="CX50" s="117"/>
      <c r="CY50" s="118"/>
      <c r="CZ50" s="117"/>
      <c r="DA50" s="118"/>
      <c r="DB50" s="129" t="s">
        <v>6962</v>
      </c>
      <c r="DC50" s="130" t="s">
        <v>105</v>
      </c>
    </row>
    <row r="51" spans="1:107" s="40" customFormat="1" ht="14.55" customHeight="1" x14ac:dyDescent="0.3">
      <c r="A51" s="42" t="s">
        <v>3456</v>
      </c>
      <c r="B51" s="42" t="s">
        <v>4028</v>
      </c>
      <c r="C51" s="42" t="s">
        <v>2459</v>
      </c>
      <c r="D51" s="42" t="s">
        <v>2460</v>
      </c>
      <c r="E51" s="42" t="s">
        <v>2461</v>
      </c>
      <c r="F51" s="42" t="s">
        <v>169</v>
      </c>
      <c r="G51" s="42" t="s">
        <v>1059</v>
      </c>
      <c r="H51" s="43" t="s">
        <v>6924</v>
      </c>
      <c r="I51" s="44">
        <v>1801</v>
      </c>
      <c r="J51" s="44">
        <v>180165</v>
      </c>
      <c r="K51" s="45">
        <v>3</v>
      </c>
      <c r="L51" s="42" t="s">
        <v>2462</v>
      </c>
      <c r="M51" s="42"/>
      <c r="N51" s="42" t="s">
        <v>2463</v>
      </c>
      <c r="O51" s="42" t="s">
        <v>933</v>
      </c>
      <c r="P51" s="42"/>
      <c r="Q51" s="42"/>
      <c r="R51" s="42"/>
      <c r="S51" s="42"/>
      <c r="T51" s="42"/>
      <c r="U51" s="42" t="s">
        <v>2464</v>
      </c>
      <c r="V51" s="42"/>
      <c r="W51" s="42" t="s">
        <v>2465</v>
      </c>
      <c r="X51" s="42" t="s">
        <v>2466</v>
      </c>
      <c r="Y51" s="42" t="s">
        <v>2467</v>
      </c>
      <c r="Z51" s="42"/>
      <c r="AA51" s="42"/>
      <c r="AB51" s="42">
        <v>180165002</v>
      </c>
      <c r="AC51" s="42">
        <v>180165002001</v>
      </c>
      <c r="AD51" s="42">
        <v>180165002001005</v>
      </c>
      <c r="AE51" s="45">
        <v>2</v>
      </c>
      <c r="AF51" s="45" t="s">
        <v>64</v>
      </c>
      <c r="AG51" s="46" t="s">
        <v>66</v>
      </c>
      <c r="AH51" s="47" t="s">
        <v>2468</v>
      </c>
      <c r="AI51" s="48" t="s">
        <v>66</v>
      </c>
      <c r="AJ51" s="49" t="s">
        <v>6938</v>
      </c>
      <c r="AK51" s="50" t="s">
        <v>67</v>
      </c>
      <c r="AL51" s="51">
        <v>45189</v>
      </c>
      <c r="AM51" s="52" t="s">
        <v>66</v>
      </c>
      <c r="AN51" s="42"/>
      <c r="AO51" s="42"/>
      <c r="AP51" s="42"/>
      <c r="AQ51" s="53">
        <f t="shared" si="3"/>
        <v>5</v>
      </c>
      <c r="AR51" s="54">
        <f t="shared" si="4"/>
        <v>0</v>
      </c>
      <c r="AS51" s="55">
        <f t="shared" si="5"/>
        <v>5</v>
      </c>
      <c r="AT51" s="96" t="s">
        <v>2469</v>
      </c>
      <c r="AU51" s="96" t="s">
        <v>2470</v>
      </c>
      <c r="AV51" s="96">
        <v>16.52</v>
      </c>
      <c r="AW51" s="97">
        <v>45588</v>
      </c>
      <c r="AX51" s="96"/>
      <c r="AY51" s="98"/>
      <c r="AZ51" s="96" t="s">
        <v>2471</v>
      </c>
      <c r="BA51" s="96" t="s">
        <v>2472</v>
      </c>
      <c r="BB51" s="96">
        <v>4.6399999999999997</v>
      </c>
      <c r="BC51" s="98">
        <v>45588</v>
      </c>
      <c r="BD51" s="96"/>
      <c r="BE51" s="98"/>
      <c r="BF51" s="96" t="s">
        <v>2473</v>
      </c>
      <c r="BG51" s="96" t="s">
        <v>2474</v>
      </c>
      <c r="BH51" s="96">
        <v>33.479999999999997</v>
      </c>
      <c r="BI51" s="98">
        <v>45588</v>
      </c>
      <c r="BJ51" s="96"/>
      <c r="BK51" s="98"/>
      <c r="BL51" s="96" t="s">
        <v>1720</v>
      </c>
      <c r="BM51" s="96" t="s">
        <v>1721</v>
      </c>
      <c r="BN51" s="96">
        <v>16.899999999999999</v>
      </c>
      <c r="BO51" s="98">
        <v>45588</v>
      </c>
      <c r="BP51" s="96"/>
      <c r="BQ51" s="98"/>
      <c r="BR51" s="96" t="s">
        <v>2475</v>
      </c>
      <c r="BS51" s="96" t="s">
        <v>2476</v>
      </c>
      <c r="BT51" s="96">
        <v>29.02</v>
      </c>
      <c r="BU51" s="98">
        <v>45588</v>
      </c>
      <c r="BV51" s="96"/>
      <c r="BW51" s="98"/>
      <c r="BX51" s="117"/>
      <c r="BY51" s="117" t="s">
        <v>1356</v>
      </c>
      <c r="BZ51" s="117"/>
      <c r="CA51" s="118"/>
      <c r="CB51" s="117"/>
      <c r="CC51" s="118"/>
      <c r="CD51" s="117"/>
      <c r="CE51" s="117" t="s">
        <v>1356</v>
      </c>
      <c r="CF51" s="117"/>
      <c r="CG51" s="118"/>
      <c r="CH51" s="117"/>
      <c r="CI51" s="118"/>
      <c r="CJ51" s="117"/>
      <c r="CK51" s="117" t="s">
        <v>1356</v>
      </c>
      <c r="CL51" s="117"/>
      <c r="CM51" s="118"/>
      <c r="CN51" s="117"/>
      <c r="CO51" s="118"/>
      <c r="CP51" s="117"/>
      <c r="CQ51" s="117" t="s">
        <v>1356</v>
      </c>
      <c r="CR51" s="117"/>
      <c r="CS51" s="118"/>
      <c r="CT51" s="117"/>
      <c r="CU51" s="118"/>
      <c r="CV51" s="117"/>
      <c r="CW51" s="117" t="s">
        <v>1356</v>
      </c>
      <c r="CX51" s="117"/>
      <c r="CY51" s="118"/>
      <c r="CZ51" s="117"/>
      <c r="DA51" s="118"/>
      <c r="DB51" s="129" t="s">
        <v>6962</v>
      </c>
      <c r="DC51" s="130" t="s">
        <v>105</v>
      </c>
    </row>
    <row r="52" spans="1:107" s="40" customFormat="1" ht="14.55" customHeight="1" x14ac:dyDescent="0.3">
      <c r="A52" s="42" t="s">
        <v>3456</v>
      </c>
      <c r="B52" s="42" t="s">
        <v>4098</v>
      </c>
      <c r="C52" s="42" t="s">
        <v>2816</v>
      </c>
      <c r="D52" s="42" t="s">
        <v>2817</v>
      </c>
      <c r="E52" s="42" t="s">
        <v>2818</v>
      </c>
      <c r="F52" s="42" t="s">
        <v>1424</v>
      </c>
      <c r="G52" s="42" t="s">
        <v>1059</v>
      </c>
      <c r="H52" s="43" t="s">
        <v>6924</v>
      </c>
      <c r="I52" s="44">
        <v>1805</v>
      </c>
      <c r="J52" s="44">
        <v>180550</v>
      </c>
      <c r="K52" s="45">
        <v>4</v>
      </c>
      <c r="L52" s="42" t="s">
        <v>2819</v>
      </c>
      <c r="M52" s="42" t="s">
        <v>258</v>
      </c>
      <c r="N52" s="42"/>
      <c r="O52" s="42"/>
      <c r="P52" s="42"/>
      <c r="Q52" s="42" t="s">
        <v>2820</v>
      </c>
      <c r="R52" s="42"/>
      <c r="S52" s="42"/>
      <c r="T52" s="42"/>
      <c r="U52" s="42" t="s">
        <v>2821</v>
      </c>
      <c r="V52" s="42"/>
      <c r="W52" s="42" t="s">
        <v>2822</v>
      </c>
      <c r="X52" s="42" t="s">
        <v>2823</v>
      </c>
      <c r="Y52" s="42" t="s">
        <v>2824</v>
      </c>
      <c r="Z52" s="42">
        <v>-78.506144225597382</v>
      </c>
      <c r="AA52" s="42">
        <v>-1.3229316771030399</v>
      </c>
      <c r="AB52" s="42">
        <v>180550999</v>
      </c>
      <c r="AC52" s="42">
        <v>180550999020</v>
      </c>
      <c r="AD52" s="42">
        <v>180550999020001</v>
      </c>
      <c r="AE52" s="45">
        <v>5</v>
      </c>
      <c r="AF52" s="45" t="s">
        <v>772</v>
      </c>
      <c r="AG52" s="46" t="s">
        <v>66</v>
      </c>
      <c r="AH52" s="47" t="s">
        <v>2825</v>
      </c>
      <c r="AI52" s="48" t="s">
        <v>66</v>
      </c>
      <c r="AJ52" s="49" t="s">
        <v>6938</v>
      </c>
      <c r="AK52" s="50" t="s">
        <v>67</v>
      </c>
      <c r="AL52" s="51">
        <v>45190</v>
      </c>
      <c r="AM52" s="52" t="s">
        <v>66</v>
      </c>
      <c r="AN52" s="42"/>
      <c r="AO52" s="42"/>
      <c r="AP52" s="42"/>
      <c r="AQ52" s="53">
        <f t="shared" si="3"/>
        <v>4</v>
      </c>
      <c r="AR52" s="54">
        <f t="shared" si="4"/>
        <v>0</v>
      </c>
      <c r="AS52" s="55">
        <f t="shared" si="5"/>
        <v>4</v>
      </c>
      <c r="AT52" s="96" t="s">
        <v>2444</v>
      </c>
      <c r="AU52" s="96" t="s">
        <v>2445</v>
      </c>
      <c r="AV52" s="96">
        <v>85.46</v>
      </c>
      <c r="AW52" s="97">
        <v>45587</v>
      </c>
      <c r="AX52" s="96"/>
      <c r="AY52" s="98"/>
      <c r="AZ52" s="96" t="s">
        <v>1434</v>
      </c>
      <c r="BA52" s="96" t="s">
        <v>1435</v>
      </c>
      <c r="BB52" s="96">
        <v>37.67</v>
      </c>
      <c r="BC52" s="98">
        <v>45587</v>
      </c>
      <c r="BD52" s="96"/>
      <c r="BE52" s="98"/>
      <c r="BF52" s="96" t="s">
        <v>1436</v>
      </c>
      <c r="BG52" s="96" t="s">
        <v>1437</v>
      </c>
      <c r="BH52" s="96">
        <v>39.79</v>
      </c>
      <c r="BI52" s="98">
        <v>45587</v>
      </c>
      <c r="BJ52" s="96"/>
      <c r="BK52" s="98"/>
      <c r="BL52" s="96" t="s">
        <v>2826</v>
      </c>
      <c r="BM52" s="96" t="s">
        <v>2827</v>
      </c>
      <c r="BN52" s="96">
        <v>45.13</v>
      </c>
      <c r="BO52" s="98">
        <v>45587</v>
      </c>
      <c r="BP52" s="96"/>
      <c r="BQ52" s="98"/>
      <c r="BR52" s="96"/>
      <c r="BS52" s="96" t="s">
        <v>1356</v>
      </c>
      <c r="BT52" s="96"/>
      <c r="BU52" s="98"/>
      <c r="BV52" s="96"/>
      <c r="BW52" s="98"/>
      <c r="BX52" s="117"/>
      <c r="BY52" s="117" t="s">
        <v>1356</v>
      </c>
      <c r="BZ52" s="117"/>
      <c r="CA52" s="118"/>
      <c r="CB52" s="117"/>
      <c r="CC52" s="118"/>
      <c r="CD52" s="117"/>
      <c r="CE52" s="117" t="s">
        <v>1356</v>
      </c>
      <c r="CF52" s="117"/>
      <c r="CG52" s="118"/>
      <c r="CH52" s="117"/>
      <c r="CI52" s="118"/>
      <c r="CJ52" s="117"/>
      <c r="CK52" s="117" t="s">
        <v>1356</v>
      </c>
      <c r="CL52" s="117"/>
      <c r="CM52" s="118"/>
      <c r="CN52" s="117"/>
      <c r="CO52" s="118"/>
      <c r="CP52" s="117"/>
      <c r="CQ52" s="117" t="s">
        <v>1356</v>
      </c>
      <c r="CR52" s="117"/>
      <c r="CS52" s="118"/>
      <c r="CT52" s="117"/>
      <c r="CU52" s="118"/>
      <c r="CV52" s="117"/>
      <c r="CW52" s="117" t="s">
        <v>1356</v>
      </c>
      <c r="CX52" s="117"/>
      <c r="CY52" s="118"/>
      <c r="CZ52" s="117"/>
      <c r="DA52" s="118"/>
      <c r="DB52" s="129" t="s">
        <v>6962</v>
      </c>
      <c r="DC52" s="130" t="s">
        <v>105</v>
      </c>
    </row>
    <row r="53" spans="1:107" s="40" customFormat="1" ht="14.55" customHeight="1" x14ac:dyDescent="0.3">
      <c r="A53" s="42" t="s">
        <v>3456</v>
      </c>
      <c r="B53" s="42" t="s">
        <v>4099</v>
      </c>
      <c r="C53" s="42" t="s">
        <v>2828</v>
      </c>
      <c r="D53" s="42" t="s">
        <v>2829</v>
      </c>
      <c r="E53" s="42" t="s">
        <v>70</v>
      </c>
      <c r="F53" s="42" t="s">
        <v>169</v>
      </c>
      <c r="G53" s="42" t="s">
        <v>1059</v>
      </c>
      <c r="H53" s="43" t="s">
        <v>6924</v>
      </c>
      <c r="I53" s="44">
        <v>1801</v>
      </c>
      <c r="J53" s="44">
        <v>180152</v>
      </c>
      <c r="K53" s="45">
        <v>4</v>
      </c>
      <c r="L53" s="42" t="s">
        <v>2830</v>
      </c>
      <c r="M53" s="42" t="s">
        <v>2831</v>
      </c>
      <c r="N53" s="42" t="s">
        <v>2832</v>
      </c>
      <c r="O53" s="42"/>
      <c r="P53" s="42" t="s">
        <v>2236</v>
      </c>
      <c r="Q53" s="42" t="s">
        <v>2833</v>
      </c>
      <c r="R53" s="42" t="s">
        <v>60</v>
      </c>
      <c r="S53" s="42"/>
      <c r="T53" s="42"/>
      <c r="U53" s="42" t="s">
        <v>2236</v>
      </c>
      <c r="V53" s="42" t="s">
        <v>2834</v>
      </c>
      <c r="W53" s="42" t="s">
        <v>2835</v>
      </c>
      <c r="X53" s="42" t="s">
        <v>2836</v>
      </c>
      <c r="Y53" s="42" t="s">
        <v>2837</v>
      </c>
      <c r="Z53" s="42"/>
      <c r="AA53" s="42"/>
      <c r="AB53" s="42">
        <v>180152999</v>
      </c>
      <c r="AC53" s="42">
        <v>180152999009</v>
      </c>
      <c r="AD53" s="42">
        <v>180152999009001</v>
      </c>
      <c r="AE53" s="45">
        <v>5</v>
      </c>
      <c r="AF53" s="45" t="s">
        <v>772</v>
      </c>
      <c r="AG53" s="46" t="s">
        <v>66</v>
      </c>
      <c r="AH53" s="47" t="s">
        <v>2838</v>
      </c>
      <c r="AI53" s="48" t="s">
        <v>66</v>
      </c>
      <c r="AJ53" s="49" t="s">
        <v>6938</v>
      </c>
      <c r="AK53" s="50" t="s">
        <v>67</v>
      </c>
      <c r="AL53" s="51">
        <v>45194</v>
      </c>
      <c r="AM53" s="52" t="s">
        <v>66</v>
      </c>
      <c r="AN53" s="42"/>
      <c r="AO53" s="42"/>
      <c r="AP53" s="42"/>
      <c r="AQ53" s="53">
        <f t="shared" si="3"/>
        <v>4</v>
      </c>
      <c r="AR53" s="54">
        <f t="shared" si="4"/>
        <v>0</v>
      </c>
      <c r="AS53" s="55">
        <f t="shared" si="5"/>
        <v>4</v>
      </c>
      <c r="AT53" s="96" t="s">
        <v>540</v>
      </c>
      <c r="AU53" s="96" t="s">
        <v>2205</v>
      </c>
      <c r="AV53" s="96">
        <v>9.8699999999999992</v>
      </c>
      <c r="AW53" s="97">
        <v>45586</v>
      </c>
      <c r="AX53" s="96"/>
      <c r="AY53" s="98"/>
      <c r="AZ53" s="96" t="s">
        <v>2483</v>
      </c>
      <c r="BA53" s="96" t="s">
        <v>2484</v>
      </c>
      <c r="BB53" s="96">
        <v>27.33</v>
      </c>
      <c r="BC53" s="98">
        <v>45586</v>
      </c>
      <c r="BD53" s="96"/>
      <c r="BE53" s="98"/>
      <c r="BF53" s="96" t="s">
        <v>2469</v>
      </c>
      <c r="BG53" s="96" t="s">
        <v>2470</v>
      </c>
      <c r="BH53" s="96">
        <v>17.899999999999999</v>
      </c>
      <c r="BI53" s="98">
        <v>45586</v>
      </c>
      <c r="BJ53" s="96"/>
      <c r="BK53" s="98"/>
      <c r="BL53" s="96" t="s">
        <v>1720</v>
      </c>
      <c r="BM53" s="96" t="s">
        <v>1721</v>
      </c>
      <c r="BN53" s="96">
        <v>13.77</v>
      </c>
      <c r="BO53" s="98">
        <v>45586</v>
      </c>
      <c r="BP53" s="96"/>
      <c r="BQ53" s="98"/>
      <c r="BR53" s="96"/>
      <c r="BS53" s="96" t="s">
        <v>1356</v>
      </c>
      <c r="BT53" s="96"/>
      <c r="BU53" s="98"/>
      <c r="BV53" s="96"/>
      <c r="BW53" s="98"/>
      <c r="BX53" s="117"/>
      <c r="BY53" s="117" t="s">
        <v>1356</v>
      </c>
      <c r="BZ53" s="117"/>
      <c r="CA53" s="118"/>
      <c r="CB53" s="117"/>
      <c r="CC53" s="118"/>
      <c r="CD53" s="117"/>
      <c r="CE53" s="117" t="s">
        <v>1356</v>
      </c>
      <c r="CF53" s="117"/>
      <c r="CG53" s="118"/>
      <c r="CH53" s="117"/>
      <c r="CI53" s="118"/>
      <c r="CJ53" s="117"/>
      <c r="CK53" s="117" t="s">
        <v>1356</v>
      </c>
      <c r="CL53" s="117"/>
      <c r="CM53" s="118"/>
      <c r="CN53" s="117"/>
      <c r="CO53" s="118"/>
      <c r="CP53" s="117"/>
      <c r="CQ53" s="117" t="s">
        <v>1356</v>
      </c>
      <c r="CR53" s="117"/>
      <c r="CS53" s="118"/>
      <c r="CT53" s="117"/>
      <c r="CU53" s="118"/>
      <c r="CV53" s="117"/>
      <c r="CW53" s="117" t="s">
        <v>1356</v>
      </c>
      <c r="CX53" s="117"/>
      <c r="CY53" s="118"/>
      <c r="CZ53" s="117"/>
      <c r="DA53" s="118"/>
      <c r="DB53" s="129" t="s">
        <v>6962</v>
      </c>
      <c r="DC53" s="130" t="s">
        <v>105</v>
      </c>
    </row>
    <row r="54" spans="1:107" s="40" customFormat="1" ht="14.55" customHeight="1" x14ac:dyDescent="0.3">
      <c r="A54" s="42" t="s">
        <v>3456</v>
      </c>
      <c r="B54" s="42" t="s">
        <v>4105</v>
      </c>
      <c r="C54" s="42" t="s">
        <v>2877</v>
      </c>
      <c r="D54" s="42" t="s">
        <v>2878</v>
      </c>
      <c r="E54" s="42" t="s">
        <v>2879</v>
      </c>
      <c r="F54" s="42" t="s">
        <v>596</v>
      </c>
      <c r="G54" s="42" t="s">
        <v>1059</v>
      </c>
      <c r="H54" s="43" t="s">
        <v>6924</v>
      </c>
      <c r="I54" s="44">
        <v>1801</v>
      </c>
      <c r="J54" s="44">
        <v>180152</v>
      </c>
      <c r="K54" s="45">
        <v>4</v>
      </c>
      <c r="L54" s="42" t="s">
        <v>2832</v>
      </c>
      <c r="M54" s="42"/>
      <c r="N54" s="42" t="s">
        <v>2880</v>
      </c>
      <c r="O54" s="42" t="s">
        <v>109</v>
      </c>
      <c r="P54" s="42" t="s">
        <v>2236</v>
      </c>
      <c r="Q54" s="42" t="s">
        <v>2881</v>
      </c>
      <c r="R54" s="42"/>
      <c r="S54" s="42"/>
      <c r="T54" s="42" t="s">
        <v>2882</v>
      </c>
      <c r="U54" s="42" t="s">
        <v>2883</v>
      </c>
      <c r="V54" s="42" t="s">
        <v>2834</v>
      </c>
      <c r="W54" s="42" t="s">
        <v>2884</v>
      </c>
      <c r="X54" s="42" t="s">
        <v>2885</v>
      </c>
      <c r="Y54" s="42" t="s">
        <v>2886</v>
      </c>
      <c r="Z54" s="42"/>
      <c r="AA54" s="42"/>
      <c r="AB54" s="42">
        <v>180152999</v>
      </c>
      <c r="AC54" s="42">
        <v>180152999009</v>
      </c>
      <c r="AD54" s="42">
        <v>180152999009001</v>
      </c>
      <c r="AE54" s="45">
        <v>5</v>
      </c>
      <c r="AF54" s="45" t="s">
        <v>772</v>
      </c>
      <c r="AG54" s="46" t="s">
        <v>66</v>
      </c>
      <c r="AH54" s="47" t="s">
        <v>2887</v>
      </c>
      <c r="AI54" s="48" t="s">
        <v>66</v>
      </c>
      <c r="AJ54" s="49" t="s">
        <v>6938</v>
      </c>
      <c r="AK54" s="50" t="s">
        <v>67</v>
      </c>
      <c r="AL54" s="51">
        <v>45195</v>
      </c>
      <c r="AM54" s="52" t="s">
        <v>66</v>
      </c>
      <c r="AN54" s="42"/>
      <c r="AO54" s="42"/>
      <c r="AP54" s="42"/>
      <c r="AQ54" s="53">
        <f t="shared" si="3"/>
        <v>4</v>
      </c>
      <c r="AR54" s="54">
        <f t="shared" si="4"/>
        <v>0</v>
      </c>
      <c r="AS54" s="55">
        <f t="shared" si="5"/>
        <v>4</v>
      </c>
      <c r="AT54" s="96" t="s">
        <v>2888</v>
      </c>
      <c r="AU54" s="96" t="s">
        <v>2889</v>
      </c>
      <c r="AV54" s="96">
        <v>16.05</v>
      </c>
      <c r="AW54" s="97">
        <v>45589</v>
      </c>
      <c r="AX54" s="96"/>
      <c r="AY54" s="98"/>
      <c r="AZ54" s="96" t="s">
        <v>616</v>
      </c>
      <c r="BA54" s="96" t="s">
        <v>2815</v>
      </c>
      <c r="BB54" s="96">
        <v>19.91</v>
      </c>
      <c r="BC54" s="98">
        <v>45589</v>
      </c>
      <c r="BD54" s="96"/>
      <c r="BE54" s="98"/>
      <c r="BF54" s="96" t="s">
        <v>615</v>
      </c>
      <c r="BG54" s="96" t="s">
        <v>2702</v>
      </c>
      <c r="BH54" s="96">
        <v>5.32</v>
      </c>
      <c r="BI54" s="98">
        <v>45589</v>
      </c>
      <c r="BJ54" s="96"/>
      <c r="BK54" s="98"/>
      <c r="BL54" s="96" t="s">
        <v>2890</v>
      </c>
      <c r="BM54" s="96" t="s">
        <v>2891</v>
      </c>
      <c r="BN54" s="96">
        <v>7.7</v>
      </c>
      <c r="BO54" s="98">
        <v>45589</v>
      </c>
      <c r="BP54" s="96"/>
      <c r="BQ54" s="98"/>
      <c r="BR54" s="96"/>
      <c r="BS54" s="96" t="s">
        <v>1356</v>
      </c>
      <c r="BT54" s="96"/>
      <c r="BU54" s="98"/>
      <c r="BV54" s="96"/>
      <c r="BW54" s="98"/>
      <c r="BX54" s="117"/>
      <c r="BY54" s="117" t="s">
        <v>1356</v>
      </c>
      <c r="BZ54" s="117"/>
      <c r="CA54" s="118"/>
      <c r="CB54" s="117"/>
      <c r="CC54" s="118"/>
      <c r="CD54" s="117"/>
      <c r="CE54" s="117" t="s">
        <v>1356</v>
      </c>
      <c r="CF54" s="117"/>
      <c r="CG54" s="118"/>
      <c r="CH54" s="117"/>
      <c r="CI54" s="118"/>
      <c r="CJ54" s="117"/>
      <c r="CK54" s="117" t="s">
        <v>1356</v>
      </c>
      <c r="CL54" s="117"/>
      <c r="CM54" s="118"/>
      <c r="CN54" s="117"/>
      <c r="CO54" s="118"/>
      <c r="CP54" s="117"/>
      <c r="CQ54" s="117" t="s">
        <v>1356</v>
      </c>
      <c r="CR54" s="117"/>
      <c r="CS54" s="118"/>
      <c r="CT54" s="117"/>
      <c r="CU54" s="118"/>
      <c r="CV54" s="117"/>
      <c r="CW54" s="117" t="s">
        <v>1356</v>
      </c>
      <c r="CX54" s="117"/>
      <c r="CY54" s="118"/>
      <c r="CZ54" s="117"/>
      <c r="DA54" s="118"/>
      <c r="DB54" s="129" t="s">
        <v>6962</v>
      </c>
      <c r="DC54" s="130" t="s">
        <v>105</v>
      </c>
    </row>
    <row r="55" spans="1:107" s="40" customFormat="1" ht="14.55" customHeight="1" x14ac:dyDescent="0.3">
      <c r="A55" s="42" t="s">
        <v>3456</v>
      </c>
      <c r="B55" s="42" t="s">
        <v>4060</v>
      </c>
      <c r="C55" s="42" t="s">
        <v>2606</v>
      </c>
      <c r="D55" s="42" t="s">
        <v>2607</v>
      </c>
      <c r="E55" s="42" t="s">
        <v>70</v>
      </c>
      <c r="F55" s="42" t="s">
        <v>95</v>
      </c>
      <c r="G55" s="42" t="s">
        <v>1059</v>
      </c>
      <c r="H55" s="43" t="s">
        <v>6924</v>
      </c>
      <c r="I55" s="44">
        <v>1801</v>
      </c>
      <c r="J55" s="44">
        <v>180160</v>
      </c>
      <c r="K55" s="45">
        <v>4</v>
      </c>
      <c r="L55" s="42" t="s">
        <v>2608</v>
      </c>
      <c r="M55" s="42" t="s">
        <v>2609</v>
      </c>
      <c r="N55" s="42" t="s">
        <v>2610</v>
      </c>
      <c r="O55" s="42"/>
      <c r="P55" s="42"/>
      <c r="Q55" s="42"/>
      <c r="R55" s="42"/>
      <c r="S55" s="42"/>
      <c r="T55" s="42"/>
      <c r="U55" s="42"/>
      <c r="V55" s="42"/>
      <c r="W55" s="42" t="s">
        <v>2611</v>
      </c>
      <c r="X55" s="42" t="s">
        <v>2612</v>
      </c>
      <c r="Y55" s="42" t="s">
        <v>2613</v>
      </c>
      <c r="Z55" s="42"/>
      <c r="AA55" s="42"/>
      <c r="AB55" s="42"/>
      <c r="AC55" s="42"/>
      <c r="AD55" s="42"/>
      <c r="AE55" s="45">
        <v>3</v>
      </c>
      <c r="AF55" s="45" t="s">
        <v>377</v>
      </c>
      <c r="AG55" s="46" t="s">
        <v>66</v>
      </c>
      <c r="AH55" s="47" t="s">
        <v>2614</v>
      </c>
      <c r="AI55" s="48" t="s">
        <v>66</v>
      </c>
      <c r="AJ55" s="49" t="s">
        <v>6938</v>
      </c>
      <c r="AK55" s="50" t="s">
        <v>67</v>
      </c>
      <c r="AL55" s="51">
        <v>45196</v>
      </c>
      <c r="AM55" s="52" t="s">
        <v>66</v>
      </c>
      <c r="AN55" s="42"/>
      <c r="AO55" s="42"/>
      <c r="AP55" s="42"/>
      <c r="AQ55" s="53">
        <f t="shared" si="3"/>
        <v>1</v>
      </c>
      <c r="AR55" s="54">
        <f t="shared" si="4"/>
        <v>0</v>
      </c>
      <c r="AS55" s="55">
        <f t="shared" si="5"/>
        <v>1</v>
      </c>
      <c r="AT55" s="96" t="s">
        <v>2615</v>
      </c>
      <c r="AU55" s="96" t="s">
        <v>2616</v>
      </c>
      <c r="AV55" s="96">
        <v>2.69</v>
      </c>
      <c r="AW55" s="97">
        <v>45586</v>
      </c>
      <c r="AX55" s="96"/>
      <c r="AY55" s="98"/>
      <c r="AZ55" s="96"/>
      <c r="BA55" s="96" t="s">
        <v>1356</v>
      </c>
      <c r="BB55" s="96"/>
      <c r="BC55" s="98"/>
      <c r="BD55" s="96"/>
      <c r="BE55" s="98"/>
      <c r="BF55" s="96"/>
      <c r="BG55" s="96" t="s">
        <v>1356</v>
      </c>
      <c r="BH55" s="96"/>
      <c r="BI55" s="98"/>
      <c r="BJ55" s="96"/>
      <c r="BK55" s="98"/>
      <c r="BL55" s="96"/>
      <c r="BM55" s="96" t="s">
        <v>1356</v>
      </c>
      <c r="BN55" s="96"/>
      <c r="BO55" s="98"/>
      <c r="BP55" s="96"/>
      <c r="BQ55" s="98"/>
      <c r="BR55" s="96"/>
      <c r="BS55" s="96" t="s">
        <v>1356</v>
      </c>
      <c r="BT55" s="96"/>
      <c r="BU55" s="98"/>
      <c r="BV55" s="96"/>
      <c r="BW55" s="98"/>
      <c r="BX55" s="117"/>
      <c r="BY55" s="117" t="s">
        <v>1356</v>
      </c>
      <c r="BZ55" s="117"/>
      <c r="CA55" s="118"/>
      <c r="CB55" s="117"/>
      <c r="CC55" s="118"/>
      <c r="CD55" s="117"/>
      <c r="CE55" s="117" t="s">
        <v>1356</v>
      </c>
      <c r="CF55" s="117"/>
      <c r="CG55" s="118"/>
      <c r="CH55" s="117"/>
      <c r="CI55" s="118"/>
      <c r="CJ55" s="117"/>
      <c r="CK55" s="117" t="s">
        <v>1356</v>
      </c>
      <c r="CL55" s="117"/>
      <c r="CM55" s="118"/>
      <c r="CN55" s="117"/>
      <c r="CO55" s="118"/>
      <c r="CP55" s="117"/>
      <c r="CQ55" s="117" t="s">
        <v>1356</v>
      </c>
      <c r="CR55" s="117"/>
      <c r="CS55" s="118"/>
      <c r="CT55" s="117"/>
      <c r="CU55" s="118"/>
      <c r="CV55" s="117"/>
      <c r="CW55" s="117" t="s">
        <v>1356</v>
      </c>
      <c r="CX55" s="117"/>
      <c r="CY55" s="118"/>
      <c r="CZ55" s="117"/>
      <c r="DA55" s="118"/>
      <c r="DB55" s="129" t="s">
        <v>6962</v>
      </c>
      <c r="DC55" s="130" t="s">
        <v>105</v>
      </c>
    </row>
    <row r="56" spans="1:107" s="40" customFormat="1" ht="14.55" customHeight="1" x14ac:dyDescent="0.3">
      <c r="A56" s="25" t="s">
        <v>3500</v>
      </c>
      <c r="B56" s="25" t="s">
        <v>3597</v>
      </c>
      <c r="C56" s="25" t="s">
        <v>3598</v>
      </c>
      <c r="D56" s="25" t="s">
        <v>576</v>
      </c>
      <c r="E56" s="25" t="s">
        <v>577</v>
      </c>
      <c r="F56" s="25" t="s">
        <v>169</v>
      </c>
      <c r="G56" s="26" t="s">
        <v>72</v>
      </c>
      <c r="H56" s="27" t="s">
        <v>251</v>
      </c>
      <c r="I56" s="26">
        <v>1701</v>
      </c>
      <c r="J56" s="26">
        <v>170150</v>
      </c>
      <c r="K56" s="28">
        <v>4</v>
      </c>
      <c r="L56" s="25" t="s">
        <v>578</v>
      </c>
      <c r="M56" s="25" t="s">
        <v>579</v>
      </c>
      <c r="N56" s="25" t="s">
        <v>580</v>
      </c>
      <c r="O56" s="25"/>
      <c r="P56" s="25"/>
      <c r="Q56" s="25"/>
      <c r="R56" s="25"/>
      <c r="S56" s="25"/>
      <c r="T56" s="25"/>
      <c r="U56" s="25"/>
      <c r="V56" s="25"/>
      <c r="W56" s="25" t="s">
        <v>581</v>
      </c>
      <c r="X56" s="25" t="s">
        <v>582</v>
      </c>
      <c r="Y56" s="25" t="s">
        <v>583</v>
      </c>
      <c r="Z56" s="25">
        <v>-78.480711999999997</v>
      </c>
      <c r="AA56" s="25">
        <v>-0.111956</v>
      </c>
      <c r="AB56" s="25">
        <v>170150071</v>
      </c>
      <c r="AC56" s="25">
        <v>170150071010</v>
      </c>
      <c r="AD56" s="25">
        <v>170150071010002</v>
      </c>
      <c r="AE56" s="28">
        <v>4</v>
      </c>
      <c r="AF56" s="28" t="s">
        <v>499</v>
      </c>
      <c r="AG56" s="29" t="s">
        <v>65</v>
      </c>
      <c r="AH56" s="61"/>
      <c r="AI56" s="31" t="s">
        <v>66</v>
      </c>
      <c r="AJ56" s="32" t="s">
        <v>6938</v>
      </c>
      <c r="AK56" s="33" t="s">
        <v>67</v>
      </c>
      <c r="AL56" s="34">
        <v>45574</v>
      </c>
      <c r="AM56" s="36" t="s">
        <v>66</v>
      </c>
      <c r="AN56" s="36"/>
      <c r="AO56" s="36"/>
      <c r="AP56" s="36"/>
      <c r="AQ56" s="37">
        <f t="shared" si="3"/>
        <v>0</v>
      </c>
      <c r="AR56" s="38">
        <f t="shared" si="4"/>
        <v>0</v>
      </c>
      <c r="AS56" s="39">
        <f t="shared" si="5"/>
        <v>0</v>
      </c>
      <c r="AT56" s="91"/>
      <c r="AU56" s="92" t="s">
        <v>1356</v>
      </c>
      <c r="AV56" s="93"/>
      <c r="AW56" s="94"/>
      <c r="AX56" s="93"/>
      <c r="AY56" s="95"/>
      <c r="AZ56" s="91"/>
      <c r="BA56" s="92" t="s">
        <v>1356</v>
      </c>
      <c r="BB56" s="93"/>
      <c r="BC56" s="95"/>
      <c r="BD56" s="93"/>
      <c r="BE56" s="95"/>
      <c r="BF56" s="91"/>
      <c r="BG56" s="92" t="s">
        <v>1356</v>
      </c>
      <c r="BH56" s="93"/>
      <c r="BI56" s="95"/>
      <c r="BJ56" s="93"/>
      <c r="BK56" s="95"/>
      <c r="BL56" s="91"/>
      <c r="BM56" s="92" t="s">
        <v>1356</v>
      </c>
      <c r="BN56" s="93"/>
      <c r="BO56" s="95"/>
      <c r="BP56" s="93"/>
      <c r="BQ56" s="95"/>
      <c r="BR56" s="91"/>
      <c r="BS56" s="92" t="s">
        <v>1356</v>
      </c>
      <c r="BT56" s="93"/>
      <c r="BU56" s="95"/>
      <c r="BV56" s="93"/>
      <c r="BW56" s="95"/>
      <c r="BX56" s="113"/>
      <c r="BY56" s="114" t="s">
        <v>1356</v>
      </c>
      <c r="BZ56" s="115"/>
      <c r="CA56" s="116"/>
      <c r="CB56" s="115"/>
      <c r="CC56" s="116"/>
      <c r="CD56" s="113"/>
      <c r="CE56" s="114" t="s">
        <v>1356</v>
      </c>
      <c r="CF56" s="115"/>
      <c r="CG56" s="116"/>
      <c r="CH56" s="115"/>
      <c r="CI56" s="116"/>
      <c r="CJ56" s="113"/>
      <c r="CK56" s="114" t="s">
        <v>1356</v>
      </c>
      <c r="CL56" s="115"/>
      <c r="CM56" s="116"/>
      <c r="CN56" s="115"/>
      <c r="CO56" s="116"/>
      <c r="CP56" s="113"/>
      <c r="CQ56" s="114" t="s">
        <v>1356</v>
      </c>
      <c r="CR56" s="115"/>
      <c r="CS56" s="116"/>
      <c r="CT56" s="115"/>
      <c r="CU56" s="116"/>
      <c r="CV56" s="113"/>
      <c r="CW56" s="114" t="s">
        <v>1356</v>
      </c>
      <c r="CX56" s="115"/>
      <c r="CY56" s="116"/>
      <c r="CZ56" s="115"/>
      <c r="DA56" s="116"/>
      <c r="DB56" s="128" t="s">
        <v>7085</v>
      </c>
      <c r="DC56" s="128" t="s">
        <v>105</v>
      </c>
    </row>
    <row r="57" spans="1:107" s="40" customFormat="1" ht="14.55" customHeight="1" x14ac:dyDescent="0.3">
      <c r="A57" s="42" t="s">
        <v>3456</v>
      </c>
      <c r="B57" s="42" t="s">
        <v>4087</v>
      </c>
      <c r="C57" s="42" t="s">
        <v>2760</v>
      </c>
      <c r="D57" s="42" t="s">
        <v>2761</v>
      </c>
      <c r="E57" s="42" t="s">
        <v>2762</v>
      </c>
      <c r="F57" s="42" t="s">
        <v>169</v>
      </c>
      <c r="G57" s="42" t="s">
        <v>1059</v>
      </c>
      <c r="H57" s="43" t="s">
        <v>6924</v>
      </c>
      <c r="I57" s="44">
        <v>1801</v>
      </c>
      <c r="J57" s="44">
        <v>180150</v>
      </c>
      <c r="K57" s="45">
        <v>3</v>
      </c>
      <c r="L57" s="42" t="s">
        <v>2763</v>
      </c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 t="s">
        <v>2764</v>
      </c>
      <c r="X57" s="42" t="s">
        <v>2765</v>
      </c>
      <c r="Y57" s="42" t="s">
        <v>1731</v>
      </c>
      <c r="Z57" s="42">
        <v>-78.636420000000001</v>
      </c>
      <c r="AA57" s="42">
        <v>-1.227722</v>
      </c>
      <c r="AB57" s="42">
        <v>180150003</v>
      </c>
      <c r="AC57" s="42">
        <v>180150003003</v>
      </c>
      <c r="AD57" s="42">
        <v>180150003003006</v>
      </c>
      <c r="AE57" s="45">
        <v>4</v>
      </c>
      <c r="AF57" s="45" t="s">
        <v>499</v>
      </c>
      <c r="AG57" s="46" t="s">
        <v>66</v>
      </c>
      <c r="AH57" s="47" t="s">
        <v>2766</v>
      </c>
      <c r="AI57" s="48" t="s">
        <v>66</v>
      </c>
      <c r="AJ57" s="49" t="s">
        <v>6938</v>
      </c>
      <c r="AK57" s="50" t="s">
        <v>67</v>
      </c>
      <c r="AL57" s="51">
        <v>45202</v>
      </c>
      <c r="AM57" s="52" t="s">
        <v>66</v>
      </c>
      <c r="AN57" s="42"/>
      <c r="AO57" s="42"/>
      <c r="AP57" s="42"/>
      <c r="AQ57" s="53">
        <f t="shared" si="3"/>
        <v>2</v>
      </c>
      <c r="AR57" s="54">
        <f t="shared" si="4"/>
        <v>0</v>
      </c>
      <c r="AS57" s="55">
        <f t="shared" si="5"/>
        <v>2</v>
      </c>
      <c r="AT57" s="96" t="s">
        <v>1720</v>
      </c>
      <c r="AU57" s="96" t="s">
        <v>1721</v>
      </c>
      <c r="AV57" s="96">
        <v>29.4</v>
      </c>
      <c r="AW57" s="97">
        <v>45588</v>
      </c>
      <c r="AX57" s="96"/>
      <c r="AY57" s="98"/>
      <c r="AZ57" s="96" t="s">
        <v>2483</v>
      </c>
      <c r="BA57" s="96" t="s">
        <v>2484</v>
      </c>
      <c r="BB57" s="96">
        <v>42</v>
      </c>
      <c r="BC57" s="98">
        <v>45588</v>
      </c>
      <c r="BD57" s="96"/>
      <c r="BE57" s="98"/>
      <c r="BF57" s="96"/>
      <c r="BG57" s="96" t="s">
        <v>1356</v>
      </c>
      <c r="BH57" s="96"/>
      <c r="BI57" s="98"/>
      <c r="BJ57" s="96"/>
      <c r="BK57" s="98"/>
      <c r="BL57" s="96"/>
      <c r="BM57" s="96" t="s">
        <v>1356</v>
      </c>
      <c r="BN57" s="96"/>
      <c r="BO57" s="98"/>
      <c r="BP57" s="96"/>
      <c r="BQ57" s="98"/>
      <c r="BR57" s="96"/>
      <c r="BS57" s="96" t="s">
        <v>1356</v>
      </c>
      <c r="BT57" s="96"/>
      <c r="BU57" s="98"/>
      <c r="BV57" s="96"/>
      <c r="BW57" s="98"/>
      <c r="BX57" s="117"/>
      <c r="BY57" s="117" t="s">
        <v>1356</v>
      </c>
      <c r="BZ57" s="117"/>
      <c r="CA57" s="118"/>
      <c r="CB57" s="117"/>
      <c r="CC57" s="118"/>
      <c r="CD57" s="117"/>
      <c r="CE57" s="117" t="s">
        <v>1356</v>
      </c>
      <c r="CF57" s="117"/>
      <c r="CG57" s="118"/>
      <c r="CH57" s="117"/>
      <c r="CI57" s="118"/>
      <c r="CJ57" s="117"/>
      <c r="CK57" s="117" t="s">
        <v>1356</v>
      </c>
      <c r="CL57" s="117"/>
      <c r="CM57" s="118"/>
      <c r="CN57" s="117"/>
      <c r="CO57" s="118"/>
      <c r="CP57" s="117"/>
      <c r="CQ57" s="117" t="s">
        <v>1356</v>
      </c>
      <c r="CR57" s="117"/>
      <c r="CS57" s="118"/>
      <c r="CT57" s="117"/>
      <c r="CU57" s="118"/>
      <c r="CV57" s="117"/>
      <c r="CW57" s="117" t="s">
        <v>1356</v>
      </c>
      <c r="CX57" s="117"/>
      <c r="CY57" s="118"/>
      <c r="CZ57" s="117"/>
      <c r="DA57" s="118"/>
      <c r="DB57" s="129" t="s">
        <v>6962</v>
      </c>
      <c r="DC57" s="130" t="s">
        <v>105</v>
      </c>
    </row>
    <row r="58" spans="1:107" s="40" customFormat="1" ht="14.55" customHeight="1" x14ac:dyDescent="0.3">
      <c r="A58" s="42" t="s">
        <v>3456</v>
      </c>
      <c r="B58" s="42" t="s">
        <v>4051</v>
      </c>
      <c r="C58" s="42" t="s">
        <v>2578</v>
      </c>
      <c r="D58" s="42" t="s">
        <v>2579</v>
      </c>
      <c r="E58" s="42"/>
      <c r="F58" s="42" t="s">
        <v>327</v>
      </c>
      <c r="G58" s="42" t="s">
        <v>2426</v>
      </c>
      <c r="H58" s="43" t="s">
        <v>6925</v>
      </c>
      <c r="I58" s="44">
        <v>501</v>
      </c>
      <c r="J58" s="44">
        <v>50150</v>
      </c>
      <c r="K58" s="45">
        <v>4</v>
      </c>
      <c r="L58" s="42" t="s">
        <v>2580</v>
      </c>
      <c r="M58" s="42" t="s">
        <v>258</v>
      </c>
      <c r="N58" s="42"/>
      <c r="O58" s="42" t="s">
        <v>1498</v>
      </c>
      <c r="P58" s="42"/>
      <c r="Q58" s="42"/>
      <c r="R58" s="42" t="s">
        <v>60</v>
      </c>
      <c r="S58" s="42"/>
      <c r="T58" s="42"/>
      <c r="U58" s="42"/>
      <c r="V58" s="42"/>
      <c r="W58" s="42" t="s">
        <v>2581</v>
      </c>
      <c r="X58" s="42"/>
      <c r="Y58" s="42" t="s">
        <v>2582</v>
      </c>
      <c r="Z58" s="42"/>
      <c r="AA58" s="42"/>
      <c r="AB58" s="42"/>
      <c r="AC58" s="42"/>
      <c r="AD58" s="42"/>
      <c r="AE58" s="45">
        <v>2</v>
      </c>
      <c r="AF58" s="45" t="s">
        <v>64</v>
      </c>
      <c r="AG58" s="46" t="s">
        <v>66</v>
      </c>
      <c r="AH58" s="47" t="s">
        <v>2583</v>
      </c>
      <c r="AI58" s="48" t="s">
        <v>66</v>
      </c>
      <c r="AJ58" s="49" t="s">
        <v>6938</v>
      </c>
      <c r="AK58" s="50" t="s">
        <v>67</v>
      </c>
      <c r="AL58" s="51">
        <v>45205</v>
      </c>
      <c r="AM58" s="52" t="s">
        <v>66</v>
      </c>
      <c r="AN58" s="42"/>
      <c r="AO58" s="42"/>
      <c r="AP58" s="42"/>
      <c r="AQ58" s="53">
        <f t="shared" si="3"/>
        <v>1</v>
      </c>
      <c r="AR58" s="54">
        <f t="shared" si="4"/>
        <v>0</v>
      </c>
      <c r="AS58" s="55">
        <f t="shared" si="5"/>
        <v>1</v>
      </c>
      <c r="AT58" s="96" t="s">
        <v>2584</v>
      </c>
      <c r="AU58" s="96" t="s">
        <v>2585</v>
      </c>
      <c r="AV58" s="96">
        <v>18</v>
      </c>
      <c r="AW58" s="97">
        <v>45575</v>
      </c>
      <c r="AX58" s="96"/>
      <c r="AY58" s="98"/>
      <c r="AZ58" s="96"/>
      <c r="BA58" s="96" t="s">
        <v>1356</v>
      </c>
      <c r="BB58" s="96"/>
      <c r="BC58" s="98"/>
      <c r="BD58" s="96"/>
      <c r="BE58" s="98"/>
      <c r="BF58" s="96"/>
      <c r="BG58" s="96" t="s">
        <v>1356</v>
      </c>
      <c r="BH58" s="96"/>
      <c r="BI58" s="98"/>
      <c r="BJ58" s="96"/>
      <c r="BK58" s="98"/>
      <c r="BL58" s="96"/>
      <c r="BM58" s="96" t="s">
        <v>1356</v>
      </c>
      <c r="BN58" s="96"/>
      <c r="BO58" s="98"/>
      <c r="BP58" s="96"/>
      <c r="BQ58" s="98"/>
      <c r="BR58" s="96"/>
      <c r="BS58" s="96" t="s">
        <v>1356</v>
      </c>
      <c r="BT58" s="96"/>
      <c r="BU58" s="98"/>
      <c r="BV58" s="96"/>
      <c r="BW58" s="98"/>
      <c r="BX58" s="117"/>
      <c r="BY58" s="117" t="s">
        <v>1356</v>
      </c>
      <c r="BZ58" s="117"/>
      <c r="CA58" s="118"/>
      <c r="CB58" s="117"/>
      <c r="CC58" s="118"/>
      <c r="CD58" s="117"/>
      <c r="CE58" s="117" t="s">
        <v>1356</v>
      </c>
      <c r="CF58" s="117"/>
      <c r="CG58" s="118"/>
      <c r="CH58" s="117"/>
      <c r="CI58" s="118"/>
      <c r="CJ58" s="117"/>
      <c r="CK58" s="117" t="s">
        <v>1356</v>
      </c>
      <c r="CL58" s="117"/>
      <c r="CM58" s="118"/>
      <c r="CN58" s="117"/>
      <c r="CO58" s="118"/>
      <c r="CP58" s="117"/>
      <c r="CQ58" s="117" t="s">
        <v>1356</v>
      </c>
      <c r="CR58" s="117"/>
      <c r="CS58" s="118"/>
      <c r="CT58" s="117"/>
      <c r="CU58" s="118"/>
      <c r="CV58" s="117"/>
      <c r="CW58" s="117" t="s">
        <v>1356</v>
      </c>
      <c r="CX58" s="117"/>
      <c r="CY58" s="118"/>
      <c r="CZ58" s="117"/>
      <c r="DA58" s="118"/>
      <c r="DB58" s="129" t="s">
        <v>6962</v>
      </c>
      <c r="DC58" s="130" t="s">
        <v>105</v>
      </c>
    </row>
    <row r="59" spans="1:107" s="40" customFormat="1" ht="14.55" customHeight="1" x14ac:dyDescent="0.3">
      <c r="A59" s="42" t="s">
        <v>3456</v>
      </c>
      <c r="B59" s="42" t="s">
        <v>4083</v>
      </c>
      <c r="C59" s="42" t="s">
        <v>2740</v>
      </c>
      <c r="D59" s="42" t="s">
        <v>2741</v>
      </c>
      <c r="E59" s="42" t="s">
        <v>2742</v>
      </c>
      <c r="F59" s="42" t="s">
        <v>142</v>
      </c>
      <c r="G59" s="42" t="s">
        <v>2426</v>
      </c>
      <c r="H59" s="43" t="s">
        <v>6925</v>
      </c>
      <c r="I59" s="44">
        <v>501</v>
      </c>
      <c r="J59" s="44">
        <v>50154</v>
      </c>
      <c r="K59" s="45">
        <v>4</v>
      </c>
      <c r="L59" s="42" t="s">
        <v>2743</v>
      </c>
      <c r="M59" s="42"/>
      <c r="N59" s="42" t="s">
        <v>2744</v>
      </c>
      <c r="O59" s="42"/>
      <c r="P59" s="42"/>
      <c r="Q59" s="42"/>
      <c r="R59" s="42"/>
      <c r="S59" s="42"/>
      <c r="T59" s="42" t="s">
        <v>2745</v>
      </c>
      <c r="U59" s="42" t="s">
        <v>2746</v>
      </c>
      <c r="V59" s="42"/>
      <c r="W59" s="42" t="s">
        <v>2747</v>
      </c>
      <c r="X59" s="42" t="s">
        <v>2748</v>
      </c>
      <c r="Y59" s="42" t="s">
        <v>2749</v>
      </c>
      <c r="Z59" s="42">
        <v>-78.607499599456787</v>
      </c>
      <c r="AA59" s="42">
        <v>-0.81287517982116464</v>
      </c>
      <c r="AB59" s="42">
        <v>50154999</v>
      </c>
      <c r="AC59" s="42">
        <v>50154999001</v>
      </c>
      <c r="AD59" s="42">
        <v>50154999001001</v>
      </c>
      <c r="AE59" s="45">
        <v>4</v>
      </c>
      <c r="AF59" s="45" t="s">
        <v>499</v>
      </c>
      <c r="AG59" s="46" t="s">
        <v>66</v>
      </c>
      <c r="AH59" s="47" t="s">
        <v>2750</v>
      </c>
      <c r="AI59" s="48" t="s">
        <v>66</v>
      </c>
      <c r="AJ59" s="49" t="s">
        <v>6938</v>
      </c>
      <c r="AK59" s="50" t="s">
        <v>67</v>
      </c>
      <c r="AL59" s="51">
        <v>45205</v>
      </c>
      <c r="AM59" s="52" t="s">
        <v>66</v>
      </c>
      <c r="AN59" s="42"/>
      <c r="AO59" s="42"/>
      <c r="AP59" s="42"/>
      <c r="AQ59" s="53">
        <f t="shared" si="3"/>
        <v>2</v>
      </c>
      <c r="AR59" s="54">
        <f t="shared" si="4"/>
        <v>0</v>
      </c>
      <c r="AS59" s="55">
        <f t="shared" si="5"/>
        <v>2</v>
      </c>
      <c r="AT59" s="96" t="s">
        <v>564</v>
      </c>
      <c r="AU59" s="96" t="s">
        <v>2655</v>
      </c>
      <c r="AV59" s="96">
        <v>10.43</v>
      </c>
      <c r="AW59" s="97">
        <v>45572</v>
      </c>
      <c r="AX59" s="96"/>
      <c r="AY59" s="98"/>
      <c r="AZ59" s="96" t="s">
        <v>540</v>
      </c>
      <c r="BA59" s="96" t="s">
        <v>2205</v>
      </c>
      <c r="BB59" s="96">
        <v>9.17</v>
      </c>
      <c r="BC59" s="98">
        <v>45572</v>
      </c>
      <c r="BD59" s="96"/>
      <c r="BE59" s="98"/>
      <c r="BF59" s="96"/>
      <c r="BG59" s="96" t="s">
        <v>1356</v>
      </c>
      <c r="BH59" s="96"/>
      <c r="BI59" s="98"/>
      <c r="BJ59" s="96"/>
      <c r="BK59" s="98"/>
      <c r="BL59" s="96"/>
      <c r="BM59" s="96" t="s">
        <v>1356</v>
      </c>
      <c r="BN59" s="96"/>
      <c r="BO59" s="98"/>
      <c r="BP59" s="96"/>
      <c r="BQ59" s="98"/>
      <c r="BR59" s="96"/>
      <c r="BS59" s="96" t="s">
        <v>1356</v>
      </c>
      <c r="BT59" s="96"/>
      <c r="BU59" s="98"/>
      <c r="BV59" s="96"/>
      <c r="BW59" s="98"/>
      <c r="BX59" s="117"/>
      <c r="BY59" s="117" t="s">
        <v>1356</v>
      </c>
      <c r="BZ59" s="117"/>
      <c r="CA59" s="118"/>
      <c r="CB59" s="117"/>
      <c r="CC59" s="118"/>
      <c r="CD59" s="117"/>
      <c r="CE59" s="117" t="s">
        <v>1356</v>
      </c>
      <c r="CF59" s="117"/>
      <c r="CG59" s="118"/>
      <c r="CH59" s="117"/>
      <c r="CI59" s="118"/>
      <c r="CJ59" s="117"/>
      <c r="CK59" s="117" t="s">
        <v>1356</v>
      </c>
      <c r="CL59" s="117"/>
      <c r="CM59" s="118"/>
      <c r="CN59" s="117"/>
      <c r="CO59" s="118"/>
      <c r="CP59" s="117"/>
      <c r="CQ59" s="117" t="s">
        <v>1356</v>
      </c>
      <c r="CR59" s="117"/>
      <c r="CS59" s="118"/>
      <c r="CT59" s="117"/>
      <c r="CU59" s="118"/>
      <c r="CV59" s="117"/>
      <c r="CW59" s="117" t="s">
        <v>1356</v>
      </c>
      <c r="CX59" s="117"/>
      <c r="CY59" s="118"/>
      <c r="CZ59" s="117"/>
      <c r="DA59" s="118"/>
      <c r="DB59" s="129" t="s">
        <v>6962</v>
      </c>
      <c r="DC59" s="130" t="s">
        <v>105</v>
      </c>
    </row>
    <row r="60" spans="1:107" s="40" customFormat="1" ht="14.55" customHeight="1" x14ac:dyDescent="0.3">
      <c r="A60" s="42" t="s">
        <v>3456</v>
      </c>
      <c r="B60" s="42" t="s">
        <v>4059</v>
      </c>
      <c r="C60" s="42" t="s">
        <v>2596</v>
      </c>
      <c r="D60" s="42" t="s">
        <v>2597</v>
      </c>
      <c r="E60" s="42" t="s">
        <v>2598</v>
      </c>
      <c r="F60" s="42" t="s">
        <v>71</v>
      </c>
      <c r="G60" s="42" t="s">
        <v>1059</v>
      </c>
      <c r="H60" s="43" t="s">
        <v>6924</v>
      </c>
      <c r="I60" s="44">
        <v>1808</v>
      </c>
      <c r="J60" s="44">
        <v>180850</v>
      </c>
      <c r="K60" s="45">
        <v>3</v>
      </c>
      <c r="L60" s="42" t="s">
        <v>2599</v>
      </c>
      <c r="M60" s="42" t="s">
        <v>258</v>
      </c>
      <c r="N60" s="42" t="s">
        <v>2600</v>
      </c>
      <c r="O60" s="42"/>
      <c r="P60" s="42"/>
      <c r="Q60" s="42" t="s">
        <v>2598</v>
      </c>
      <c r="R60" s="42" t="s">
        <v>391</v>
      </c>
      <c r="S60" s="42"/>
      <c r="T60" s="42"/>
      <c r="U60" s="42" t="s">
        <v>2601</v>
      </c>
      <c r="V60" s="42"/>
      <c r="W60" s="42" t="s">
        <v>2602</v>
      </c>
      <c r="X60" s="42" t="s">
        <v>2603</v>
      </c>
      <c r="Y60" s="42" t="s">
        <v>2604</v>
      </c>
      <c r="Z60" s="42">
        <v>-78.557350337505341</v>
      </c>
      <c r="AA60" s="42">
        <v>-1.1721830366135879</v>
      </c>
      <c r="AB60" s="42">
        <v>180850001</v>
      </c>
      <c r="AC60" s="42">
        <v>180850001009</v>
      </c>
      <c r="AD60" s="42">
        <v>180850001009001</v>
      </c>
      <c r="AE60" s="45">
        <v>3</v>
      </c>
      <c r="AF60" s="45" t="s">
        <v>377</v>
      </c>
      <c r="AG60" s="46" t="s">
        <v>66</v>
      </c>
      <c r="AH60" s="47" t="s">
        <v>2605</v>
      </c>
      <c r="AI60" s="48" t="s">
        <v>66</v>
      </c>
      <c r="AJ60" s="49" t="s">
        <v>6938</v>
      </c>
      <c r="AK60" s="50" t="s">
        <v>67</v>
      </c>
      <c r="AL60" s="51">
        <v>45209</v>
      </c>
      <c r="AM60" s="52" t="s">
        <v>66</v>
      </c>
      <c r="AN60" s="42"/>
      <c r="AO60" s="42"/>
      <c r="AP60" s="42"/>
      <c r="AQ60" s="53">
        <f t="shared" si="3"/>
        <v>4</v>
      </c>
      <c r="AR60" s="54">
        <f t="shared" si="4"/>
        <v>0</v>
      </c>
      <c r="AS60" s="55">
        <f t="shared" si="5"/>
        <v>4</v>
      </c>
      <c r="AT60" s="96" t="s">
        <v>1418</v>
      </c>
      <c r="AU60" s="96" t="s">
        <v>2177</v>
      </c>
      <c r="AV60" s="96">
        <v>5.38</v>
      </c>
      <c r="AW60" s="97">
        <v>45575</v>
      </c>
      <c r="AX60" s="96"/>
      <c r="AY60" s="98"/>
      <c r="AZ60" s="96" t="s">
        <v>2194</v>
      </c>
      <c r="BA60" s="96" t="s">
        <v>2195</v>
      </c>
      <c r="BB60" s="96">
        <v>1.47</v>
      </c>
      <c r="BC60" s="98">
        <v>45575</v>
      </c>
      <c r="BD60" s="96"/>
      <c r="BE60" s="98"/>
      <c r="BF60" s="96" t="s">
        <v>2175</v>
      </c>
      <c r="BG60" s="96" t="s">
        <v>1420</v>
      </c>
      <c r="BH60" s="96">
        <v>1.9</v>
      </c>
      <c r="BI60" s="98">
        <v>45575</v>
      </c>
      <c r="BJ60" s="96"/>
      <c r="BK60" s="98"/>
      <c r="BL60" s="96" t="s">
        <v>2422</v>
      </c>
      <c r="BM60" s="96" t="s">
        <v>2423</v>
      </c>
      <c r="BN60" s="96">
        <v>2.23</v>
      </c>
      <c r="BO60" s="98">
        <v>45575</v>
      </c>
      <c r="BP60" s="96"/>
      <c r="BQ60" s="98"/>
      <c r="BR60" s="96"/>
      <c r="BS60" s="96" t="s">
        <v>1356</v>
      </c>
      <c r="BT60" s="96"/>
      <c r="BU60" s="98"/>
      <c r="BV60" s="96"/>
      <c r="BW60" s="98"/>
      <c r="BX60" s="117"/>
      <c r="BY60" s="117" t="s">
        <v>1356</v>
      </c>
      <c r="BZ60" s="117"/>
      <c r="CA60" s="118"/>
      <c r="CB60" s="117"/>
      <c r="CC60" s="118"/>
      <c r="CD60" s="117"/>
      <c r="CE60" s="117" t="s">
        <v>1356</v>
      </c>
      <c r="CF60" s="117"/>
      <c r="CG60" s="118"/>
      <c r="CH60" s="117"/>
      <c r="CI60" s="118"/>
      <c r="CJ60" s="117"/>
      <c r="CK60" s="117" t="s">
        <v>1356</v>
      </c>
      <c r="CL60" s="117"/>
      <c r="CM60" s="118"/>
      <c r="CN60" s="117"/>
      <c r="CO60" s="118"/>
      <c r="CP60" s="117"/>
      <c r="CQ60" s="117" t="s">
        <v>1356</v>
      </c>
      <c r="CR60" s="117"/>
      <c r="CS60" s="118"/>
      <c r="CT60" s="117"/>
      <c r="CU60" s="118"/>
      <c r="CV60" s="117"/>
      <c r="CW60" s="117" t="s">
        <v>1356</v>
      </c>
      <c r="CX60" s="117"/>
      <c r="CY60" s="118"/>
      <c r="CZ60" s="117"/>
      <c r="DA60" s="118"/>
      <c r="DB60" s="129" t="s">
        <v>6962</v>
      </c>
      <c r="DC60" s="130" t="s">
        <v>105</v>
      </c>
    </row>
    <row r="61" spans="1:107" s="40" customFormat="1" ht="14.55" customHeight="1" x14ac:dyDescent="0.3">
      <c r="A61" s="42" t="s">
        <v>3456</v>
      </c>
      <c r="B61" s="42" t="s">
        <v>4026</v>
      </c>
      <c r="C61" s="42" t="s">
        <v>2436</v>
      </c>
      <c r="D61" s="42" t="s">
        <v>2437</v>
      </c>
      <c r="E61" s="42" t="s">
        <v>70</v>
      </c>
      <c r="F61" s="42" t="s">
        <v>1424</v>
      </c>
      <c r="G61" s="42" t="s">
        <v>1059</v>
      </c>
      <c r="H61" s="43" t="s">
        <v>6924</v>
      </c>
      <c r="I61" s="44">
        <v>1801</v>
      </c>
      <c r="J61" s="44">
        <v>180156</v>
      </c>
      <c r="K61" s="45">
        <v>4</v>
      </c>
      <c r="L61" s="42" t="s">
        <v>2438</v>
      </c>
      <c r="M61" s="42"/>
      <c r="N61" s="42" t="s">
        <v>2439</v>
      </c>
      <c r="O61" s="42"/>
      <c r="P61" s="42"/>
      <c r="Q61" s="42"/>
      <c r="R61" s="42"/>
      <c r="S61" s="42"/>
      <c r="T61" s="42"/>
      <c r="U61" s="42"/>
      <c r="V61" s="42"/>
      <c r="W61" s="42" t="s">
        <v>2440</v>
      </c>
      <c r="X61" s="42" t="s">
        <v>2441</v>
      </c>
      <c r="Y61" s="42" t="s">
        <v>2442</v>
      </c>
      <c r="Z61" s="42"/>
      <c r="AA61" s="42"/>
      <c r="AB61" s="42"/>
      <c r="AC61" s="42"/>
      <c r="AD61" s="42"/>
      <c r="AE61" s="45">
        <v>2</v>
      </c>
      <c r="AF61" s="45" t="s">
        <v>64</v>
      </c>
      <c r="AG61" s="46" t="s">
        <v>66</v>
      </c>
      <c r="AH61" s="47" t="s">
        <v>2443</v>
      </c>
      <c r="AI61" s="48" t="s">
        <v>66</v>
      </c>
      <c r="AJ61" s="49" t="s">
        <v>6938</v>
      </c>
      <c r="AK61" s="50" t="s">
        <v>67</v>
      </c>
      <c r="AL61" s="51">
        <v>45272</v>
      </c>
      <c r="AM61" s="52" t="s">
        <v>66</v>
      </c>
      <c r="AN61" s="42"/>
      <c r="AO61" s="42"/>
      <c r="AP61" s="42"/>
      <c r="AQ61" s="53">
        <f t="shared" si="3"/>
        <v>2</v>
      </c>
      <c r="AR61" s="54">
        <f t="shared" si="4"/>
        <v>0</v>
      </c>
      <c r="AS61" s="55">
        <f t="shared" si="5"/>
        <v>2</v>
      </c>
      <c r="AT61" s="96" t="s">
        <v>2444</v>
      </c>
      <c r="AU61" s="96" t="s">
        <v>2445</v>
      </c>
      <c r="AV61" s="96">
        <v>48</v>
      </c>
      <c r="AW61" s="97">
        <v>45602</v>
      </c>
      <c r="AX61" s="96"/>
      <c r="AY61" s="98"/>
      <c r="AZ61" s="96" t="s">
        <v>1438</v>
      </c>
      <c r="BA61" s="96" t="s">
        <v>1439</v>
      </c>
      <c r="BB61" s="96">
        <v>31.2</v>
      </c>
      <c r="BC61" s="98">
        <v>45602</v>
      </c>
      <c r="BD61" s="96"/>
      <c r="BE61" s="98"/>
      <c r="BF61" s="96"/>
      <c r="BG61" s="96" t="s">
        <v>1356</v>
      </c>
      <c r="BH61" s="96"/>
      <c r="BI61" s="98"/>
      <c r="BJ61" s="96"/>
      <c r="BK61" s="98"/>
      <c r="BL61" s="96"/>
      <c r="BM61" s="96" t="s">
        <v>1356</v>
      </c>
      <c r="BN61" s="96"/>
      <c r="BO61" s="98"/>
      <c r="BP61" s="96"/>
      <c r="BQ61" s="98"/>
      <c r="BR61" s="96"/>
      <c r="BS61" s="96" t="s">
        <v>1356</v>
      </c>
      <c r="BT61" s="96"/>
      <c r="BU61" s="98"/>
      <c r="BV61" s="96"/>
      <c r="BW61" s="98"/>
      <c r="BX61" s="117"/>
      <c r="BY61" s="117" t="s">
        <v>1356</v>
      </c>
      <c r="BZ61" s="117"/>
      <c r="CA61" s="118"/>
      <c r="CB61" s="117"/>
      <c r="CC61" s="118"/>
      <c r="CD61" s="117"/>
      <c r="CE61" s="117" t="s">
        <v>1356</v>
      </c>
      <c r="CF61" s="117"/>
      <c r="CG61" s="118"/>
      <c r="CH61" s="117"/>
      <c r="CI61" s="118"/>
      <c r="CJ61" s="117"/>
      <c r="CK61" s="117" t="s">
        <v>1356</v>
      </c>
      <c r="CL61" s="117"/>
      <c r="CM61" s="118"/>
      <c r="CN61" s="117"/>
      <c r="CO61" s="118"/>
      <c r="CP61" s="117"/>
      <c r="CQ61" s="117" t="s">
        <v>1356</v>
      </c>
      <c r="CR61" s="117"/>
      <c r="CS61" s="118"/>
      <c r="CT61" s="117"/>
      <c r="CU61" s="118"/>
      <c r="CV61" s="117"/>
      <c r="CW61" s="117" t="s">
        <v>1356</v>
      </c>
      <c r="CX61" s="117"/>
      <c r="CY61" s="118"/>
      <c r="CZ61" s="117"/>
      <c r="DA61" s="118"/>
      <c r="DB61" s="129" t="s">
        <v>6962</v>
      </c>
      <c r="DC61" s="130" t="s">
        <v>105</v>
      </c>
    </row>
    <row r="62" spans="1:107" s="40" customFormat="1" ht="14.55" customHeight="1" x14ac:dyDescent="0.3">
      <c r="A62" s="42" t="s">
        <v>3456</v>
      </c>
      <c r="B62" s="42" t="s">
        <v>4023</v>
      </c>
      <c r="C62" s="42" t="s">
        <v>2424</v>
      </c>
      <c r="D62" s="42" t="s">
        <v>2425</v>
      </c>
      <c r="E62" s="42" t="s">
        <v>2425</v>
      </c>
      <c r="F62" s="42" t="s">
        <v>2164</v>
      </c>
      <c r="G62" s="42" t="s">
        <v>2426</v>
      </c>
      <c r="H62" s="43" t="s">
        <v>6925</v>
      </c>
      <c r="I62" s="44">
        <v>501</v>
      </c>
      <c r="J62" s="44">
        <v>50150</v>
      </c>
      <c r="K62" s="45">
        <v>4</v>
      </c>
      <c r="L62" s="42" t="s">
        <v>2427</v>
      </c>
      <c r="M62" s="42" t="s">
        <v>2428</v>
      </c>
      <c r="N62" s="42" t="s">
        <v>2429</v>
      </c>
      <c r="O62" s="42"/>
      <c r="P62" s="42"/>
      <c r="Q62" s="42"/>
      <c r="R62" s="42"/>
      <c r="S62" s="42"/>
      <c r="T62" s="42"/>
      <c r="U62" s="42"/>
      <c r="V62" s="42"/>
      <c r="W62" s="42" t="s">
        <v>2430</v>
      </c>
      <c r="X62" s="42" t="s">
        <v>2431</v>
      </c>
      <c r="Y62" s="42" t="s">
        <v>2432</v>
      </c>
      <c r="Z62" s="42">
        <v>-78.607120752334595</v>
      </c>
      <c r="AA62" s="42">
        <v>-0.92602336406707997</v>
      </c>
      <c r="AB62" s="42">
        <v>50150005</v>
      </c>
      <c r="AC62" s="42">
        <v>50150005004</v>
      </c>
      <c r="AD62" s="42">
        <v>50150005004004</v>
      </c>
      <c r="AE62" s="45">
        <v>2</v>
      </c>
      <c r="AF62" s="45" t="s">
        <v>64</v>
      </c>
      <c r="AG62" s="46" t="s">
        <v>66</v>
      </c>
      <c r="AH62" s="47" t="s">
        <v>2433</v>
      </c>
      <c r="AI62" s="48" t="s">
        <v>66</v>
      </c>
      <c r="AJ62" s="49" t="s">
        <v>6938</v>
      </c>
      <c r="AK62" s="50" t="s">
        <v>67</v>
      </c>
      <c r="AL62" s="51">
        <v>45274</v>
      </c>
      <c r="AM62" s="52" t="s">
        <v>66</v>
      </c>
      <c r="AN62" s="42"/>
      <c r="AO62" s="42"/>
      <c r="AP62" s="42"/>
      <c r="AQ62" s="53">
        <f t="shared" si="3"/>
        <v>1</v>
      </c>
      <c r="AR62" s="54">
        <f t="shared" si="4"/>
        <v>0</v>
      </c>
      <c r="AS62" s="55">
        <f t="shared" si="5"/>
        <v>1</v>
      </c>
      <c r="AT62" s="96" t="s">
        <v>2434</v>
      </c>
      <c r="AU62" s="96" t="s">
        <v>2435</v>
      </c>
      <c r="AV62" s="96">
        <v>2.4</v>
      </c>
      <c r="AW62" s="97">
        <v>45569</v>
      </c>
      <c r="AX62" s="96"/>
      <c r="AY62" s="98"/>
      <c r="AZ62" s="96"/>
      <c r="BA62" s="96" t="s">
        <v>1356</v>
      </c>
      <c r="BB62" s="96"/>
      <c r="BC62" s="98"/>
      <c r="BD62" s="96"/>
      <c r="BE62" s="98"/>
      <c r="BF62" s="96"/>
      <c r="BG62" s="96" t="s">
        <v>1356</v>
      </c>
      <c r="BH62" s="96"/>
      <c r="BI62" s="98"/>
      <c r="BJ62" s="96"/>
      <c r="BK62" s="98"/>
      <c r="BL62" s="96"/>
      <c r="BM62" s="96" t="s">
        <v>1356</v>
      </c>
      <c r="BN62" s="96"/>
      <c r="BO62" s="98"/>
      <c r="BP62" s="96"/>
      <c r="BQ62" s="98"/>
      <c r="BR62" s="96"/>
      <c r="BS62" s="96" t="s">
        <v>1356</v>
      </c>
      <c r="BT62" s="96"/>
      <c r="BU62" s="98"/>
      <c r="BV62" s="96"/>
      <c r="BW62" s="98"/>
      <c r="BX62" s="117"/>
      <c r="BY62" s="117" t="s">
        <v>1356</v>
      </c>
      <c r="BZ62" s="117"/>
      <c r="CA62" s="118"/>
      <c r="CB62" s="117"/>
      <c r="CC62" s="118"/>
      <c r="CD62" s="117"/>
      <c r="CE62" s="117" t="s">
        <v>1356</v>
      </c>
      <c r="CF62" s="117"/>
      <c r="CG62" s="118"/>
      <c r="CH62" s="117"/>
      <c r="CI62" s="118"/>
      <c r="CJ62" s="117"/>
      <c r="CK62" s="117" t="s">
        <v>1356</v>
      </c>
      <c r="CL62" s="117"/>
      <c r="CM62" s="118"/>
      <c r="CN62" s="117"/>
      <c r="CO62" s="118"/>
      <c r="CP62" s="117"/>
      <c r="CQ62" s="117" t="s">
        <v>1356</v>
      </c>
      <c r="CR62" s="117"/>
      <c r="CS62" s="118"/>
      <c r="CT62" s="117"/>
      <c r="CU62" s="118"/>
      <c r="CV62" s="117"/>
      <c r="CW62" s="117" t="s">
        <v>1356</v>
      </c>
      <c r="CX62" s="117"/>
      <c r="CY62" s="118"/>
      <c r="CZ62" s="117"/>
      <c r="DA62" s="118"/>
      <c r="DB62" s="129" t="s">
        <v>6962</v>
      </c>
      <c r="DC62" s="130" t="s">
        <v>105</v>
      </c>
    </row>
    <row r="63" spans="1:107" s="40" customFormat="1" ht="14.55" customHeight="1" x14ac:dyDescent="0.3">
      <c r="A63" s="42" t="s">
        <v>4108</v>
      </c>
      <c r="B63" s="42" t="s">
        <v>4211</v>
      </c>
      <c r="C63" s="42" t="s">
        <v>4212</v>
      </c>
      <c r="D63" s="42" t="s">
        <v>3256</v>
      </c>
      <c r="E63" s="42" t="s">
        <v>3257</v>
      </c>
      <c r="F63" s="42" t="s">
        <v>3036</v>
      </c>
      <c r="G63" s="42" t="s">
        <v>2928</v>
      </c>
      <c r="H63" s="43" t="s">
        <v>6929</v>
      </c>
      <c r="I63" s="44">
        <v>707</v>
      </c>
      <c r="J63" s="44">
        <v>70750</v>
      </c>
      <c r="K63" s="45">
        <v>4</v>
      </c>
      <c r="L63" s="42" t="s">
        <v>3258</v>
      </c>
      <c r="M63" s="42"/>
      <c r="N63" s="42" t="s">
        <v>810</v>
      </c>
      <c r="O63" s="42"/>
      <c r="P63" s="42" t="s">
        <v>3259</v>
      </c>
      <c r="Q63" s="42" t="s">
        <v>3260</v>
      </c>
      <c r="R63" s="42" t="s">
        <v>60</v>
      </c>
      <c r="S63" s="42"/>
      <c r="T63" s="42" t="s">
        <v>3259</v>
      </c>
      <c r="U63" s="42"/>
      <c r="V63" s="42"/>
      <c r="W63" s="42" t="s">
        <v>3261</v>
      </c>
      <c r="X63" s="42" t="s">
        <v>3262</v>
      </c>
      <c r="Y63" s="42" t="s">
        <v>3263</v>
      </c>
      <c r="Z63" s="42"/>
      <c r="AA63" s="42"/>
      <c r="AB63" s="42">
        <v>70750017</v>
      </c>
      <c r="AC63" s="42">
        <v>70750017007</v>
      </c>
      <c r="AD63" s="42">
        <v>70750017007034</v>
      </c>
      <c r="AE63" s="45">
        <v>5</v>
      </c>
      <c r="AF63" s="45" t="s">
        <v>772</v>
      </c>
      <c r="AG63" s="46" t="s">
        <v>66</v>
      </c>
      <c r="AH63" s="47" t="s">
        <v>3264</v>
      </c>
      <c r="AI63" s="48" t="s">
        <v>66</v>
      </c>
      <c r="AJ63" s="49" t="s">
        <v>6938</v>
      </c>
      <c r="AK63" s="50" t="s">
        <v>67</v>
      </c>
      <c r="AL63" s="51">
        <v>45481</v>
      </c>
      <c r="AM63" s="52" t="s">
        <v>66</v>
      </c>
      <c r="AN63" s="42"/>
      <c r="AO63" s="42"/>
      <c r="AP63" s="42"/>
      <c r="AQ63" s="53">
        <f t="shared" si="3"/>
        <v>4</v>
      </c>
      <c r="AR63" s="54">
        <f t="shared" si="4"/>
        <v>0</v>
      </c>
      <c r="AS63" s="55">
        <f t="shared" si="5"/>
        <v>4</v>
      </c>
      <c r="AT63" s="96" t="s">
        <v>3241</v>
      </c>
      <c r="AU63" s="96" t="s">
        <v>3361</v>
      </c>
      <c r="AV63" s="96">
        <v>3.25</v>
      </c>
      <c r="AW63" s="97">
        <v>45574</v>
      </c>
      <c r="AX63" s="96">
        <v>3.5</v>
      </c>
      <c r="AY63" s="98">
        <v>45616</v>
      </c>
      <c r="AZ63" s="96" t="s">
        <v>3241</v>
      </c>
      <c r="BA63" s="96" t="s">
        <v>3361</v>
      </c>
      <c r="BB63" s="96">
        <v>3.35</v>
      </c>
      <c r="BC63" s="98">
        <v>45574</v>
      </c>
      <c r="BD63" s="96">
        <v>3.4</v>
      </c>
      <c r="BE63" s="98">
        <v>45616</v>
      </c>
      <c r="BF63" s="96" t="s">
        <v>3242</v>
      </c>
      <c r="BG63" s="96" t="s">
        <v>3362</v>
      </c>
      <c r="BH63" s="96">
        <v>2.0499999999999998</v>
      </c>
      <c r="BI63" s="98">
        <v>45574</v>
      </c>
      <c r="BJ63" s="96">
        <v>2.5499999999999998</v>
      </c>
      <c r="BK63" s="98">
        <v>45616</v>
      </c>
      <c r="BL63" s="96" t="s">
        <v>3242</v>
      </c>
      <c r="BM63" s="96" t="s">
        <v>3362</v>
      </c>
      <c r="BN63" s="96">
        <v>2.5499999999999998</v>
      </c>
      <c r="BO63" s="98">
        <v>45574</v>
      </c>
      <c r="BP63" s="96">
        <v>2.75</v>
      </c>
      <c r="BQ63" s="98">
        <v>45616</v>
      </c>
      <c r="BR63" s="96"/>
      <c r="BS63" s="96" t="s">
        <v>1356</v>
      </c>
      <c r="BT63" s="96"/>
      <c r="BU63" s="98"/>
      <c r="BV63" s="96"/>
      <c r="BW63" s="98"/>
      <c r="BX63" s="117"/>
      <c r="BY63" s="117" t="s">
        <v>1356</v>
      </c>
      <c r="BZ63" s="117"/>
      <c r="CA63" s="118"/>
      <c r="CB63" s="117"/>
      <c r="CC63" s="118"/>
      <c r="CD63" s="117"/>
      <c r="CE63" s="117" t="s">
        <v>1356</v>
      </c>
      <c r="CF63" s="117"/>
      <c r="CG63" s="118"/>
      <c r="CH63" s="117"/>
      <c r="CI63" s="118"/>
      <c r="CJ63" s="117"/>
      <c r="CK63" s="117" t="s">
        <v>1356</v>
      </c>
      <c r="CL63" s="117"/>
      <c r="CM63" s="118"/>
      <c r="CN63" s="117"/>
      <c r="CO63" s="118"/>
      <c r="CP63" s="117"/>
      <c r="CQ63" s="117" t="s">
        <v>1356</v>
      </c>
      <c r="CR63" s="117"/>
      <c r="CS63" s="118"/>
      <c r="CT63" s="117"/>
      <c r="CU63" s="118"/>
      <c r="CV63" s="117"/>
      <c r="CW63" s="117" t="s">
        <v>1356</v>
      </c>
      <c r="CX63" s="117"/>
      <c r="CY63" s="118"/>
      <c r="CZ63" s="117"/>
      <c r="DA63" s="118"/>
      <c r="DB63" s="129" t="s">
        <v>6962</v>
      </c>
      <c r="DC63" s="130" t="s">
        <v>105</v>
      </c>
    </row>
    <row r="64" spans="1:107" s="40" customFormat="1" ht="14.55" customHeight="1" x14ac:dyDescent="0.3">
      <c r="A64" s="42" t="s">
        <v>4219</v>
      </c>
      <c r="B64" s="42" t="s">
        <v>5948</v>
      </c>
      <c r="C64" s="42" t="s">
        <v>5949</v>
      </c>
      <c r="D64" s="42" t="s">
        <v>5950</v>
      </c>
      <c r="E64" s="42" t="s">
        <v>5951</v>
      </c>
      <c r="F64" s="42" t="s">
        <v>3036</v>
      </c>
      <c r="G64" s="42" t="s">
        <v>4237</v>
      </c>
      <c r="H64" s="43" t="s">
        <v>686</v>
      </c>
      <c r="I64" s="44">
        <v>907</v>
      </c>
      <c r="J64" s="44">
        <v>90750</v>
      </c>
      <c r="K64" s="45">
        <v>4</v>
      </c>
      <c r="L64" s="42" t="s">
        <v>5952</v>
      </c>
      <c r="M64" s="42"/>
      <c r="N64" s="42" t="s">
        <v>5953</v>
      </c>
      <c r="O64" s="42" t="s">
        <v>693</v>
      </c>
      <c r="P64" s="42" t="s">
        <v>5954</v>
      </c>
      <c r="Q64" s="42"/>
      <c r="R64" s="42" t="s">
        <v>60</v>
      </c>
      <c r="S64" s="42"/>
      <c r="T64" s="42"/>
      <c r="U64" s="42"/>
      <c r="V64" s="42"/>
      <c r="W64" s="42" t="s">
        <v>5955</v>
      </c>
      <c r="X64" s="42" t="s">
        <v>5956</v>
      </c>
      <c r="Y64" s="42" t="s">
        <v>5957</v>
      </c>
      <c r="Z64" s="42"/>
      <c r="AA64" s="42"/>
      <c r="AB64" s="42">
        <v>90750072</v>
      </c>
      <c r="AC64" s="42">
        <v>90750072006</v>
      </c>
      <c r="AD64" s="42">
        <v>90750072006009</v>
      </c>
      <c r="AE64" s="45">
        <v>5</v>
      </c>
      <c r="AF64" s="45" t="s">
        <v>772</v>
      </c>
      <c r="AG64" s="46" t="s">
        <v>66</v>
      </c>
      <c r="AH64" s="47" t="s">
        <v>5958</v>
      </c>
      <c r="AI64" s="48" t="s">
        <v>66</v>
      </c>
      <c r="AJ64" s="49" t="s">
        <v>6938</v>
      </c>
      <c r="AK64" s="50" t="s">
        <v>67</v>
      </c>
      <c r="AL64" s="34">
        <v>45547</v>
      </c>
      <c r="AM64" s="52" t="s">
        <v>66</v>
      </c>
      <c r="AN64" s="42"/>
      <c r="AO64" s="42"/>
      <c r="AP64" s="42"/>
      <c r="AQ64" s="53">
        <f t="shared" si="3"/>
        <v>1</v>
      </c>
      <c r="AR64" s="54">
        <f t="shared" si="4"/>
        <v>0</v>
      </c>
      <c r="AS64" s="55">
        <f t="shared" si="5"/>
        <v>1</v>
      </c>
      <c r="AT64" s="96" t="s">
        <v>3242</v>
      </c>
      <c r="AU64" s="96" t="s">
        <v>3362</v>
      </c>
      <c r="AV64" s="96" t="s">
        <v>6823</v>
      </c>
      <c r="AW64" s="97" t="s">
        <v>6824</v>
      </c>
      <c r="AX64" s="96" t="s">
        <v>6823</v>
      </c>
      <c r="AY64" s="98" t="s">
        <v>6824</v>
      </c>
      <c r="AZ64" s="96"/>
      <c r="BA64" s="96" t="s">
        <v>1356</v>
      </c>
      <c r="BB64" s="96"/>
      <c r="BC64" s="98"/>
      <c r="BD64" s="96"/>
      <c r="BE64" s="98"/>
      <c r="BF64" s="96"/>
      <c r="BG64" s="96" t="s">
        <v>1356</v>
      </c>
      <c r="BH64" s="96"/>
      <c r="BI64" s="98"/>
      <c r="BJ64" s="96"/>
      <c r="BK64" s="98"/>
      <c r="BL64" s="96"/>
      <c r="BM64" s="96" t="s">
        <v>1356</v>
      </c>
      <c r="BN64" s="96"/>
      <c r="BO64" s="98"/>
      <c r="BP64" s="96"/>
      <c r="BQ64" s="98"/>
      <c r="BR64" s="96"/>
      <c r="BS64" s="96" t="s">
        <v>1356</v>
      </c>
      <c r="BT64" s="96"/>
      <c r="BU64" s="98"/>
      <c r="BV64" s="96"/>
      <c r="BW64" s="98"/>
      <c r="BX64" s="117"/>
      <c r="BY64" s="117" t="s">
        <v>1356</v>
      </c>
      <c r="BZ64" s="117"/>
      <c r="CA64" s="118"/>
      <c r="CB64" s="117"/>
      <c r="CC64" s="118"/>
      <c r="CD64" s="117"/>
      <c r="CE64" s="117" t="s">
        <v>1356</v>
      </c>
      <c r="CF64" s="117"/>
      <c r="CG64" s="118"/>
      <c r="CH64" s="117"/>
      <c r="CI64" s="118"/>
      <c r="CJ64" s="117"/>
      <c r="CK64" s="117" t="s">
        <v>1356</v>
      </c>
      <c r="CL64" s="117"/>
      <c r="CM64" s="118"/>
      <c r="CN64" s="117"/>
      <c r="CO64" s="118"/>
      <c r="CP64" s="117"/>
      <c r="CQ64" s="117" t="s">
        <v>1356</v>
      </c>
      <c r="CR64" s="117"/>
      <c r="CS64" s="118"/>
      <c r="CT64" s="117"/>
      <c r="CU64" s="118"/>
      <c r="CV64" s="117"/>
      <c r="CW64" s="117" t="s">
        <v>1356</v>
      </c>
      <c r="CX64" s="117"/>
      <c r="CY64" s="118"/>
      <c r="CZ64" s="117"/>
      <c r="DA64" s="118"/>
      <c r="DB64" s="129" t="s">
        <v>6962</v>
      </c>
      <c r="DC64" s="130" t="s">
        <v>105</v>
      </c>
    </row>
    <row r="65" spans="1:107" s="40" customFormat="1" ht="14.55" customHeight="1" x14ac:dyDescent="0.3">
      <c r="A65" s="25" t="s">
        <v>3500</v>
      </c>
      <c r="B65" s="25" t="s">
        <v>3615</v>
      </c>
      <c r="C65" s="60" t="s">
        <v>3616</v>
      </c>
      <c r="D65" s="25" t="s">
        <v>675</v>
      </c>
      <c r="E65" s="25" t="s">
        <v>70</v>
      </c>
      <c r="F65" s="25" t="s">
        <v>243</v>
      </c>
      <c r="G65" s="26" t="s">
        <v>72</v>
      </c>
      <c r="H65" s="27" t="s">
        <v>251</v>
      </c>
      <c r="I65" s="26">
        <v>1701</v>
      </c>
      <c r="J65" s="26">
        <v>170150</v>
      </c>
      <c r="K65" s="28">
        <v>4</v>
      </c>
      <c r="L65" s="25" t="s">
        <v>676</v>
      </c>
      <c r="M65" s="25" t="s">
        <v>677</v>
      </c>
      <c r="N65" s="25" t="s">
        <v>678</v>
      </c>
      <c r="O65" s="25"/>
      <c r="P65" s="25"/>
      <c r="Q65" s="25" t="s">
        <v>679</v>
      </c>
      <c r="R65" s="25" t="s">
        <v>680</v>
      </c>
      <c r="S65" s="25" t="s">
        <v>681</v>
      </c>
      <c r="T65" s="25"/>
      <c r="U65" s="25" t="s">
        <v>682</v>
      </c>
      <c r="V65" s="25"/>
      <c r="W65" s="25" t="s">
        <v>683</v>
      </c>
      <c r="X65" s="25" t="s">
        <v>684</v>
      </c>
      <c r="Y65" s="25" t="s">
        <v>685</v>
      </c>
      <c r="Z65" s="25">
        <v>-78.479639000000006</v>
      </c>
      <c r="AA65" s="25">
        <v>-0.18071499999999999</v>
      </c>
      <c r="AB65" s="25">
        <v>170150154</v>
      </c>
      <c r="AC65" s="25">
        <v>170150154013</v>
      </c>
      <c r="AD65" s="25">
        <v>170150154013001</v>
      </c>
      <c r="AE65" s="28">
        <v>4</v>
      </c>
      <c r="AF65" s="28" t="s">
        <v>499</v>
      </c>
      <c r="AG65" s="29" t="s">
        <v>65</v>
      </c>
      <c r="AH65" s="30"/>
      <c r="AI65" s="31" t="s">
        <v>66</v>
      </c>
      <c r="AJ65" s="32" t="s">
        <v>6938</v>
      </c>
      <c r="AK65" s="33" t="s">
        <v>67</v>
      </c>
      <c r="AL65" s="34">
        <v>45562</v>
      </c>
      <c r="AM65" s="36" t="s">
        <v>65</v>
      </c>
      <c r="AN65" s="36" t="s">
        <v>686</v>
      </c>
      <c r="AO65" s="36" t="s">
        <v>687</v>
      </c>
      <c r="AP65" s="36" t="s">
        <v>688</v>
      </c>
      <c r="AQ65" s="37">
        <f t="shared" si="3"/>
        <v>0</v>
      </c>
      <c r="AR65" s="38">
        <f t="shared" si="4"/>
        <v>0</v>
      </c>
      <c r="AS65" s="39">
        <f t="shared" si="5"/>
        <v>0</v>
      </c>
      <c r="AT65" s="91"/>
      <c r="AU65" s="92" t="s">
        <v>1356</v>
      </c>
      <c r="AV65" s="93"/>
      <c r="AW65" s="94"/>
      <c r="AX65" s="93"/>
      <c r="AY65" s="95"/>
      <c r="AZ65" s="91"/>
      <c r="BA65" s="92" t="s">
        <v>1356</v>
      </c>
      <c r="BB65" s="93"/>
      <c r="BC65" s="95"/>
      <c r="BD65" s="93"/>
      <c r="BE65" s="95"/>
      <c r="BF65" s="91"/>
      <c r="BG65" s="92" t="s">
        <v>1356</v>
      </c>
      <c r="BH65" s="93"/>
      <c r="BI65" s="95"/>
      <c r="BJ65" s="93"/>
      <c r="BK65" s="95"/>
      <c r="BL65" s="91"/>
      <c r="BM65" s="92" t="s">
        <v>1356</v>
      </c>
      <c r="BN65" s="93"/>
      <c r="BO65" s="95"/>
      <c r="BP65" s="93"/>
      <c r="BQ65" s="95"/>
      <c r="BR65" s="91"/>
      <c r="BS65" s="92" t="s">
        <v>1356</v>
      </c>
      <c r="BT65" s="93"/>
      <c r="BU65" s="95"/>
      <c r="BV65" s="93"/>
      <c r="BW65" s="95"/>
      <c r="BX65" s="113"/>
      <c r="BY65" s="114" t="s">
        <v>1356</v>
      </c>
      <c r="BZ65" s="115"/>
      <c r="CA65" s="116"/>
      <c r="CB65" s="115"/>
      <c r="CC65" s="116"/>
      <c r="CD65" s="113"/>
      <c r="CE65" s="114" t="s">
        <v>1356</v>
      </c>
      <c r="CF65" s="115"/>
      <c r="CG65" s="116"/>
      <c r="CH65" s="115"/>
      <c r="CI65" s="116"/>
      <c r="CJ65" s="113"/>
      <c r="CK65" s="114" t="s">
        <v>1356</v>
      </c>
      <c r="CL65" s="115"/>
      <c r="CM65" s="116"/>
      <c r="CN65" s="115"/>
      <c r="CO65" s="116"/>
      <c r="CP65" s="113"/>
      <c r="CQ65" s="114" t="s">
        <v>1356</v>
      </c>
      <c r="CR65" s="115"/>
      <c r="CS65" s="116"/>
      <c r="CT65" s="115"/>
      <c r="CU65" s="116"/>
      <c r="CV65" s="113"/>
      <c r="CW65" s="114" t="s">
        <v>1356</v>
      </c>
      <c r="CX65" s="115"/>
      <c r="CY65" s="116"/>
      <c r="CZ65" s="115"/>
      <c r="DA65" s="116"/>
      <c r="DB65" s="128" t="s">
        <v>7085</v>
      </c>
      <c r="DC65" s="128" t="s">
        <v>105</v>
      </c>
    </row>
    <row r="66" spans="1:107" s="40" customFormat="1" ht="14.55" customHeight="1" x14ac:dyDescent="0.3">
      <c r="A66" s="35" t="s">
        <v>4219</v>
      </c>
      <c r="B66" s="35" t="s">
        <v>6466</v>
      </c>
      <c r="C66" s="35" t="s">
        <v>6467</v>
      </c>
      <c r="D66" s="35" t="s">
        <v>6468</v>
      </c>
      <c r="E66" s="35" t="s">
        <v>6469</v>
      </c>
      <c r="F66" s="35" t="s">
        <v>734</v>
      </c>
      <c r="G66" s="35" t="s">
        <v>4237</v>
      </c>
      <c r="H66" s="27" t="s">
        <v>686</v>
      </c>
      <c r="I66" s="62">
        <v>901</v>
      </c>
      <c r="J66" s="62">
        <v>90150</v>
      </c>
      <c r="K66" s="63">
        <v>4</v>
      </c>
      <c r="L66" s="35" t="s">
        <v>6470</v>
      </c>
      <c r="M66" s="35" t="s">
        <v>60</v>
      </c>
      <c r="N66" s="35" t="s">
        <v>4446</v>
      </c>
      <c r="O66" s="35" t="s">
        <v>4964</v>
      </c>
      <c r="P66" s="35"/>
      <c r="Q66" s="35"/>
      <c r="R66" s="35"/>
      <c r="S66" s="35"/>
      <c r="T66" s="35"/>
      <c r="U66" s="35" t="s">
        <v>6471</v>
      </c>
      <c r="V66" s="35" t="s">
        <v>461</v>
      </c>
      <c r="W66" s="35" t="s">
        <v>6472</v>
      </c>
      <c r="X66" s="35" t="s">
        <v>6473</v>
      </c>
      <c r="Y66" s="35" t="s">
        <v>6474</v>
      </c>
      <c r="Z66" s="35"/>
      <c r="AA66" s="35"/>
      <c r="AB66" s="35">
        <v>90150681</v>
      </c>
      <c r="AC66" s="35">
        <v>90150681007</v>
      </c>
      <c r="AD66" s="35">
        <v>90150681007009</v>
      </c>
      <c r="AE66" s="63">
        <v>5</v>
      </c>
      <c r="AF66" s="63" t="s">
        <v>772</v>
      </c>
      <c r="AG66" s="46" t="s">
        <v>66</v>
      </c>
      <c r="AH66" s="64">
        <v>80771</v>
      </c>
      <c r="AI66" s="65" t="s">
        <v>66</v>
      </c>
      <c r="AJ66" s="32" t="s">
        <v>6938</v>
      </c>
      <c r="AK66" s="33" t="s">
        <v>67</v>
      </c>
      <c r="AL66" s="34">
        <v>45547</v>
      </c>
      <c r="AM66" s="52" t="s">
        <v>66</v>
      </c>
      <c r="AN66" s="35"/>
      <c r="AO66" s="35"/>
      <c r="AP66" s="35"/>
      <c r="AQ66" s="37">
        <f t="shared" si="3"/>
        <v>4</v>
      </c>
      <c r="AR66" s="38">
        <f t="shared" si="4"/>
        <v>0</v>
      </c>
      <c r="AS66" s="39">
        <f t="shared" si="5"/>
        <v>4</v>
      </c>
      <c r="AT66" s="99" t="s">
        <v>743</v>
      </c>
      <c r="AU66" s="99" t="s">
        <v>6749</v>
      </c>
      <c r="AV66" s="99" t="s">
        <v>7000</v>
      </c>
      <c r="AW66" s="100">
        <v>45292</v>
      </c>
      <c r="AX66" s="99"/>
      <c r="AY66" s="101"/>
      <c r="AZ66" s="99" t="s">
        <v>7001</v>
      </c>
      <c r="BA66" s="99" t="s">
        <v>7002</v>
      </c>
      <c r="BB66" s="99" t="s">
        <v>7003</v>
      </c>
      <c r="BC66" s="101">
        <v>45054</v>
      </c>
      <c r="BD66" s="99"/>
      <c r="BE66" s="101"/>
      <c r="BF66" s="99" t="s">
        <v>6807</v>
      </c>
      <c r="BG66" s="99" t="s">
        <v>7004</v>
      </c>
      <c r="BH66" s="99" t="s">
        <v>7005</v>
      </c>
      <c r="BI66" s="101">
        <v>45383</v>
      </c>
      <c r="BJ66" s="99"/>
      <c r="BK66" s="101"/>
      <c r="BL66" s="99" t="s">
        <v>2540</v>
      </c>
      <c r="BM66" s="99" t="s">
        <v>2541</v>
      </c>
      <c r="BN66" s="99">
        <v>1668</v>
      </c>
      <c r="BO66" s="101">
        <v>45383</v>
      </c>
      <c r="BP66" s="99"/>
      <c r="BQ66" s="101"/>
      <c r="BR66" s="99"/>
      <c r="BS66" s="99" t="s">
        <v>1356</v>
      </c>
      <c r="BT66" s="99"/>
      <c r="BU66" s="101"/>
      <c r="BV66" s="99"/>
      <c r="BW66" s="101"/>
      <c r="BX66" s="119"/>
      <c r="BY66" s="119" t="s">
        <v>1356</v>
      </c>
      <c r="BZ66" s="119"/>
      <c r="CA66" s="120"/>
      <c r="CB66" s="119"/>
      <c r="CC66" s="120"/>
      <c r="CD66" s="119"/>
      <c r="CE66" s="119" t="s">
        <v>1356</v>
      </c>
      <c r="CF66" s="119"/>
      <c r="CG66" s="120"/>
      <c r="CH66" s="119"/>
      <c r="CI66" s="120"/>
      <c r="CJ66" s="119"/>
      <c r="CK66" s="119" t="s">
        <v>1356</v>
      </c>
      <c r="CL66" s="119"/>
      <c r="CM66" s="120"/>
      <c r="CN66" s="119"/>
      <c r="CO66" s="120"/>
      <c r="CP66" s="119"/>
      <c r="CQ66" s="119" t="s">
        <v>1356</v>
      </c>
      <c r="CR66" s="119"/>
      <c r="CS66" s="120"/>
      <c r="CT66" s="119"/>
      <c r="CU66" s="120"/>
      <c r="CV66" s="119"/>
      <c r="CW66" s="119" t="s">
        <v>1356</v>
      </c>
      <c r="CX66" s="119"/>
      <c r="CY66" s="120"/>
      <c r="CZ66" s="119"/>
      <c r="DA66" s="120"/>
      <c r="DB66" s="129" t="s">
        <v>6962</v>
      </c>
      <c r="DC66" s="131" t="s">
        <v>105</v>
      </c>
    </row>
    <row r="67" spans="1:107" s="40" customFormat="1" ht="14.55" customHeight="1" x14ac:dyDescent="0.3">
      <c r="A67" s="42" t="s">
        <v>4219</v>
      </c>
      <c r="B67" s="42" t="s">
        <v>6124</v>
      </c>
      <c r="C67" s="42" t="s">
        <v>6125</v>
      </c>
      <c r="D67" s="42" t="s">
        <v>6126</v>
      </c>
      <c r="E67" s="42" t="s">
        <v>6126</v>
      </c>
      <c r="F67" s="42" t="s">
        <v>4289</v>
      </c>
      <c r="G67" s="42" t="s">
        <v>4230</v>
      </c>
      <c r="H67" s="43" t="s">
        <v>6934</v>
      </c>
      <c r="I67" s="44">
        <v>2401</v>
      </c>
      <c r="J67" s="44">
        <v>240153</v>
      </c>
      <c r="K67" s="45">
        <v>4</v>
      </c>
      <c r="L67" s="42" t="s">
        <v>6127</v>
      </c>
      <c r="M67" s="42" t="s">
        <v>258</v>
      </c>
      <c r="N67" s="42" t="s">
        <v>258</v>
      </c>
      <c r="O67" s="42" t="s">
        <v>693</v>
      </c>
      <c r="P67" s="42"/>
      <c r="Q67" s="42"/>
      <c r="R67" s="42" t="s">
        <v>60</v>
      </c>
      <c r="S67" s="42"/>
      <c r="T67" s="42"/>
      <c r="U67" s="42" t="s">
        <v>6128</v>
      </c>
      <c r="V67" s="42"/>
      <c r="W67" s="42" t="s">
        <v>6129</v>
      </c>
      <c r="X67" s="42" t="s">
        <v>6130</v>
      </c>
      <c r="Y67" s="42" t="s">
        <v>6131</v>
      </c>
      <c r="Z67" s="42">
        <v>-79.928512999999995</v>
      </c>
      <c r="AA67" s="42">
        <v>-2.1600229999999998</v>
      </c>
      <c r="AB67" s="42">
        <v>240153999</v>
      </c>
      <c r="AC67" s="42">
        <v>240153999001</v>
      </c>
      <c r="AD67" s="42"/>
      <c r="AE67" s="45">
        <v>5</v>
      </c>
      <c r="AF67" s="45" t="s">
        <v>772</v>
      </c>
      <c r="AG67" s="46" t="s">
        <v>66</v>
      </c>
      <c r="AH67" s="47">
        <v>81886</v>
      </c>
      <c r="AI67" s="48" t="s">
        <v>66</v>
      </c>
      <c r="AJ67" s="49" t="s">
        <v>6938</v>
      </c>
      <c r="AK67" s="50" t="s">
        <v>67</v>
      </c>
      <c r="AL67" s="34">
        <v>45553</v>
      </c>
      <c r="AM67" s="52" t="s">
        <v>66</v>
      </c>
      <c r="AN67" s="42"/>
      <c r="AO67" s="42"/>
      <c r="AP67" s="42"/>
      <c r="AQ67" s="53">
        <f t="shared" si="3"/>
        <v>0</v>
      </c>
      <c r="AR67" s="54">
        <f t="shared" si="4"/>
        <v>2</v>
      </c>
      <c r="AS67" s="55">
        <f t="shared" si="5"/>
        <v>2</v>
      </c>
      <c r="AT67" s="96"/>
      <c r="AU67" s="96" t="s">
        <v>1356</v>
      </c>
      <c r="AV67" s="96"/>
      <c r="AW67" s="97"/>
      <c r="AX67" s="96"/>
      <c r="AY67" s="98"/>
      <c r="AZ67" s="96"/>
      <c r="BA67" s="96" t="s">
        <v>1356</v>
      </c>
      <c r="BB67" s="96"/>
      <c r="BC67" s="98"/>
      <c r="BD67" s="96"/>
      <c r="BE67" s="98"/>
      <c r="BF67" s="96"/>
      <c r="BG67" s="96" t="s">
        <v>1356</v>
      </c>
      <c r="BH67" s="96"/>
      <c r="BI67" s="98"/>
      <c r="BJ67" s="96"/>
      <c r="BK67" s="98"/>
      <c r="BL67" s="96"/>
      <c r="BM67" s="96" t="s">
        <v>1356</v>
      </c>
      <c r="BN67" s="96"/>
      <c r="BO67" s="98"/>
      <c r="BP67" s="96"/>
      <c r="BQ67" s="98"/>
      <c r="BR67" s="96"/>
      <c r="BS67" s="96" t="s">
        <v>1356</v>
      </c>
      <c r="BT67" s="96"/>
      <c r="BU67" s="98"/>
      <c r="BV67" s="96"/>
      <c r="BW67" s="98"/>
      <c r="BX67" s="117" t="s">
        <v>4315</v>
      </c>
      <c r="BY67" s="117" t="s">
        <v>4316</v>
      </c>
      <c r="BZ67" s="117">
        <v>500</v>
      </c>
      <c r="CA67" s="118">
        <v>45603</v>
      </c>
      <c r="CB67" s="117"/>
      <c r="CC67" s="118"/>
      <c r="CD67" s="117" t="s">
        <v>6132</v>
      </c>
      <c r="CE67" s="117" t="s">
        <v>6133</v>
      </c>
      <c r="CF67" s="117">
        <v>3300</v>
      </c>
      <c r="CG67" s="118">
        <v>45603</v>
      </c>
      <c r="CH67" s="117"/>
      <c r="CI67" s="118"/>
      <c r="CJ67" s="117"/>
      <c r="CK67" s="117" t="s">
        <v>1356</v>
      </c>
      <c r="CL67" s="117"/>
      <c r="CM67" s="118"/>
      <c r="CN67" s="117"/>
      <c r="CO67" s="118"/>
      <c r="CP67" s="117"/>
      <c r="CQ67" s="117" t="s">
        <v>1356</v>
      </c>
      <c r="CR67" s="117"/>
      <c r="CS67" s="118"/>
      <c r="CT67" s="117"/>
      <c r="CU67" s="118"/>
      <c r="CV67" s="117"/>
      <c r="CW67" s="117" t="s">
        <v>1356</v>
      </c>
      <c r="CX67" s="117"/>
      <c r="CY67" s="118"/>
      <c r="CZ67" s="117"/>
      <c r="DA67" s="118"/>
      <c r="DB67" s="129" t="s">
        <v>6962</v>
      </c>
      <c r="DC67" s="130" t="s">
        <v>105</v>
      </c>
    </row>
    <row r="68" spans="1:107" s="40" customFormat="1" ht="14.55" customHeight="1" x14ac:dyDescent="0.3">
      <c r="A68" s="66" t="s">
        <v>3500</v>
      </c>
      <c r="B68" s="66" t="s">
        <v>3530</v>
      </c>
      <c r="C68" s="67">
        <v>1792761409001</v>
      </c>
      <c r="D68" s="66" t="s">
        <v>208</v>
      </c>
      <c r="E68" s="66" t="s">
        <v>209</v>
      </c>
      <c r="F68" s="66" t="s">
        <v>210</v>
      </c>
      <c r="G68" s="68" t="s">
        <v>72</v>
      </c>
      <c r="H68" s="43" t="s">
        <v>251</v>
      </c>
      <c r="I68" s="68">
        <v>1701</v>
      </c>
      <c r="J68" s="68">
        <v>170150</v>
      </c>
      <c r="K68" s="69">
        <v>4</v>
      </c>
      <c r="L68" s="66" t="s">
        <v>211</v>
      </c>
      <c r="M68" s="66" t="s">
        <v>212</v>
      </c>
      <c r="N68" s="66" t="s">
        <v>213</v>
      </c>
      <c r="O68" s="66"/>
      <c r="P68" s="66"/>
      <c r="Q68" s="66"/>
      <c r="R68" s="66"/>
      <c r="S68" s="66"/>
      <c r="T68" s="66"/>
      <c r="U68" s="66"/>
      <c r="V68" s="66"/>
      <c r="W68" s="66" t="s">
        <v>214</v>
      </c>
      <c r="X68" s="66" t="s">
        <v>215</v>
      </c>
      <c r="Y68" s="66" t="s">
        <v>216</v>
      </c>
      <c r="Z68" s="66"/>
      <c r="AA68" s="66"/>
      <c r="AB68" s="66"/>
      <c r="AC68" s="66"/>
      <c r="AD68" s="66"/>
      <c r="AE68" s="69">
        <v>2</v>
      </c>
      <c r="AF68" s="69" t="s">
        <v>64</v>
      </c>
      <c r="AG68" s="46" t="s">
        <v>66</v>
      </c>
      <c r="AH68" s="70">
        <v>40894</v>
      </c>
      <c r="AI68" s="71" t="s">
        <v>66</v>
      </c>
      <c r="AJ68" s="49" t="s">
        <v>6938</v>
      </c>
      <c r="AK68" s="50" t="s">
        <v>67</v>
      </c>
      <c r="AL68" s="58">
        <v>45560</v>
      </c>
      <c r="AM68" s="52" t="s">
        <v>66</v>
      </c>
      <c r="AN68" s="52"/>
      <c r="AO68" s="52"/>
      <c r="AP68" s="52"/>
      <c r="AQ68" s="53">
        <f t="shared" si="3"/>
        <v>1</v>
      </c>
      <c r="AR68" s="54">
        <f t="shared" si="4"/>
        <v>0</v>
      </c>
      <c r="AS68" s="55">
        <f t="shared" si="5"/>
        <v>1</v>
      </c>
      <c r="AT68" s="102" t="s">
        <v>217</v>
      </c>
      <c r="AU68" s="103" t="s">
        <v>6703</v>
      </c>
      <c r="AV68" s="104">
        <v>0.7</v>
      </c>
      <c r="AW68" s="105">
        <v>45195</v>
      </c>
      <c r="AX68" s="104">
        <v>0.7</v>
      </c>
      <c r="AY68" s="106">
        <v>45611</v>
      </c>
      <c r="AZ68" s="102"/>
      <c r="BA68" s="103" t="s">
        <v>1356</v>
      </c>
      <c r="BB68" s="104"/>
      <c r="BC68" s="106"/>
      <c r="BD68" s="104"/>
      <c r="BE68" s="106"/>
      <c r="BF68" s="102"/>
      <c r="BG68" s="103" t="s">
        <v>1356</v>
      </c>
      <c r="BH68" s="104"/>
      <c r="BI68" s="106"/>
      <c r="BJ68" s="104"/>
      <c r="BK68" s="106"/>
      <c r="BL68" s="102"/>
      <c r="BM68" s="103" t="s">
        <v>1356</v>
      </c>
      <c r="BN68" s="104"/>
      <c r="BO68" s="106"/>
      <c r="BP68" s="104"/>
      <c r="BQ68" s="106"/>
      <c r="BR68" s="102"/>
      <c r="BS68" s="103" t="s">
        <v>1356</v>
      </c>
      <c r="BT68" s="104"/>
      <c r="BU68" s="106"/>
      <c r="BV68" s="104"/>
      <c r="BW68" s="106"/>
      <c r="BX68" s="121"/>
      <c r="BY68" s="122"/>
      <c r="BZ68" s="123"/>
      <c r="CA68" s="124"/>
      <c r="CB68" s="123"/>
      <c r="CC68" s="124"/>
      <c r="CD68" s="121"/>
      <c r="CE68" s="122"/>
      <c r="CF68" s="123"/>
      <c r="CG68" s="124"/>
      <c r="CH68" s="123"/>
      <c r="CI68" s="124"/>
      <c r="CJ68" s="121"/>
      <c r="CK68" s="122" t="s">
        <v>1356</v>
      </c>
      <c r="CL68" s="123"/>
      <c r="CM68" s="124"/>
      <c r="CN68" s="123"/>
      <c r="CO68" s="124"/>
      <c r="CP68" s="121"/>
      <c r="CQ68" s="122" t="s">
        <v>1356</v>
      </c>
      <c r="CR68" s="123"/>
      <c r="CS68" s="124"/>
      <c r="CT68" s="123"/>
      <c r="CU68" s="124"/>
      <c r="CV68" s="121"/>
      <c r="CW68" s="122" t="s">
        <v>1356</v>
      </c>
      <c r="CX68" s="123"/>
      <c r="CY68" s="124"/>
      <c r="CZ68" s="123"/>
      <c r="DA68" s="124"/>
      <c r="DB68" s="129" t="s">
        <v>6962</v>
      </c>
      <c r="DC68" s="129" t="s">
        <v>105</v>
      </c>
    </row>
    <row r="69" spans="1:107" s="40" customFormat="1" ht="14.55" customHeight="1" x14ac:dyDescent="0.3">
      <c r="A69" s="66" t="s">
        <v>3500</v>
      </c>
      <c r="B69" s="66" t="s">
        <v>3970</v>
      </c>
      <c r="C69" s="66" t="s">
        <v>3971</v>
      </c>
      <c r="D69" s="66" t="s">
        <v>2219</v>
      </c>
      <c r="E69" s="66" t="s">
        <v>2220</v>
      </c>
      <c r="F69" s="66" t="s">
        <v>201</v>
      </c>
      <c r="G69" s="68" t="s">
        <v>72</v>
      </c>
      <c r="H69" s="43" t="s">
        <v>251</v>
      </c>
      <c r="I69" s="68">
        <v>1701</v>
      </c>
      <c r="J69" s="68">
        <v>170150</v>
      </c>
      <c r="K69" s="69">
        <v>3</v>
      </c>
      <c r="L69" s="66" t="s">
        <v>859</v>
      </c>
      <c r="M69" s="66" t="s">
        <v>2221</v>
      </c>
      <c r="N69" s="66" t="s">
        <v>2222</v>
      </c>
      <c r="O69" s="66"/>
      <c r="P69" s="66"/>
      <c r="Q69" s="66"/>
      <c r="R69" s="66"/>
      <c r="S69" s="66"/>
      <c r="T69" s="66"/>
      <c r="U69" s="66"/>
      <c r="V69" s="66" t="s">
        <v>404</v>
      </c>
      <c r="W69" s="66"/>
      <c r="X69" s="66" t="s">
        <v>2223</v>
      </c>
      <c r="Y69" s="66" t="s">
        <v>2224</v>
      </c>
      <c r="Z69" s="66">
        <v>-78.549317121505737</v>
      </c>
      <c r="AA69" s="66">
        <v>-0.3175880143231038</v>
      </c>
      <c r="AB69" s="66">
        <v>170150450</v>
      </c>
      <c r="AC69" s="66">
        <v>170150450001</v>
      </c>
      <c r="AD69" s="66">
        <v>170150450001001</v>
      </c>
      <c r="AE69" s="69">
        <v>2</v>
      </c>
      <c r="AF69" s="69" t="s">
        <v>64</v>
      </c>
      <c r="AG69" s="46" t="s">
        <v>66</v>
      </c>
      <c r="AH69" s="70">
        <v>40907</v>
      </c>
      <c r="AI69" s="71" t="s">
        <v>66</v>
      </c>
      <c r="AJ69" s="49" t="s">
        <v>6938</v>
      </c>
      <c r="AK69" s="50" t="s">
        <v>67</v>
      </c>
      <c r="AL69" s="58">
        <v>45560</v>
      </c>
      <c r="AM69" s="52" t="s">
        <v>66</v>
      </c>
      <c r="AN69" s="52"/>
      <c r="AO69" s="52"/>
      <c r="AP69" s="52"/>
      <c r="AQ69" s="53">
        <f t="shared" si="3"/>
        <v>1</v>
      </c>
      <c r="AR69" s="54">
        <f t="shared" si="4"/>
        <v>0</v>
      </c>
      <c r="AS69" s="55">
        <f t="shared" si="5"/>
        <v>1</v>
      </c>
      <c r="AT69" s="107" t="s">
        <v>2225</v>
      </c>
      <c r="AU69" s="103" t="s">
        <v>2226</v>
      </c>
      <c r="AV69" s="104" t="s">
        <v>2227</v>
      </c>
      <c r="AW69" s="105">
        <v>45560</v>
      </c>
      <c r="AX69" s="104" t="s">
        <v>2227</v>
      </c>
      <c r="AY69" s="106">
        <v>45608</v>
      </c>
      <c r="AZ69" s="102"/>
      <c r="BA69" s="103" t="s">
        <v>1356</v>
      </c>
      <c r="BB69" s="104"/>
      <c r="BC69" s="106"/>
      <c r="BD69" s="104"/>
      <c r="BE69" s="106"/>
      <c r="BF69" s="102"/>
      <c r="BG69" s="103" t="s">
        <v>1356</v>
      </c>
      <c r="BH69" s="104"/>
      <c r="BI69" s="106"/>
      <c r="BJ69" s="104"/>
      <c r="BK69" s="106"/>
      <c r="BL69" s="102"/>
      <c r="BM69" s="103" t="s">
        <v>1356</v>
      </c>
      <c r="BN69" s="104"/>
      <c r="BO69" s="106"/>
      <c r="BP69" s="104"/>
      <c r="BQ69" s="106"/>
      <c r="BR69" s="102"/>
      <c r="BS69" s="103" t="s">
        <v>1356</v>
      </c>
      <c r="BT69" s="104"/>
      <c r="BU69" s="106"/>
      <c r="BV69" s="104"/>
      <c r="BW69" s="106"/>
      <c r="BX69" s="121"/>
      <c r="BY69" s="122" t="s">
        <v>1356</v>
      </c>
      <c r="BZ69" s="123"/>
      <c r="CA69" s="124"/>
      <c r="CB69" s="123"/>
      <c r="CC69" s="124"/>
      <c r="CD69" s="121"/>
      <c r="CE69" s="122" t="s">
        <v>1356</v>
      </c>
      <c r="CF69" s="123"/>
      <c r="CG69" s="124"/>
      <c r="CH69" s="123"/>
      <c r="CI69" s="124"/>
      <c r="CJ69" s="121"/>
      <c r="CK69" s="122" t="s">
        <v>1356</v>
      </c>
      <c r="CL69" s="123"/>
      <c r="CM69" s="124"/>
      <c r="CN69" s="123"/>
      <c r="CO69" s="124"/>
      <c r="CP69" s="121"/>
      <c r="CQ69" s="122" t="s">
        <v>1356</v>
      </c>
      <c r="CR69" s="123"/>
      <c r="CS69" s="124"/>
      <c r="CT69" s="123"/>
      <c r="CU69" s="124"/>
      <c r="CV69" s="121"/>
      <c r="CW69" s="122" t="s">
        <v>1356</v>
      </c>
      <c r="CX69" s="123"/>
      <c r="CY69" s="124"/>
      <c r="CZ69" s="123"/>
      <c r="DA69" s="124"/>
      <c r="DB69" s="129" t="s">
        <v>6962</v>
      </c>
      <c r="DC69" s="129" t="s">
        <v>105</v>
      </c>
    </row>
    <row r="70" spans="1:107" s="40" customFormat="1" ht="14.55" customHeight="1" x14ac:dyDescent="0.3">
      <c r="A70" s="66" t="s">
        <v>3500</v>
      </c>
      <c r="B70" s="66" t="s">
        <v>3980</v>
      </c>
      <c r="C70" s="66" t="s">
        <v>3981</v>
      </c>
      <c r="D70" s="66" t="s">
        <v>2256</v>
      </c>
      <c r="E70" s="66" t="s">
        <v>2257</v>
      </c>
      <c r="F70" s="66" t="s">
        <v>291</v>
      </c>
      <c r="G70" s="68" t="s">
        <v>72</v>
      </c>
      <c r="H70" s="43" t="s">
        <v>251</v>
      </c>
      <c r="I70" s="68">
        <v>1701</v>
      </c>
      <c r="J70" s="68">
        <v>170150</v>
      </c>
      <c r="K70" s="69">
        <v>4</v>
      </c>
      <c r="L70" s="66" t="s">
        <v>1116</v>
      </c>
      <c r="M70" s="66" t="s">
        <v>2258</v>
      </c>
      <c r="N70" s="66" t="s">
        <v>2259</v>
      </c>
      <c r="O70" s="66"/>
      <c r="P70" s="66"/>
      <c r="Q70" s="66"/>
      <c r="R70" s="66" t="s">
        <v>113</v>
      </c>
      <c r="S70" s="66"/>
      <c r="T70" s="66"/>
      <c r="U70" s="66" t="s">
        <v>1227</v>
      </c>
      <c r="V70" s="66"/>
      <c r="W70" s="66" t="s">
        <v>2260</v>
      </c>
      <c r="X70" s="66" t="s">
        <v>2261</v>
      </c>
      <c r="Y70" s="66" t="s">
        <v>2262</v>
      </c>
      <c r="Z70" s="66">
        <v>-78.548832982778549</v>
      </c>
      <c r="AA70" s="66">
        <v>-0.31726078984504241</v>
      </c>
      <c r="AB70" s="66">
        <v>170150439</v>
      </c>
      <c r="AC70" s="66">
        <v>170150439005</v>
      </c>
      <c r="AD70" s="66">
        <v>170150439005004</v>
      </c>
      <c r="AE70" s="69">
        <v>2</v>
      </c>
      <c r="AF70" s="69" t="s">
        <v>64</v>
      </c>
      <c r="AG70" s="46" t="s">
        <v>66</v>
      </c>
      <c r="AH70" s="70">
        <v>40890</v>
      </c>
      <c r="AI70" s="71" t="s">
        <v>66</v>
      </c>
      <c r="AJ70" s="49" t="s">
        <v>6938</v>
      </c>
      <c r="AK70" s="50" t="s">
        <v>67</v>
      </c>
      <c r="AL70" s="58">
        <v>45560</v>
      </c>
      <c r="AM70" s="52" t="s">
        <v>66</v>
      </c>
      <c r="AN70" s="52"/>
      <c r="AO70" s="52"/>
      <c r="AP70" s="52"/>
      <c r="AQ70" s="53">
        <f t="shared" ref="AQ70:AQ133" si="6">+COUNTA(AT70,AZ70,BF70,BL70,BR70)</f>
        <v>1</v>
      </c>
      <c r="AR70" s="54">
        <f t="shared" ref="AR70:AR133" si="7">+COUNTA(BX70,CD70,CJ70,CP70,CV70)</f>
        <v>0</v>
      </c>
      <c r="AS70" s="55">
        <f t="shared" ref="AS70:AS133" si="8">+AQ70+AR70</f>
        <v>1</v>
      </c>
      <c r="AT70" s="107" t="s">
        <v>300</v>
      </c>
      <c r="AU70" s="103" t="s">
        <v>2263</v>
      </c>
      <c r="AV70" s="104" t="s">
        <v>2264</v>
      </c>
      <c r="AW70" s="105">
        <v>45561</v>
      </c>
      <c r="AX70" s="104" t="s">
        <v>2264</v>
      </c>
      <c r="AY70" s="106">
        <v>45609</v>
      </c>
      <c r="AZ70" s="102"/>
      <c r="BA70" s="103" t="s">
        <v>1356</v>
      </c>
      <c r="BB70" s="104"/>
      <c r="BC70" s="106"/>
      <c r="BD70" s="104"/>
      <c r="BE70" s="106"/>
      <c r="BF70" s="102"/>
      <c r="BG70" s="103" t="s">
        <v>1356</v>
      </c>
      <c r="BH70" s="104"/>
      <c r="BI70" s="106"/>
      <c r="BJ70" s="104"/>
      <c r="BK70" s="106"/>
      <c r="BL70" s="102"/>
      <c r="BM70" s="103" t="s">
        <v>1356</v>
      </c>
      <c r="BN70" s="104"/>
      <c r="BO70" s="106"/>
      <c r="BP70" s="104"/>
      <c r="BQ70" s="106"/>
      <c r="BR70" s="102"/>
      <c r="BS70" s="103" t="s">
        <v>1356</v>
      </c>
      <c r="BT70" s="104"/>
      <c r="BU70" s="106"/>
      <c r="BV70" s="104"/>
      <c r="BW70" s="106"/>
      <c r="BX70" s="121"/>
      <c r="BY70" s="122" t="s">
        <v>1356</v>
      </c>
      <c r="BZ70" s="123"/>
      <c r="CA70" s="124"/>
      <c r="CB70" s="123"/>
      <c r="CC70" s="124"/>
      <c r="CD70" s="121"/>
      <c r="CE70" s="122" t="s">
        <v>1356</v>
      </c>
      <c r="CF70" s="123"/>
      <c r="CG70" s="124"/>
      <c r="CH70" s="123"/>
      <c r="CI70" s="124"/>
      <c r="CJ70" s="121"/>
      <c r="CK70" s="122" t="s">
        <v>1356</v>
      </c>
      <c r="CL70" s="123"/>
      <c r="CM70" s="124"/>
      <c r="CN70" s="123"/>
      <c r="CO70" s="124"/>
      <c r="CP70" s="121"/>
      <c r="CQ70" s="122" t="s">
        <v>1356</v>
      </c>
      <c r="CR70" s="123"/>
      <c r="CS70" s="124"/>
      <c r="CT70" s="123"/>
      <c r="CU70" s="124"/>
      <c r="CV70" s="121"/>
      <c r="CW70" s="122" t="s">
        <v>1356</v>
      </c>
      <c r="CX70" s="123"/>
      <c r="CY70" s="124"/>
      <c r="CZ70" s="123"/>
      <c r="DA70" s="124"/>
      <c r="DB70" s="129" t="s">
        <v>6962</v>
      </c>
      <c r="DC70" s="129" t="s">
        <v>105</v>
      </c>
    </row>
    <row r="71" spans="1:107" s="40" customFormat="1" ht="14.55" customHeight="1" x14ac:dyDescent="0.3">
      <c r="A71" s="25" t="s">
        <v>3500</v>
      </c>
      <c r="B71" s="25" t="s">
        <v>3627</v>
      </c>
      <c r="C71" s="41">
        <v>1790870715001</v>
      </c>
      <c r="D71" s="25" t="s">
        <v>744</v>
      </c>
      <c r="E71" s="25" t="s">
        <v>745</v>
      </c>
      <c r="F71" s="25" t="s">
        <v>352</v>
      </c>
      <c r="G71" s="26" t="s">
        <v>72</v>
      </c>
      <c r="H71" s="27" t="s">
        <v>251</v>
      </c>
      <c r="I71" s="26">
        <v>1701</v>
      </c>
      <c r="J71" s="26">
        <v>170150</v>
      </c>
      <c r="K71" s="28">
        <v>4</v>
      </c>
      <c r="L71" s="25" t="s">
        <v>676</v>
      </c>
      <c r="M71" s="25" t="s">
        <v>746</v>
      </c>
      <c r="N71" s="25" t="s">
        <v>747</v>
      </c>
      <c r="O71" s="25"/>
      <c r="P71" s="25"/>
      <c r="Q71" s="25" t="s">
        <v>748</v>
      </c>
      <c r="R71" s="25"/>
      <c r="S71" s="25"/>
      <c r="T71" s="25"/>
      <c r="U71" s="25"/>
      <c r="V71" s="25"/>
      <c r="W71" s="25"/>
      <c r="X71" s="25" t="s">
        <v>749</v>
      </c>
      <c r="Y71" s="25" t="s">
        <v>750</v>
      </c>
      <c r="Z71" s="25">
        <v>-78.479802000000007</v>
      </c>
      <c r="AA71" s="25">
        <v>-0.179871</v>
      </c>
      <c r="AB71" s="25">
        <v>170150154</v>
      </c>
      <c r="AC71" s="25">
        <v>170150154013</v>
      </c>
      <c r="AD71" s="25">
        <v>170150154013001</v>
      </c>
      <c r="AE71" s="28">
        <v>4</v>
      </c>
      <c r="AF71" s="28" t="s">
        <v>499</v>
      </c>
      <c r="AG71" s="29" t="s">
        <v>65</v>
      </c>
      <c r="AH71" s="30"/>
      <c r="AI71" s="31" t="s">
        <v>66</v>
      </c>
      <c r="AJ71" s="32" t="s">
        <v>6938</v>
      </c>
      <c r="AK71" s="33" t="s">
        <v>67</v>
      </c>
      <c r="AL71" s="34">
        <v>45562</v>
      </c>
      <c r="AM71" s="36" t="s">
        <v>66</v>
      </c>
      <c r="AN71" s="36"/>
      <c r="AO71" s="36"/>
      <c r="AP71" s="36"/>
      <c r="AQ71" s="37">
        <f t="shared" si="6"/>
        <v>0</v>
      </c>
      <c r="AR71" s="38">
        <f t="shared" si="7"/>
        <v>0</v>
      </c>
      <c r="AS71" s="39">
        <f t="shared" si="8"/>
        <v>0</v>
      </c>
      <c r="AT71" s="91"/>
      <c r="AU71" s="92" t="s">
        <v>1356</v>
      </c>
      <c r="AV71" s="93"/>
      <c r="AW71" s="94"/>
      <c r="AX71" s="93"/>
      <c r="AY71" s="95"/>
      <c r="AZ71" s="91"/>
      <c r="BA71" s="92" t="s">
        <v>1356</v>
      </c>
      <c r="BB71" s="93"/>
      <c r="BC71" s="95"/>
      <c r="BD71" s="93"/>
      <c r="BE71" s="95"/>
      <c r="BF71" s="91"/>
      <c r="BG71" s="92" t="s">
        <v>1356</v>
      </c>
      <c r="BH71" s="93"/>
      <c r="BI71" s="95"/>
      <c r="BJ71" s="93"/>
      <c r="BK71" s="95"/>
      <c r="BL71" s="91"/>
      <c r="BM71" s="92" t="s">
        <v>1356</v>
      </c>
      <c r="BN71" s="93"/>
      <c r="BO71" s="95"/>
      <c r="BP71" s="93"/>
      <c r="BQ71" s="95"/>
      <c r="BR71" s="91"/>
      <c r="BS71" s="92" t="s">
        <v>1356</v>
      </c>
      <c r="BT71" s="93"/>
      <c r="BU71" s="95"/>
      <c r="BV71" s="93"/>
      <c r="BW71" s="95"/>
      <c r="BX71" s="113"/>
      <c r="BY71" s="114" t="s">
        <v>1356</v>
      </c>
      <c r="BZ71" s="115"/>
      <c r="CA71" s="116"/>
      <c r="CB71" s="115"/>
      <c r="CC71" s="116"/>
      <c r="CD71" s="113"/>
      <c r="CE71" s="114" t="s">
        <v>1356</v>
      </c>
      <c r="CF71" s="115"/>
      <c r="CG71" s="116"/>
      <c r="CH71" s="115"/>
      <c r="CI71" s="116"/>
      <c r="CJ71" s="113"/>
      <c r="CK71" s="114" t="s">
        <v>1356</v>
      </c>
      <c r="CL71" s="115"/>
      <c r="CM71" s="116"/>
      <c r="CN71" s="115"/>
      <c r="CO71" s="116"/>
      <c r="CP71" s="113"/>
      <c r="CQ71" s="114" t="s">
        <v>1356</v>
      </c>
      <c r="CR71" s="115"/>
      <c r="CS71" s="116"/>
      <c r="CT71" s="115"/>
      <c r="CU71" s="116"/>
      <c r="CV71" s="113"/>
      <c r="CW71" s="114" t="s">
        <v>1356</v>
      </c>
      <c r="CX71" s="115"/>
      <c r="CY71" s="116"/>
      <c r="CZ71" s="115"/>
      <c r="DA71" s="116"/>
      <c r="DB71" s="128" t="s">
        <v>7085</v>
      </c>
      <c r="DC71" s="128" t="s">
        <v>78</v>
      </c>
    </row>
    <row r="72" spans="1:107" s="40" customFormat="1" ht="14.55" customHeight="1" x14ac:dyDescent="0.3">
      <c r="A72" s="66" t="s">
        <v>3500</v>
      </c>
      <c r="B72" s="66" t="s">
        <v>3507</v>
      </c>
      <c r="C72" s="67" t="s">
        <v>3508</v>
      </c>
      <c r="D72" s="66" t="s">
        <v>93</v>
      </c>
      <c r="E72" s="66" t="s">
        <v>94</v>
      </c>
      <c r="F72" s="66" t="s">
        <v>95</v>
      </c>
      <c r="G72" s="68" t="s">
        <v>72</v>
      </c>
      <c r="H72" s="43" t="s">
        <v>251</v>
      </c>
      <c r="I72" s="68">
        <v>1701</v>
      </c>
      <c r="J72" s="68">
        <v>170150</v>
      </c>
      <c r="K72" s="69">
        <v>4</v>
      </c>
      <c r="L72" s="66" t="s">
        <v>96</v>
      </c>
      <c r="M72" s="66" t="s">
        <v>97</v>
      </c>
      <c r="N72" s="66" t="s">
        <v>98</v>
      </c>
      <c r="O72" s="66"/>
      <c r="P72" s="66"/>
      <c r="Q72" s="66" t="s">
        <v>99</v>
      </c>
      <c r="R72" s="66"/>
      <c r="S72" s="66" t="s">
        <v>100</v>
      </c>
      <c r="T72" s="66"/>
      <c r="U72" s="66"/>
      <c r="V72" s="66"/>
      <c r="W72" s="66" t="s">
        <v>101</v>
      </c>
      <c r="X72" s="66" t="s">
        <v>102</v>
      </c>
      <c r="Y72" s="66" t="s">
        <v>103</v>
      </c>
      <c r="Z72" s="66">
        <v>-78.480903245999997</v>
      </c>
      <c r="AA72" s="66">
        <v>-0.177400699</v>
      </c>
      <c r="AB72" s="66">
        <v>170150154</v>
      </c>
      <c r="AC72" s="66">
        <v>170150154011</v>
      </c>
      <c r="AD72" s="66">
        <v>170150154011001</v>
      </c>
      <c r="AE72" s="69">
        <v>2</v>
      </c>
      <c r="AF72" s="69" t="s">
        <v>64</v>
      </c>
      <c r="AG72" s="46" t="s">
        <v>66</v>
      </c>
      <c r="AH72" s="70">
        <v>40889</v>
      </c>
      <c r="AI72" s="71" t="s">
        <v>66</v>
      </c>
      <c r="AJ72" s="49" t="s">
        <v>6938</v>
      </c>
      <c r="AK72" s="50" t="s">
        <v>67</v>
      </c>
      <c r="AL72" s="58">
        <v>45561</v>
      </c>
      <c r="AM72" s="52" t="s">
        <v>66</v>
      </c>
      <c r="AN72" s="52"/>
      <c r="AO72" s="52"/>
      <c r="AP72" s="52"/>
      <c r="AQ72" s="53">
        <f t="shared" si="6"/>
        <v>3</v>
      </c>
      <c r="AR72" s="54">
        <f t="shared" si="7"/>
        <v>0</v>
      </c>
      <c r="AS72" s="55">
        <f t="shared" si="8"/>
        <v>3</v>
      </c>
      <c r="AT72" s="102" t="s">
        <v>104</v>
      </c>
      <c r="AU72" s="103" t="s">
        <v>6700</v>
      </c>
      <c r="AV72" s="104">
        <v>0.53</v>
      </c>
      <c r="AW72" s="105">
        <v>45561</v>
      </c>
      <c r="AX72" s="104">
        <v>0.53</v>
      </c>
      <c r="AY72" s="106">
        <v>45611</v>
      </c>
      <c r="AZ72" s="102" t="s">
        <v>104</v>
      </c>
      <c r="BA72" s="103" t="s">
        <v>6700</v>
      </c>
      <c r="BB72" s="104">
        <v>0.63</v>
      </c>
      <c r="BC72" s="106">
        <v>45561</v>
      </c>
      <c r="BD72" s="104">
        <v>0.63</v>
      </c>
      <c r="BE72" s="106">
        <v>45611</v>
      </c>
      <c r="BF72" s="102" t="s">
        <v>104</v>
      </c>
      <c r="BG72" s="103" t="s">
        <v>6700</v>
      </c>
      <c r="BH72" s="104">
        <v>0.7</v>
      </c>
      <c r="BI72" s="106">
        <v>45561</v>
      </c>
      <c r="BJ72" s="104">
        <v>0.7</v>
      </c>
      <c r="BK72" s="106">
        <v>45611</v>
      </c>
      <c r="BL72" s="102"/>
      <c r="BM72" s="103" t="s">
        <v>1356</v>
      </c>
      <c r="BN72" s="104"/>
      <c r="BO72" s="106"/>
      <c r="BP72" s="104"/>
      <c r="BQ72" s="106"/>
      <c r="BR72" s="102"/>
      <c r="BS72" s="103" t="s">
        <v>1356</v>
      </c>
      <c r="BT72" s="104"/>
      <c r="BU72" s="106"/>
      <c r="BV72" s="104"/>
      <c r="BW72" s="106"/>
      <c r="BX72" s="121"/>
      <c r="BY72" s="122" t="s">
        <v>1356</v>
      </c>
      <c r="BZ72" s="123"/>
      <c r="CA72" s="124"/>
      <c r="CB72" s="123"/>
      <c r="CC72" s="124"/>
      <c r="CD72" s="121"/>
      <c r="CE72" s="122" t="s">
        <v>1356</v>
      </c>
      <c r="CF72" s="123"/>
      <c r="CG72" s="124"/>
      <c r="CH72" s="123"/>
      <c r="CI72" s="124"/>
      <c r="CJ72" s="121"/>
      <c r="CK72" s="122" t="s">
        <v>1356</v>
      </c>
      <c r="CL72" s="123"/>
      <c r="CM72" s="124"/>
      <c r="CN72" s="123"/>
      <c r="CO72" s="124"/>
      <c r="CP72" s="121"/>
      <c r="CQ72" s="122" t="s">
        <v>1356</v>
      </c>
      <c r="CR72" s="123"/>
      <c r="CS72" s="124"/>
      <c r="CT72" s="123"/>
      <c r="CU72" s="124"/>
      <c r="CV72" s="121"/>
      <c r="CW72" s="122" t="s">
        <v>1356</v>
      </c>
      <c r="CX72" s="123"/>
      <c r="CY72" s="124"/>
      <c r="CZ72" s="123"/>
      <c r="DA72" s="124"/>
      <c r="DB72" s="129" t="s">
        <v>6962</v>
      </c>
      <c r="DC72" s="129" t="s">
        <v>105</v>
      </c>
    </row>
    <row r="73" spans="1:107" s="40" customFormat="1" ht="14.55" customHeight="1" x14ac:dyDescent="0.3">
      <c r="A73" s="25" t="s">
        <v>3500</v>
      </c>
      <c r="B73" s="25" t="s">
        <v>3630</v>
      </c>
      <c r="C73" s="41">
        <v>1791362160001</v>
      </c>
      <c r="D73" s="25" t="s">
        <v>761</v>
      </c>
      <c r="E73" s="25" t="s">
        <v>761</v>
      </c>
      <c r="F73" s="25" t="s">
        <v>256</v>
      </c>
      <c r="G73" s="26" t="s">
        <v>72</v>
      </c>
      <c r="H73" s="27" t="s">
        <v>251</v>
      </c>
      <c r="I73" s="26">
        <v>1701</v>
      </c>
      <c r="J73" s="26">
        <v>170150</v>
      </c>
      <c r="K73" s="28">
        <v>4</v>
      </c>
      <c r="L73" s="25" t="s">
        <v>762</v>
      </c>
      <c r="M73" s="25" t="s">
        <v>763</v>
      </c>
      <c r="N73" s="25" t="s">
        <v>764</v>
      </c>
      <c r="O73" s="25"/>
      <c r="P73" s="25"/>
      <c r="Q73" s="25" t="s">
        <v>765</v>
      </c>
      <c r="R73" s="25" t="s">
        <v>766</v>
      </c>
      <c r="S73" s="25" t="s">
        <v>767</v>
      </c>
      <c r="T73" s="25"/>
      <c r="U73" s="25" t="s">
        <v>768</v>
      </c>
      <c r="V73" s="25"/>
      <c r="W73" s="25" t="s">
        <v>769</v>
      </c>
      <c r="X73" s="25" t="s">
        <v>770</v>
      </c>
      <c r="Y73" s="25" t="s">
        <v>771</v>
      </c>
      <c r="Z73" s="25"/>
      <c r="AA73" s="25"/>
      <c r="AB73" s="25">
        <v>170150191</v>
      </c>
      <c r="AC73" s="25">
        <v>170150191008</v>
      </c>
      <c r="AD73" s="25">
        <v>170150191008002</v>
      </c>
      <c r="AE73" s="28">
        <v>5</v>
      </c>
      <c r="AF73" s="28" t="s">
        <v>772</v>
      </c>
      <c r="AG73" s="29" t="s">
        <v>65</v>
      </c>
      <c r="AH73" s="30"/>
      <c r="AI73" s="31" t="s">
        <v>66</v>
      </c>
      <c r="AJ73" s="32" t="s">
        <v>6938</v>
      </c>
      <c r="AK73" s="33" t="s">
        <v>67</v>
      </c>
      <c r="AL73" s="34">
        <v>45573</v>
      </c>
      <c r="AM73" s="36" t="s">
        <v>66</v>
      </c>
      <c r="AN73" s="36"/>
      <c r="AO73" s="36"/>
      <c r="AP73" s="36"/>
      <c r="AQ73" s="37">
        <f t="shared" si="6"/>
        <v>0</v>
      </c>
      <c r="AR73" s="38">
        <f t="shared" si="7"/>
        <v>0</v>
      </c>
      <c r="AS73" s="39">
        <f t="shared" si="8"/>
        <v>0</v>
      </c>
      <c r="AT73" s="91"/>
      <c r="AU73" s="92" t="s">
        <v>1356</v>
      </c>
      <c r="AV73" s="93"/>
      <c r="AW73" s="94"/>
      <c r="AX73" s="93"/>
      <c r="AY73" s="95"/>
      <c r="AZ73" s="91"/>
      <c r="BA73" s="92" t="s">
        <v>1356</v>
      </c>
      <c r="BB73" s="93"/>
      <c r="BC73" s="95"/>
      <c r="BD73" s="93"/>
      <c r="BE73" s="95"/>
      <c r="BF73" s="91"/>
      <c r="BG73" s="92" t="s">
        <v>1356</v>
      </c>
      <c r="BH73" s="93"/>
      <c r="BI73" s="95"/>
      <c r="BJ73" s="93"/>
      <c r="BK73" s="95"/>
      <c r="BL73" s="91"/>
      <c r="BM73" s="92" t="s">
        <v>1356</v>
      </c>
      <c r="BN73" s="93"/>
      <c r="BO73" s="95"/>
      <c r="BP73" s="93"/>
      <c r="BQ73" s="95"/>
      <c r="BR73" s="91"/>
      <c r="BS73" s="92" t="s">
        <v>1356</v>
      </c>
      <c r="BT73" s="93"/>
      <c r="BU73" s="95"/>
      <c r="BV73" s="93"/>
      <c r="BW73" s="95"/>
      <c r="BX73" s="113"/>
      <c r="BY73" s="114" t="s">
        <v>1356</v>
      </c>
      <c r="BZ73" s="115"/>
      <c r="CA73" s="116"/>
      <c r="CB73" s="115"/>
      <c r="CC73" s="116"/>
      <c r="CD73" s="113"/>
      <c r="CE73" s="114" t="s">
        <v>1356</v>
      </c>
      <c r="CF73" s="115"/>
      <c r="CG73" s="116"/>
      <c r="CH73" s="115"/>
      <c r="CI73" s="116"/>
      <c r="CJ73" s="113"/>
      <c r="CK73" s="114" t="s">
        <v>1356</v>
      </c>
      <c r="CL73" s="115"/>
      <c r="CM73" s="116"/>
      <c r="CN73" s="115"/>
      <c r="CO73" s="116"/>
      <c r="CP73" s="113"/>
      <c r="CQ73" s="114" t="s">
        <v>1356</v>
      </c>
      <c r="CR73" s="115"/>
      <c r="CS73" s="116"/>
      <c r="CT73" s="115"/>
      <c r="CU73" s="116"/>
      <c r="CV73" s="113"/>
      <c r="CW73" s="114" t="s">
        <v>1356</v>
      </c>
      <c r="CX73" s="115"/>
      <c r="CY73" s="116"/>
      <c r="CZ73" s="115"/>
      <c r="DA73" s="116"/>
      <c r="DB73" s="128" t="s">
        <v>7085</v>
      </c>
      <c r="DC73" s="128" t="s">
        <v>78</v>
      </c>
    </row>
    <row r="74" spans="1:107" s="40" customFormat="1" ht="14.55" customHeight="1" x14ac:dyDescent="0.3">
      <c r="A74" s="66" t="s">
        <v>3500</v>
      </c>
      <c r="B74" s="66" t="s">
        <v>3742</v>
      </c>
      <c r="C74" s="66" t="s">
        <v>3743</v>
      </c>
      <c r="D74" s="66" t="s">
        <v>1357</v>
      </c>
      <c r="E74" s="66" t="s">
        <v>1358</v>
      </c>
      <c r="F74" s="66" t="s">
        <v>134</v>
      </c>
      <c r="G74" s="68" t="s">
        <v>72</v>
      </c>
      <c r="H74" s="43" t="s">
        <v>251</v>
      </c>
      <c r="I74" s="68">
        <v>1701</v>
      </c>
      <c r="J74" s="68">
        <v>170156</v>
      </c>
      <c r="K74" s="69">
        <v>4</v>
      </c>
      <c r="L74" s="52" t="s">
        <v>1359</v>
      </c>
      <c r="M74" s="66"/>
      <c r="N74" s="66" t="s">
        <v>764</v>
      </c>
      <c r="O74" s="66"/>
      <c r="P74" s="66"/>
      <c r="Q74" s="66"/>
      <c r="R74" s="66">
        <v>1</v>
      </c>
      <c r="S74" s="66"/>
      <c r="T74" s="66"/>
      <c r="U74" s="66" t="s">
        <v>1360</v>
      </c>
      <c r="V74" s="66"/>
      <c r="W74" s="66" t="s">
        <v>1361</v>
      </c>
      <c r="X74" s="66" t="s">
        <v>1362</v>
      </c>
      <c r="Y74" s="66" t="s">
        <v>1363</v>
      </c>
      <c r="Z74" s="66">
        <v>-78.476087000000007</v>
      </c>
      <c r="AA74" s="66">
        <v>-0.183058</v>
      </c>
      <c r="AB74" s="66"/>
      <c r="AC74" s="66"/>
      <c r="AD74" s="66"/>
      <c r="AE74" s="69">
        <v>2</v>
      </c>
      <c r="AF74" s="69" t="s">
        <v>64</v>
      </c>
      <c r="AG74" s="46" t="s">
        <v>66</v>
      </c>
      <c r="AH74" s="70">
        <v>40887</v>
      </c>
      <c r="AI74" s="71" t="s">
        <v>66</v>
      </c>
      <c r="AJ74" s="49" t="s">
        <v>6938</v>
      </c>
      <c r="AK74" s="50" t="s">
        <v>67</v>
      </c>
      <c r="AL74" s="58">
        <v>45561</v>
      </c>
      <c r="AM74" s="52" t="s">
        <v>66</v>
      </c>
      <c r="AN74" s="52"/>
      <c r="AO74" s="52"/>
      <c r="AP74" s="52"/>
      <c r="AQ74" s="53">
        <f t="shared" si="6"/>
        <v>0</v>
      </c>
      <c r="AR74" s="54">
        <f t="shared" si="7"/>
        <v>5</v>
      </c>
      <c r="AS74" s="55">
        <f t="shared" si="8"/>
        <v>5</v>
      </c>
      <c r="AT74" s="102"/>
      <c r="AU74" s="103"/>
      <c r="AV74" s="104"/>
      <c r="AW74" s="105"/>
      <c r="AX74" s="104"/>
      <c r="AY74" s="106"/>
      <c r="AZ74" s="102"/>
      <c r="BA74" s="103"/>
      <c r="BB74" s="104"/>
      <c r="BC74" s="106"/>
      <c r="BD74" s="104"/>
      <c r="BE74" s="106"/>
      <c r="BF74" s="102"/>
      <c r="BG74" s="103"/>
      <c r="BH74" s="104"/>
      <c r="BI74" s="106"/>
      <c r="BJ74" s="104"/>
      <c r="BK74" s="106"/>
      <c r="BL74" s="102"/>
      <c r="BM74" s="103"/>
      <c r="BN74" s="104"/>
      <c r="BO74" s="106"/>
      <c r="BP74" s="104"/>
      <c r="BQ74" s="106"/>
      <c r="BR74" s="102"/>
      <c r="BS74" s="103"/>
      <c r="BT74" s="104"/>
      <c r="BU74" s="106"/>
      <c r="BV74" s="104"/>
      <c r="BW74" s="106"/>
      <c r="BX74" s="121" t="s">
        <v>553</v>
      </c>
      <c r="BY74" s="122" t="s">
        <v>1364</v>
      </c>
      <c r="BZ74" s="123">
        <v>14.24</v>
      </c>
      <c r="CA74" s="124">
        <v>45561</v>
      </c>
      <c r="CB74" s="123">
        <v>14.24</v>
      </c>
      <c r="CC74" s="124">
        <v>45577</v>
      </c>
      <c r="CD74" s="121" t="s">
        <v>553</v>
      </c>
      <c r="CE74" s="122" t="s">
        <v>1364</v>
      </c>
      <c r="CF74" s="123">
        <v>14.67</v>
      </c>
      <c r="CG74" s="124">
        <v>45561</v>
      </c>
      <c r="CH74" s="123">
        <v>14.67</v>
      </c>
      <c r="CI74" s="124">
        <v>45577</v>
      </c>
      <c r="CJ74" s="121" t="s">
        <v>553</v>
      </c>
      <c r="CK74" s="122" t="s">
        <v>1364</v>
      </c>
      <c r="CL74" s="123">
        <v>13.89</v>
      </c>
      <c r="CM74" s="124">
        <v>45561</v>
      </c>
      <c r="CN74" s="123">
        <v>13.89</v>
      </c>
      <c r="CO74" s="124">
        <v>45577</v>
      </c>
      <c r="CP74" s="121" t="s">
        <v>553</v>
      </c>
      <c r="CQ74" s="122" t="s">
        <v>1364</v>
      </c>
      <c r="CR74" s="123">
        <v>13.92</v>
      </c>
      <c r="CS74" s="124">
        <v>45561</v>
      </c>
      <c r="CT74" s="123">
        <v>13.92</v>
      </c>
      <c r="CU74" s="124">
        <v>45577</v>
      </c>
      <c r="CV74" s="121" t="s">
        <v>553</v>
      </c>
      <c r="CW74" s="122" t="s">
        <v>1364</v>
      </c>
      <c r="CX74" s="123" t="s">
        <v>1365</v>
      </c>
      <c r="CY74" s="124">
        <v>45561</v>
      </c>
      <c r="CZ74" s="123" t="s">
        <v>1365</v>
      </c>
      <c r="DA74" s="124">
        <v>45577</v>
      </c>
      <c r="DB74" s="129" t="s">
        <v>6962</v>
      </c>
      <c r="DC74" s="129" t="s">
        <v>105</v>
      </c>
    </row>
    <row r="75" spans="1:107" s="40" customFormat="1" ht="14.55" customHeight="1" x14ac:dyDescent="0.3">
      <c r="A75" s="66" t="s">
        <v>3500</v>
      </c>
      <c r="B75" s="66" t="s">
        <v>3746</v>
      </c>
      <c r="C75" s="66" t="s">
        <v>3747</v>
      </c>
      <c r="D75" s="66" t="s">
        <v>1373</v>
      </c>
      <c r="E75" s="66" t="s">
        <v>70</v>
      </c>
      <c r="F75" s="66" t="s">
        <v>1329</v>
      </c>
      <c r="G75" s="68" t="s">
        <v>72</v>
      </c>
      <c r="H75" s="43" t="s">
        <v>251</v>
      </c>
      <c r="I75" s="68">
        <v>1701</v>
      </c>
      <c r="J75" s="68">
        <v>170156</v>
      </c>
      <c r="K75" s="69">
        <v>4</v>
      </c>
      <c r="L75" s="66" t="s">
        <v>1374</v>
      </c>
      <c r="M75" s="66" t="s">
        <v>1375</v>
      </c>
      <c r="N75" s="66" t="s">
        <v>1376</v>
      </c>
      <c r="O75" s="66"/>
      <c r="P75" s="66"/>
      <c r="Q75" s="66"/>
      <c r="R75" s="66"/>
      <c r="S75" s="66"/>
      <c r="T75" s="66"/>
      <c r="U75" s="66" t="s">
        <v>1377</v>
      </c>
      <c r="V75" s="66"/>
      <c r="W75" s="66" t="s">
        <v>1378</v>
      </c>
      <c r="X75" s="66" t="s">
        <v>1379</v>
      </c>
      <c r="Y75" s="66" t="s">
        <v>1380</v>
      </c>
      <c r="Z75" s="66"/>
      <c r="AA75" s="66"/>
      <c r="AB75" s="66"/>
      <c r="AC75" s="66"/>
      <c r="AD75" s="66"/>
      <c r="AE75" s="69">
        <v>2</v>
      </c>
      <c r="AF75" s="69" t="s">
        <v>64</v>
      </c>
      <c r="AG75" s="46" t="s">
        <v>66</v>
      </c>
      <c r="AH75" s="70">
        <v>40893</v>
      </c>
      <c r="AI75" s="71" t="s">
        <v>66</v>
      </c>
      <c r="AJ75" s="49" t="s">
        <v>6938</v>
      </c>
      <c r="AK75" s="50" t="s">
        <v>67</v>
      </c>
      <c r="AL75" s="58">
        <v>45561</v>
      </c>
      <c r="AM75" s="52" t="s">
        <v>66</v>
      </c>
      <c r="AN75" s="52"/>
      <c r="AO75" s="52"/>
      <c r="AP75" s="52"/>
      <c r="AQ75" s="53">
        <f t="shared" si="6"/>
        <v>0</v>
      </c>
      <c r="AR75" s="54">
        <f t="shared" si="7"/>
        <v>5</v>
      </c>
      <c r="AS75" s="55">
        <f t="shared" si="8"/>
        <v>5</v>
      </c>
      <c r="AT75" s="102"/>
      <c r="AU75" s="103" t="s">
        <v>1356</v>
      </c>
      <c r="AV75" s="104"/>
      <c r="AW75" s="105"/>
      <c r="AX75" s="104"/>
      <c r="AY75" s="106"/>
      <c r="AZ75" s="102"/>
      <c r="BA75" s="103" t="s">
        <v>1356</v>
      </c>
      <c r="BB75" s="104"/>
      <c r="BC75" s="106"/>
      <c r="BD75" s="104"/>
      <c r="BE75" s="106"/>
      <c r="BF75" s="102"/>
      <c r="BG75" s="103" t="s">
        <v>1356</v>
      </c>
      <c r="BH75" s="104"/>
      <c r="BI75" s="106"/>
      <c r="BJ75" s="104"/>
      <c r="BK75" s="106"/>
      <c r="BL75" s="102"/>
      <c r="BM75" s="103" t="s">
        <v>1356</v>
      </c>
      <c r="BN75" s="104"/>
      <c r="BO75" s="106"/>
      <c r="BP75" s="104"/>
      <c r="BQ75" s="106"/>
      <c r="BR75" s="102"/>
      <c r="BS75" s="103" t="s">
        <v>1356</v>
      </c>
      <c r="BT75" s="104"/>
      <c r="BU75" s="106"/>
      <c r="BV75" s="104"/>
      <c r="BW75" s="106"/>
      <c r="BX75" s="121" t="s">
        <v>1336</v>
      </c>
      <c r="BY75" s="122" t="s">
        <v>1381</v>
      </c>
      <c r="BZ75" s="123">
        <v>21</v>
      </c>
      <c r="CA75" s="124">
        <v>45561</v>
      </c>
      <c r="CB75" s="123">
        <v>21</v>
      </c>
      <c r="CC75" s="124">
        <v>45579</v>
      </c>
      <c r="CD75" s="121" t="s">
        <v>1336</v>
      </c>
      <c r="CE75" s="122" t="s">
        <v>1381</v>
      </c>
      <c r="CF75" s="123">
        <v>15</v>
      </c>
      <c r="CG75" s="124">
        <v>45561</v>
      </c>
      <c r="CH75" s="123">
        <v>15</v>
      </c>
      <c r="CI75" s="124">
        <v>45579</v>
      </c>
      <c r="CJ75" s="121" t="s">
        <v>1336</v>
      </c>
      <c r="CK75" s="122" t="s">
        <v>1381</v>
      </c>
      <c r="CL75" s="123">
        <v>10</v>
      </c>
      <c r="CM75" s="124">
        <v>45561</v>
      </c>
      <c r="CN75" s="123">
        <v>10</v>
      </c>
      <c r="CO75" s="124">
        <v>45579</v>
      </c>
      <c r="CP75" s="121" t="s">
        <v>1336</v>
      </c>
      <c r="CQ75" s="122" t="s">
        <v>1381</v>
      </c>
      <c r="CR75" s="123">
        <v>6.8</v>
      </c>
      <c r="CS75" s="124">
        <v>45561</v>
      </c>
      <c r="CT75" s="123">
        <v>6.8</v>
      </c>
      <c r="CU75" s="124">
        <v>45579</v>
      </c>
      <c r="CV75" s="121" t="s">
        <v>1336</v>
      </c>
      <c r="CW75" s="122" t="s">
        <v>1381</v>
      </c>
      <c r="CX75" s="123" t="s">
        <v>1382</v>
      </c>
      <c r="CY75" s="124">
        <v>45561</v>
      </c>
      <c r="CZ75" s="123" t="s">
        <v>1382</v>
      </c>
      <c r="DA75" s="124">
        <v>45579</v>
      </c>
      <c r="DB75" s="129" t="s">
        <v>6962</v>
      </c>
      <c r="DC75" s="129" t="s">
        <v>105</v>
      </c>
    </row>
    <row r="76" spans="1:107" s="40" customFormat="1" ht="14.55" customHeight="1" x14ac:dyDescent="0.3">
      <c r="A76" s="66" t="s">
        <v>3500</v>
      </c>
      <c r="B76" s="66" t="s">
        <v>3758</v>
      </c>
      <c r="C76" s="66" t="s">
        <v>3759</v>
      </c>
      <c r="D76" s="66" t="s">
        <v>1422</v>
      </c>
      <c r="E76" s="66" t="s">
        <v>1423</v>
      </c>
      <c r="F76" s="66" t="s">
        <v>1424</v>
      </c>
      <c r="G76" s="68" t="s">
        <v>72</v>
      </c>
      <c r="H76" s="43" t="s">
        <v>251</v>
      </c>
      <c r="I76" s="68">
        <v>1701</v>
      </c>
      <c r="J76" s="68">
        <v>170156</v>
      </c>
      <c r="K76" s="69">
        <v>4</v>
      </c>
      <c r="L76" s="66" t="s">
        <v>1425</v>
      </c>
      <c r="M76" s="66" t="s">
        <v>1426</v>
      </c>
      <c r="N76" s="66" t="s">
        <v>1427</v>
      </c>
      <c r="O76" s="66"/>
      <c r="P76" s="66"/>
      <c r="Q76" s="66" t="s">
        <v>1428</v>
      </c>
      <c r="R76" s="66" t="s">
        <v>113</v>
      </c>
      <c r="S76" s="66" t="s">
        <v>60</v>
      </c>
      <c r="T76" s="66"/>
      <c r="U76" s="66" t="s">
        <v>1095</v>
      </c>
      <c r="V76" s="66" t="s">
        <v>224</v>
      </c>
      <c r="W76" s="66" t="s">
        <v>1429</v>
      </c>
      <c r="X76" s="66" t="s">
        <v>1430</v>
      </c>
      <c r="Y76" s="66" t="s">
        <v>1431</v>
      </c>
      <c r="Z76" s="66">
        <v>-78.467053771018982</v>
      </c>
      <c r="AA76" s="66">
        <v>-0.26546264085719268</v>
      </c>
      <c r="AB76" s="66">
        <v>170156007</v>
      </c>
      <c r="AC76" s="66">
        <v>170156007007</v>
      </c>
      <c r="AD76" s="66">
        <v>170156007007001</v>
      </c>
      <c r="AE76" s="69">
        <v>3</v>
      </c>
      <c r="AF76" s="69" t="s">
        <v>377</v>
      </c>
      <c r="AG76" s="46" t="s">
        <v>66</v>
      </c>
      <c r="AH76" s="70">
        <v>40904</v>
      </c>
      <c r="AI76" s="71" t="s">
        <v>66</v>
      </c>
      <c r="AJ76" s="49" t="s">
        <v>6938</v>
      </c>
      <c r="AK76" s="50" t="s">
        <v>67</v>
      </c>
      <c r="AL76" s="58">
        <v>45561</v>
      </c>
      <c r="AM76" s="52" t="s">
        <v>66</v>
      </c>
      <c r="AN76" s="52"/>
      <c r="AO76" s="52"/>
      <c r="AP76" s="52"/>
      <c r="AQ76" s="53">
        <f t="shared" si="6"/>
        <v>0</v>
      </c>
      <c r="AR76" s="54">
        <f t="shared" si="7"/>
        <v>4</v>
      </c>
      <c r="AS76" s="55">
        <f t="shared" si="8"/>
        <v>4</v>
      </c>
      <c r="AT76" s="102"/>
      <c r="AU76" s="103" t="s">
        <v>1356</v>
      </c>
      <c r="AV76" s="104"/>
      <c r="AW76" s="105"/>
      <c r="AX76" s="104"/>
      <c r="AY76" s="106"/>
      <c r="AZ76" s="102"/>
      <c r="BA76" s="103" t="s">
        <v>1356</v>
      </c>
      <c r="BB76" s="104"/>
      <c r="BC76" s="106"/>
      <c r="BD76" s="104"/>
      <c r="BE76" s="106"/>
      <c r="BF76" s="102"/>
      <c r="BG76" s="103" t="s">
        <v>1356</v>
      </c>
      <c r="BH76" s="104"/>
      <c r="BI76" s="106"/>
      <c r="BJ76" s="104"/>
      <c r="BK76" s="106"/>
      <c r="BL76" s="102"/>
      <c r="BM76" s="103" t="s">
        <v>1356</v>
      </c>
      <c r="BN76" s="104"/>
      <c r="BO76" s="106"/>
      <c r="BP76" s="104"/>
      <c r="BQ76" s="106"/>
      <c r="BR76" s="102"/>
      <c r="BS76" s="103" t="s">
        <v>1356</v>
      </c>
      <c r="BT76" s="104"/>
      <c r="BU76" s="106"/>
      <c r="BV76" s="104"/>
      <c r="BW76" s="106"/>
      <c r="BX76" s="121" t="s">
        <v>1432</v>
      </c>
      <c r="BY76" s="122" t="s">
        <v>1433</v>
      </c>
      <c r="BZ76" s="123">
        <v>28.2</v>
      </c>
      <c r="CA76" s="124">
        <v>45590</v>
      </c>
      <c r="CB76" s="123">
        <v>28.2</v>
      </c>
      <c r="CC76" s="124">
        <v>45581</v>
      </c>
      <c r="CD76" s="121" t="s">
        <v>1434</v>
      </c>
      <c r="CE76" s="122" t="s">
        <v>1435</v>
      </c>
      <c r="CF76" s="123">
        <v>31.44</v>
      </c>
      <c r="CG76" s="124">
        <v>45590</v>
      </c>
      <c r="CH76" s="123">
        <v>31.44</v>
      </c>
      <c r="CI76" s="124">
        <v>45581</v>
      </c>
      <c r="CJ76" s="121" t="s">
        <v>1436</v>
      </c>
      <c r="CK76" s="122" t="s">
        <v>1437</v>
      </c>
      <c r="CL76" s="125">
        <v>33.72</v>
      </c>
      <c r="CM76" s="124">
        <v>45590</v>
      </c>
      <c r="CN76" s="125">
        <v>33.72</v>
      </c>
      <c r="CO76" s="124">
        <v>45581</v>
      </c>
      <c r="CP76" s="121" t="s">
        <v>1438</v>
      </c>
      <c r="CQ76" s="122" t="s">
        <v>1439</v>
      </c>
      <c r="CR76" s="125">
        <v>33.72</v>
      </c>
      <c r="CS76" s="124">
        <v>45590</v>
      </c>
      <c r="CT76" s="125">
        <v>33.72</v>
      </c>
      <c r="CU76" s="124">
        <v>45581</v>
      </c>
      <c r="CV76" s="121"/>
      <c r="CW76" s="122" t="s">
        <v>1356</v>
      </c>
      <c r="CX76" s="123"/>
      <c r="CY76" s="124"/>
      <c r="CZ76" s="123"/>
      <c r="DA76" s="124">
        <v>45581</v>
      </c>
      <c r="DB76" s="129" t="s">
        <v>6962</v>
      </c>
      <c r="DC76" s="129" t="s">
        <v>105</v>
      </c>
    </row>
    <row r="77" spans="1:107" s="40" customFormat="1" ht="14.55" customHeight="1" x14ac:dyDescent="0.3">
      <c r="A77" s="25" t="s">
        <v>3500</v>
      </c>
      <c r="B77" s="25" t="s">
        <v>3637</v>
      </c>
      <c r="C77" s="25" t="s">
        <v>3638</v>
      </c>
      <c r="D77" s="25" t="s">
        <v>807</v>
      </c>
      <c r="E77" s="25" t="s">
        <v>808</v>
      </c>
      <c r="F77" s="25" t="s">
        <v>81</v>
      </c>
      <c r="G77" s="26" t="s">
        <v>57</v>
      </c>
      <c r="H77" s="27" t="s">
        <v>6922</v>
      </c>
      <c r="I77" s="26">
        <v>801</v>
      </c>
      <c r="J77" s="26">
        <v>80159</v>
      </c>
      <c r="K77" s="28">
        <v>4</v>
      </c>
      <c r="L77" s="25" t="s">
        <v>809</v>
      </c>
      <c r="M77" s="25"/>
      <c r="N77" s="25" t="s">
        <v>810</v>
      </c>
      <c r="O77" s="25" t="s">
        <v>811</v>
      </c>
      <c r="P77" s="25"/>
      <c r="Q77" s="25" t="s">
        <v>812</v>
      </c>
      <c r="R77" s="25" t="s">
        <v>60</v>
      </c>
      <c r="S77" s="25"/>
      <c r="T77" s="25"/>
      <c r="U77" s="25"/>
      <c r="V77" s="25"/>
      <c r="W77" s="25" t="s">
        <v>813</v>
      </c>
      <c r="X77" s="25" t="s">
        <v>814</v>
      </c>
      <c r="Y77" s="25" t="s">
        <v>815</v>
      </c>
      <c r="Z77" s="25"/>
      <c r="AA77" s="25"/>
      <c r="AB77" s="25">
        <v>80159999</v>
      </c>
      <c r="AC77" s="25">
        <v>80159999004</v>
      </c>
      <c r="AD77" s="25"/>
      <c r="AE77" s="28">
        <v>5</v>
      </c>
      <c r="AF77" s="28" t="s">
        <v>772</v>
      </c>
      <c r="AG77" s="29" t="s">
        <v>65</v>
      </c>
      <c r="AH77" s="30"/>
      <c r="AI77" s="31" t="s">
        <v>66</v>
      </c>
      <c r="AJ77" s="32" t="s">
        <v>6938</v>
      </c>
      <c r="AK77" s="33" t="s">
        <v>67</v>
      </c>
      <c r="AL77" s="34">
        <v>45547</v>
      </c>
      <c r="AM77" s="36" t="s">
        <v>65</v>
      </c>
      <c r="AN77" s="36" t="s">
        <v>816</v>
      </c>
      <c r="AO77" s="36" t="s">
        <v>816</v>
      </c>
      <c r="AP77" s="36" t="s">
        <v>816</v>
      </c>
      <c r="AQ77" s="37">
        <f t="shared" si="6"/>
        <v>0</v>
      </c>
      <c r="AR77" s="38">
        <f t="shared" si="7"/>
        <v>0</v>
      </c>
      <c r="AS77" s="39">
        <f t="shared" si="8"/>
        <v>0</v>
      </c>
      <c r="AT77" s="91"/>
      <c r="AU77" s="92" t="s">
        <v>1356</v>
      </c>
      <c r="AV77" s="93"/>
      <c r="AW77" s="94"/>
      <c r="AX77" s="93"/>
      <c r="AY77" s="95"/>
      <c r="AZ77" s="91"/>
      <c r="BA77" s="92" t="s">
        <v>1356</v>
      </c>
      <c r="BB77" s="93"/>
      <c r="BC77" s="95"/>
      <c r="BD77" s="93"/>
      <c r="BE77" s="95"/>
      <c r="BF77" s="91"/>
      <c r="BG77" s="92" t="s">
        <v>1356</v>
      </c>
      <c r="BH77" s="93"/>
      <c r="BI77" s="95"/>
      <c r="BJ77" s="93"/>
      <c r="BK77" s="95"/>
      <c r="BL77" s="91"/>
      <c r="BM77" s="92" t="s">
        <v>1356</v>
      </c>
      <c r="BN77" s="93"/>
      <c r="BO77" s="95"/>
      <c r="BP77" s="93"/>
      <c r="BQ77" s="95"/>
      <c r="BR77" s="91"/>
      <c r="BS77" s="92" t="s">
        <v>1356</v>
      </c>
      <c r="BT77" s="93"/>
      <c r="BU77" s="95"/>
      <c r="BV77" s="93"/>
      <c r="BW77" s="95"/>
      <c r="BX77" s="113"/>
      <c r="BY77" s="114" t="s">
        <v>1356</v>
      </c>
      <c r="BZ77" s="115"/>
      <c r="CA77" s="116"/>
      <c r="CB77" s="115"/>
      <c r="CC77" s="116"/>
      <c r="CD77" s="113"/>
      <c r="CE77" s="114" t="s">
        <v>1356</v>
      </c>
      <c r="CF77" s="115"/>
      <c r="CG77" s="116"/>
      <c r="CH77" s="115"/>
      <c r="CI77" s="116"/>
      <c r="CJ77" s="113"/>
      <c r="CK77" s="114" t="s">
        <v>1356</v>
      </c>
      <c r="CL77" s="115"/>
      <c r="CM77" s="116"/>
      <c r="CN77" s="115"/>
      <c r="CO77" s="116"/>
      <c r="CP77" s="113"/>
      <c r="CQ77" s="114" t="s">
        <v>1356</v>
      </c>
      <c r="CR77" s="115"/>
      <c r="CS77" s="116"/>
      <c r="CT77" s="115"/>
      <c r="CU77" s="116"/>
      <c r="CV77" s="113"/>
      <c r="CW77" s="114" t="s">
        <v>1356</v>
      </c>
      <c r="CX77" s="115"/>
      <c r="CY77" s="116"/>
      <c r="CZ77" s="115"/>
      <c r="DA77" s="116"/>
      <c r="DB77" s="128" t="s">
        <v>7085</v>
      </c>
      <c r="DC77" s="128" t="s">
        <v>105</v>
      </c>
    </row>
    <row r="78" spans="1:107" s="40" customFormat="1" ht="14.55" customHeight="1" x14ac:dyDescent="0.3">
      <c r="A78" s="35" t="s">
        <v>4219</v>
      </c>
      <c r="B78" s="35" t="s">
        <v>5593</v>
      </c>
      <c r="C78" s="35" t="s">
        <v>5594</v>
      </c>
      <c r="D78" s="35" t="s">
        <v>5595</v>
      </c>
      <c r="E78" s="35" t="s">
        <v>5596</v>
      </c>
      <c r="F78" s="35" t="s">
        <v>256</v>
      </c>
      <c r="G78" s="35" t="s">
        <v>4237</v>
      </c>
      <c r="H78" s="27" t="s">
        <v>686</v>
      </c>
      <c r="I78" s="62">
        <v>901</v>
      </c>
      <c r="J78" s="62">
        <v>90150</v>
      </c>
      <c r="K78" s="63">
        <v>4</v>
      </c>
      <c r="L78" s="35" t="s">
        <v>4591</v>
      </c>
      <c r="M78" s="35" t="s">
        <v>261</v>
      </c>
      <c r="N78" s="35" t="s">
        <v>5597</v>
      </c>
      <c r="O78" s="35"/>
      <c r="P78" s="35"/>
      <c r="Q78" s="35"/>
      <c r="R78" s="35" t="s">
        <v>60</v>
      </c>
      <c r="S78" s="35"/>
      <c r="T78" s="35"/>
      <c r="U78" s="35"/>
      <c r="V78" s="35"/>
      <c r="W78" s="35" t="s">
        <v>4593</v>
      </c>
      <c r="X78" s="35" t="s">
        <v>4594</v>
      </c>
      <c r="Y78" s="35" t="s">
        <v>5598</v>
      </c>
      <c r="Z78" s="35"/>
      <c r="AA78" s="35"/>
      <c r="AB78" s="35">
        <v>90150248</v>
      </c>
      <c r="AC78" s="35">
        <v>90150248005</v>
      </c>
      <c r="AD78" s="35">
        <v>90150248005002</v>
      </c>
      <c r="AE78" s="63">
        <v>5</v>
      </c>
      <c r="AF78" s="63" t="s">
        <v>772</v>
      </c>
      <c r="AG78" s="46" t="s">
        <v>66</v>
      </c>
      <c r="AH78" s="64">
        <v>80193</v>
      </c>
      <c r="AI78" s="65" t="s">
        <v>66</v>
      </c>
      <c r="AJ78" s="32" t="s">
        <v>6938</v>
      </c>
      <c r="AK78" s="33" t="s">
        <v>67</v>
      </c>
      <c r="AL78" s="34">
        <v>45561</v>
      </c>
      <c r="AM78" s="52" t="s">
        <v>66</v>
      </c>
      <c r="AN78" s="35"/>
      <c r="AO78" s="35"/>
      <c r="AP78" s="35"/>
      <c r="AQ78" s="37">
        <f t="shared" si="6"/>
        <v>5</v>
      </c>
      <c r="AR78" s="38">
        <f t="shared" si="7"/>
        <v>0</v>
      </c>
      <c r="AS78" s="39">
        <f t="shared" si="8"/>
        <v>5</v>
      </c>
      <c r="AT78" s="99" t="s">
        <v>2712</v>
      </c>
      <c r="AU78" s="99" t="s">
        <v>7070</v>
      </c>
      <c r="AV78" s="99" t="s">
        <v>7071</v>
      </c>
      <c r="AW78" s="100">
        <v>45170</v>
      </c>
      <c r="AX78" s="99"/>
      <c r="AY78" s="101"/>
      <c r="AZ78" s="99" t="s">
        <v>6877</v>
      </c>
      <c r="BA78" s="99" t="s">
        <v>6878</v>
      </c>
      <c r="BB78" s="99" t="s">
        <v>7072</v>
      </c>
      <c r="BC78" s="101">
        <v>45170</v>
      </c>
      <c r="BD78" s="99"/>
      <c r="BE78" s="101"/>
      <c r="BF78" s="99" t="s">
        <v>7073</v>
      </c>
      <c r="BG78" s="99" t="s">
        <v>6762</v>
      </c>
      <c r="BH78" s="99">
        <v>0</v>
      </c>
      <c r="BI78" s="101">
        <v>45170</v>
      </c>
      <c r="BJ78" s="99"/>
      <c r="BK78" s="101"/>
      <c r="BL78" s="99" t="s">
        <v>6766</v>
      </c>
      <c r="BM78" s="99" t="s">
        <v>2865</v>
      </c>
      <c r="BN78" s="99" t="s">
        <v>7074</v>
      </c>
      <c r="BO78" s="101">
        <v>45170</v>
      </c>
      <c r="BP78" s="99"/>
      <c r="BQ78" s="101"/>
      <c r="BR78" s="99" t="s">
        <v>699</v>
      </c>
      <c r="BS78" s="99" t="s">
        <v>6730</v>
      </c>
      <c r="BT78" s="99" t="s">
        <v>7075</v>
      </c>
      <c r="BU78" s="101">
        <v>45170</v>
      </c>
      <c r="BV78" s="99"/>
      <c r="BW78" s="101"/>
      <c r="BX78" s="119"/>
      <c r="BY78" s="119" t="s">
        <v>1356</v>
      </c>
      <c r="BZ78" s="119"/>
      <c r="CA78" s="120"/>
      <c r="CB78" s="119"/>
      <c r="CC78" s="120"/>
      <c r="CD78" s="119"/>
      <c r="CE78" s="119" t="s">
        <v>1356</v>
      </c>
      <c r="CF78" s="119"/>
      <c r="CG78" s="120"/>
      <c r="CH78" s="119"/>
      <c r="CI78" s="120"/>
      <c r="CJ78" s="119"/>
      <c r="CK78" s="119" t="s">
        <v>1356</v>
      </c>
      <c r="CL78" s="119"/>
      <c r="CM78" s="120"/>
      <c r="CN78" s="119"/>
      <c r="CO78" s="120"/>
      <c r="CP78" s="119"/>
      <c r="CQ78" s="119" t="s">
        <v>1356</v>
      </c>
      <c r="CR78" s="119"/>
      <c r="CS78" s="120"/>
      <c r="CT78" s="119"/>
      <c r="CU78" s="120"/>
      <c r="CV78" s="119"/>
      <c r="CW78" s="119" t="s">
        <v>1356</v>
      </c>
      <c r="CX78" s="119"/>
      <c r="CY78" s="120"/>
      <c r="CZ78" s="119"/>
      <c r="DA78" s="120"/>
      <c r="DB78" s="129" t="s">
        <v>6962</v>
      </c>
      <c r="DC78" s="131" t="s">
        <v>105</v>
      </c>
    </row>
    <row r="79" spans="1:107" s="40" customFormat="1" ht="14.55" customHeight="1" x14ac:dyDescent="0.3">
      <c r="A79" s="35" t="s">
        <v>4219</v>
      </c>
      <c r="B79" s="35" t="s">
        <v>5599</v>
      </c>
      <c r="C79" s="35" t="s">
        <v>5600</v>
      </c>
      <c r="D79" s="35" t="s">
        <v>5601</v>
      </c>
      <c r="E79" s="35" t="s">
        <v>5602</v>
      </c>
      <c r="F79" s="35" t="s">
        <v>233</v>
      </c>
      <c r="G79" s="35" t="s">
        <v>4237</v>
      </c>
      <c r="H79" s="27" t="s">
        <v>686</v>
      </c>
      <c r="I79" s="62">
        <v>901</v>
      </c>
      <c r="J79" s="62">
        <v>90150</v>
      </c>
      <c r="K79" s="63">
        <v>4</v>
      </c>
      <c r="L79" s="35" t="s">
        <v>5603</v>
      </c>
      <c r="M79" s="35"/>
      <c r="N79" s="35" t="s">
        <v>5604</v>
      </c>
      <c r="O79" s="35" t="s">
        <v>4532</v>
      </c>
      <c r="P79" s="35"/>
      <c r="Q79" s="35"/>
      <c r="R79" s="35" t="s">
        <v>60</v>
      </c>
      <c r="S79" s="35"/>
      <c r="T79" s="35"/>
      <c r="U79" s="35" t="s">
        <v>5605</v>
      </c>
      <c r="V79" s="35" t="s">
        <v>5606</v>
      </c>
      <c r="W79" s="35" t="s">
        <v>5607</v>
      </c>
      <c r="X79" s="35" t="s">
        <v>5608</v>
      </c>
      <c r="Y79" s="35" t="s">
        <v>5609</v>
      </c>
      <c r="Z79" s="35">
        <v>-79.939437300054109</v>
      </c>
      <c r="AA79" s="35">
        <v>-2.06984351568543</v>
      </c>
      <c r="AB79" s="35">
        <v>90150666</v>
      </c>
      <c r="AC79" s="35">
        <v>90150666001</v>
      </c>
      <c r="AD79" s="35">
        <v>90150666001001</v>
      </c>
      <c r="AE79" s="63">
        <v>5</v>
      </c>
      <c r="AF79" s="63" t="s">
        <v>772</v>
      </c>
      <c r="AG79" s="46" t="s">
        <v>66</v>
      </c>
      <c r="AH79" s="64">
        <v>80123</v>
      </c>
      <c r="AI79" s="65" t="s">
        <v>66</v>
      </c>
      <c r="AJ79" s="32" t="s">
        <v>6938</v>
      </c>
      <c r="AK79" s="33" t="s">
        <v>67</v>
      </c>
      <c r="AL79" s="34">
        <v>45561</v>
      </c>
      <c r="AM79" s="52" t="s">
        <v>66</v>
      </c>
      <c r="AN79" s="35"/>
      <c r="AO79" s="35"/>
      <c r="AP79" s="35"/>
      <c r="AQ79" s="37">
        <f t="shared" si="6"/>
        <v>2</v>
      </c>
      <c r="AR79" s="38">
        <f t="shared" si="7"/>
        <v>0</v>
      </c>
      <c r="AS79" s="39">
        <f t="shared" si="8"/>
        <v>2</v>
      </c>
      <c r="AT79" s="99" t="s">
        <v>1277</v>
      </c>
      <c r="AU79" s="99" t="s">
        <v>6736</v>
      </c>
      <c r="AV79" s="99" t="s">
        <v>7068</v>
      </c>
      <c r="AW79" s="100">
        <v>45160</v>
      </c>
      <c r="AX79" s="99"/>
      <c r="AY79" s="101"/>
      <c r="AZ79" s="99" t="s">
        <v>1521</v>
      </c>
      <c r="BA79" s="99" t="s">
        <v>1522</v>
      </c>
      <c r="BB79" s="99" t="s">
        <v>7069</v>
      </c>
      <c r="BC79" s="101">
        <v>45554</v>
      </c>
      <c r="BD79" s="99"/>
      <c r="BE79" s="101"/>
      <c r="BF79" s="99"/>
      <c r="BG79" s="99" t="s">
        <v>1356</v>
      </c>
      <c r="BH79" s="99"/>
      <c r="BI79" s="101"/>
      <c r="BJ79" s="99"/>
      <c r="BK79" s="101"/>
      <c r="BL79" s="99"/>
      <c r="BM79" s="99" t="s">
        <v>1356</v>
      </c>
      <c r="BN79" s="99"/>
      <c r="BO79" s="101"/>
      <c r="BP79" s="99"/>
      <c r="BQ79" s="101"/>
      <c r="BR79" s="99"/>
      <c r="BS79" s="99" t="s">
        <v>1356</v>
      </c>
      <c r="BT79" s="99"/>
      <c r="BU79" s="101"/>
      <c r="BV79" s="99"/>
      <c r="BW79" s="101"/>
      <c r="BX79" s="119"/>
      <c r="BY79" s="119" t="s">
        <v>1356</v>
      </c>
      <c r="BZ79" s="119"/>
      <c r="CA79" s="120"/>
      <c r="CB79" s="119"/>
      <c r="CC79" s="120"/>
      <c r="CD79" s="119"/>
      <c r="CE79" s="119" t="s">
        <v>1356</v>
      </c>
      <c r="CF79" s="119"/>
      <c r="CG79" s="120"/>
      <c r="CH79" s="119"/>
      <c r="CI79" s="120"/>
      <c r="CJ79" s="119"/>
      <c r="CK79" s="119" t="s">
        <v>1356</v>
      </c>
      <c r="CL79" s="119"/>
      <c r="CM79" s="120"/>
      <c r="CN79" s="119"/>
      <c r="CO79" s="120"/>
      <c r="CP79" s="119"/>
      <c r="CQ79" s="119" t="s">
        <v>1356</v>
      </c>
      <c r="CR79" s="119"/>
      <c r="CS79" s="120"/>
      <c r="CT79" s="119"/>
      <c r="CU79" s="120"/>
      <c r="CV79" s="119"/>
      <c r="CW79" s="119" t="s">
        <v>1356</v>
      </c>
      <c r="CX79" s="119"/>
      <c r="CY79" s="120"/>
      <c r="CZ79" s="119"/>
      <c r="DA79" s="120"/>
      <c r="DB79" s="129" t="s">
        <v>6962</v>
      </c>
      <c r="DC79" s="131" t="s">
        <v>105</v>
      </c>
    </row>
    <row r="80" spans="1:107" s="40" customFormat="1" ht="14.55" customHeight="1" x14ac:dyDescent="0.3">
      <c r="A80" s="35" t="s">
        <v>4219</v>
      </c>
      <c r="B80" s="35" t="s">
        <v>5968</v>
      </c>
      <c r="C80" s="35" t="s">
        <v>5969</v>
      </c>
      <c r="D80" s="35" t="s">
        <v>5970</v>
      </c>
      <c r="E80" s="35" t="s">
        <v>5971</v>
      </c>
      <c r="F80" s="35" t="s">
        <v>56</v>
      </c>
      <c r="G80" s="35" t="s">
        <v>4237</v>
      </c>
      <c r="H80" s="27" t="s">
        <v>686</v>
      </c>
      <c r="I80" s="62">
        <v>901</v>
      </c>
      <c r="J80" s="62">
        <v>90150</v>
      </c>
      <c r="K80" s="63">
        <v>4</v>
      </c>
      <c r="L80" s="35" t="s">
        <v>5972</v>
      </c>
      <c r="M80" s="35" t="s">
        <v>1604</v>
      </c>
      <c r="N80" s="35"/>
      <c r="O80" s="35" t="s">
        <v>1319</v>
      </c>
      <c r="P80" s="35"/>
      <c r="Q80" s="35"/>
      <c r="R80" s="35" t="s">
        <v>146</v>
      </c>
      <c r="S80" s="35"/>
      <c r="T80" s="35"/>
      <c r="U80" s="35" t="s">
        <v>5973</v>
      </c>
      <c r="V80" s="35" t="s">
        <v>5974</v>
      </c>
      <c r="W80" s="35" t="s">
        <v>5975</v>
      </c>
      <c r="X80" s="35" t="s">
        <v>5976</v>
      </c>
      <c r="Y80" s="35" t="s">
        <v>5977</v>
      </c>
      <c r="Z80" s="35"/>
      <c r="AA80" s="35"/>
      <c r="AB80" s="35">
        <v>90150516</v>
      </c>
      <c r="AC80" s="35">
        <v>90150516002</v>
      </c>
      <c r="AD80" s="35">
        <v>90150516002005</v>
      </c>
      <c r="AE80" s="63">
        <v>5</v>
      </c>
      <c r="AF80" s="63" t="s">
        <v>772</v>
      </c>
      <c r="AG80" s="46" t="s">
        <v>66</v>
      </c>
      <c r="AH80" s="64">
        <v>80531</v>
      </c>
      <c r="AI80" s="65" t="s">
        <v>66</v>
      </c>
      <c r="AJ80" s="32" t="s">
        <v>6938</v>
      </c>
      <c r="AK80" s="33" t="s">
        <v>67</v>
      </c>
      <c r="AL80" s="58">
        <v>45561</v>
      </c>
      <c r="AM80" s="52" t="s">
        <v>66</v>
      </c>
      <c r="AN80" s="35"/>
      <c r="AO80" s="35"/>
      <c r="AP80" s="35"/>
      <c r="AQ80" s="37">
        <f t="shared" si="6"/>
        <v>1</v>
      </c>
      <c r="AR80" s="38">
        <f t="shared" si="7"/>
        <v>0</v>
      </c>
      <c r="AS80" s="39">
        <f t="shared" si="8"/>
        <v>1</v>
      </c>
      <c r="AT80" s="99" t="s">
        <v>7051</v>
      </c>
      <c r="AU80" s="99" t="s">
        <v>7052</v>
      </c>
      <c r="AV80" s="99" t="s">
        <v>7006</v>
      </c>
      <c r="AW80" s="100">
        <v>45536</v>
      </c>
      <c r="AX80" s="99"/>
      <c r="AY80" s="101"/>
      <c r="AZ80" s="99"/>
      <c r="BA80" s="99" t="s">
        <v>1356</v>
      </c>
      <c r="BB80" s="99"/>
      <c r="BC80" s="101"/>
      <c r="BD80" s="99"/>
      <c r="BE80" s="101"/>
      <c r="BF80" s="99"/>
      <c r="BG80" s="99" t="s">
        <v>1356</v>
      </c>
      <c r="BH80" s="99"/>
      <c r="BI80" s="101"/>
      <c r="BJ80" s="99"/>
      <c r="BK80" s="101"/>
      <c r="BL80" s="99"/>
      <c r="BM80" s="99" t="s">
        <v>1356</v>
      </c>
      <c r="BN80" s="99"/>
      <c r="BO80" s="101"/>
      <c r="BP80" s="99"/>
      <c r="BQ80" s="101"/>
      <c r="BR80" s="99"/>
      <c r="BS80" s="99" t="s">
        <v>1356</v>
      </c>
      <c r="BT80" s="99"/>
      <c r="BU80" s="101"/>
      <c r="BV80" s="99"/>
      <c r="BW80" s="101"/>
      <c r="BX80" s="119"/>
      <c r="BY80" s="119" t="s">
        <v>1356</v>
      </c>
      <c r="BZ80" s="119"/>
      <c r="CA80" s="120"/>
      <c r="CB80" s="119"/>
      <c r="CC80" s="120"/>
      <c r="CD80" s="119"/>
      <c r="CE80" s="119" t="s">
        <v>1356</v>
      </c>
      <c r="CF80" s="119"/>
      <c r="CG80" s="120"/>
      <c r="CH80" s="119"/>
      <c r="CI80" s="120"/>
      <c r="CJ80" s="119"/>
      <c r="CK80" s="119" t="s">
        <v>1356</v>
      </c>
      <c r="CL80" s="119"/>
      <c r="CM80" s="120"/>
      <c r="CN80" s="119"/>
      <c r="CO80" s="120"/>
      <c r="CP80" s="119"/>
      <c r="CQ80" s="119" t="s">
        <v>1356</v>
      </c>
      <c r="CR80" s="119"/>
      <c r="CS80" s="120"/>
      <c r="CT80" s="119"/>
      <c r="CU80" s="120"/>
      <c r="CV80" s="119"/>
      <c r="CW80" s="119" t="s">
        <v>1356</v>
      </c>
      <c r="CX80" s="119"/>
      <c r="CY80" s="120"/>
      <c r="CZ80" s="119"/>
      <c r="DA80" s="120"/>
      <c r="DB80" s="129" t="s">
        <v>6962</v>
      </c>
      <c r="DC80" s="131" t="s">
        <v>105</v>
      </c>
    </row>
    <row r="81" spans="1:107" s="40" customFormat="1" ht="14.55" customHeight="1" x14ac:dyDescent="0.3">
      <c r="A81" s="42" t="s">
        <v>4219</v>
      </c>
      <c r="B81" s="42" t="s">
        <v>6116</v>
      </c>
      <c r="C81" s="42" t="s">
        <v>6117</v>
      </c>
      <c r="D81" s="42" t="s">
        <v>6118</v>
      </c>
      <c r="E81" s="42" t="s">
        <v>5964</v>
      </c>
      <c r="F81" s="42" t="s">
        <v>274</v>
      </c>
      <c r="G81" s="42" t="s">
        <v>4237</v>
      </c>
      <c r="H81" s="43" t="s">
        <v>686</v>
      </c>
      <c r="I81" s="44">
        <v>901</v>
      </c>
      <c r="J81" s="44">
        <v>90150</v>
      </c>
      <c r="K81" s="45">
        <v>4</v>
      </c>
      <c r="L81" s="42" t="s">
        <v>5963</v>
      </c>
      <c r="M81" s="42"/>
      <c r="N81" s="42" t="s">
        <v>810</v>
      </c>
      <c r="O81" s="42" t="s">
        <v>6119</v>
      </c>
      <c r="P81" s="42"/>
      <c r="Q81" s="42"/>
      <c r="R81" s="42" t="s">
        <v>60</v>
      </c>
      <c r="S81" s="42"/>
      <c r="T81" s="42" t="s">
        <v>5963</v>
      </c>
      <c r="U81" s="42"/>
      <c r="V81" s="42"/>
      <c r="W81" s="42" t="s">
        <v>6120</v>
      </c>
      <c r="X81" s="42" t="s">
        <v>6121</v>
      </c>
      <c r="Y81" s="42" t="s">
        <v>6122</v>
      </c>
      <c r="Z81" s="42"/>
      <c r="AA81" s="42"/>
      <c r="AB81" s="42">
        <v>90150628</v>
      </c>
      <c r="AC81" s="42">
        <v>90150628004</v>
      </c>
      <c r="AD81" s="42">
        <v>90150628004009</v>
      </c>
      <c r="AE81" s="45">
        <v>5</v>
      </c>
      <c r="AF81" s="45" t="s">
        <v>772</v>
      </c>
      <c r="AG81" s="46" t="s">
        <v>66</v>
      </c>
      <c r="AH81" s="47" t="s">
        <v>6123</v>
      </c>
      <c r="AI81" s="48" t="s">
        <v>66</v>
      </c>
      <c r="AJ81" s="49" t="s">
        <v>6938</v>
      </c>
      <c r="AK81" s="50" t="s">
        <v>67</v>
      </c>
      <c r="AL81" s="34">
        <v>45561</v>
      </c>
      <c r="AM81" s="52" t="s">
        <v>66</v>
      </c>
      <c r="AN81" s="42"/>
      <c r="AO81" s="42"/>
      <c r="AP81" s="42"/>
      <c r="AQ81" s="53">
        <f t="shared" si="6"/>
        <v>2</v>
      </c>
      <c r="AR81" s="54">
        <f t="shared" si="7"/>
        <v>0</v>
      </c>
      <c r="AS81" s="55">
        <f t="shared" si="8"/>
        <v>2</v>
      </c>
      <c r="AT81" s="96" t="s">
        <v>6837</v>
      </c>
      <c r="AU81" s="96" t="s">
        <v>6838</v>
      </c>
      <c r="AV81" s="96" t="s">
        <v>6839</v>
      </c>
      <c r="AW81" s="97" t="s">
        <v>6840</v>
      </c>
      <c r="AX81" s="96" t="s">
        <v>6839</v>
      </c>
      <c r="AY81" s="98" t="s">
        <v>6840</v>
      </c>
      <c r="AZ81" s="96" t="s">
        <v>2945</v>
      </c>
      <c r="BA81" s="96" t="s">
        <v>3345</v>
      </c>
      <c r="BB81" s="96" t="s">
        <v>6841</v>
      </c>
      <c r="BC81" s="98" t="s">
        <v>6840</v>
      </c>
      <c r="BD81" s="96" t="s">
        <v>6841</v>
      </c>
      <c r="BE81" s="98" t="s">
        <v>6840</v>
      </c>
      <c r="BF81" s="96"/>
      <c r="BG81" s="96" t="s">
        <v>1356</v>
      </c>
      <c r="BH81" s="96"/>
      <c r="BI81" s="98"/>
      <c r="BJ81" s="96"/>
      <c r="BK81" s="98"/>
      <c r="BL81" s="96"/>
      <c r="BM81" s="96" t="s">
        <v>1356</v>
      </c>
      <c r="BN81" s="96"/>
      <c r="BO81" s="98"/>
      <c r="BP81" s="96"/>
      <c r="BQ81" s="98"/>
      <c r="BR81" s="96"/>
      <c r="BS81" s="96" t="s">
        <v>1356</v>
      </c>
      <c r="BT81" s="96"/>
      <c r="BU81" s="98"/>
      <c r="BV81" s="96"/>
      <c r="BW81" s="98"/>
      <c r="BX81" s="117"/>
      <c r="BY81" s="117" t="s">
        <v>1356</v>
      </c>
      <c r="BZ81" s="117"/>
      <c r="CA81" s="118"/>
      <c r="CB81" s="117"/>
      <c r="CC81" s="118"/>
      <c r="CD81" s="117"/>
      <c r="CE81" s="117" t="s">
        <v>1356</v>
      </c>
      <c r="CF81" s="117"/>
      <c r="CG81" s="118"/>
      <c r="CH81" s="117"/>
      <c r="CI81" s="118"/>
      <c r="CJ81" s="117"/>
      <c r="CK81" s="117" t="s">
        <v>1356</v>
      </c>
      <c r="CL81" s="117"/>
      <c r="CM81" s="118"/>
      <c r="CN81" s="117"/>
      <c r="CO81" s="118"/>
      <c r="CP81" s="117"/>
      <c r="CQ81" s="117" t="s">
        <v>1356</v>
      </c>
      <c r="CR81" s="117"/>
      <c r="CS81" s="118"/>
      <c r="CT81" s="117"/>
      <c r="CU81" s="118"/>
      <c r="CV81" s="117"/>
      <c r="CW81" s="117" t="s">
        <v>1356</v>
      </c>
      <c r="CX81" s="117"/>
      <c r="CY81" s="118"/>
      <c r="CZ81" s="117"/>
      <c r="DA81" s="118"/>
      <c r="DB81" s="129" t="s">
        <v>6962</v>
      </c>
      <c r="DC81" s="130" t="s">
        <v>105</v>
      </c>
    </row>
    <row r="82" spans="1:107" s="40" customFormat="1" ht="14.55" customHeight="1" x14ac:dyDescent="0.3">
      <c r="A82" s="66" t="s">
        <v>3500</v>
      </c>
      <c r="B82" s="66" t="s">
        <v>3756</v>
      </c>
      <c r="C82" s="66" t="s">
        <v>3757</v>
      </c>
      <c r="D82" s="66" t="s">
        <v>1410</v>
      </c>
      <c r="E82" s="66" t="s">
        <v>1411</v>
      </c>
      <c r="F82" s="66" t="s">
        <v>71</v>
      </c>
      <c r="G82" s="68" t="s">
        <v>72</v>
      </c>
      <c r="H82" s="43" t="s">
        <v>251</v>
      </c>
      <c r="I82" s="68">
        <v>1701</v>
      </c>
      <c r="J82" s="68">
        <v>170156</v>
      </c>
      <c r="K82" s="69">
        <v>4</v>
      </c>
      <c r="L82" s="66" t="s">
        <v>1412</v>
      </c>
      <c r="M82" s="66" t="s">
        <v>1413</v>
      </c>
      <c r="N82" s="66" t="s">
        <v>1414</v>
      </c>
      <c r="O82" s="66"/>
      <c r="P82" s="66"/>
      <c r="Q82" s="66" t="s">
        <v>1411</v>
      </c>
      <c r="R82" s="66"/>
      <c r="S82" s="66"/>
      <c r="T82" s="66"/>
      <c r="U82" s="66"/>
      <c r="V82" s="66" t="s">
        <v>224</v>
      </c>
      <c r="W82" s="66" t="s">
        <v>1415</v>
      </c>
      <c r="X82" s="66" t="s">
        <v>1416</v>
      </c>
      <c r="Y82" s="66" t="s">
        <v>1417</v>
      </c>
      <c r="Z82" s="66">
        <v>-78.480492979288101</v>
      </c>
      <c r="AA82" s="66">
        <v>-0.28926160241840332</v>
      </c>
      <c r="AB82" s="66">
        <v>170156020</v>
      </c>
      <c r="AC82" s="66">
        <v>170156020004</v>
      </c>
      <c r="AD82" s="66">
        <v>170156020004001</v>
      </c>
      <c r="AE82" s="69">
        <v>3</v>
      </c>
      <c r="AF82" s="69" t="s">
        <v>377</v>
      </c>
      <c r="AG82" s="46" t="s">
        <v>66</v>
      </c>
      <c r="AH82" s="70">
        <v>40898</v>
      </c>
      <c r="AI82" s="71" t="s">
        <v>66</v>
      </c>
      <c r="AJ82" s="49" t="s">
        <v>6938</v>
      </c>
      <c r="AK82" s="50" t="s">
        <v>67</v>
      </c>
      <c r="AL82" s="58">
        <v>45562</v>
      </c>
      <c r="AM82" s="52" t="s">
        <v>66</v>
      </c>
      <c r="AN82" s="52"/>
      <c r="AO82" s="52"/>
      <c r="AP82" s="52"/>
      <c r="AQ82" s="53">
        <f t="shared" si="6"/>
        <v>0</v>
      </c>
      <c r="AR82" s="54">
        <f t="shared" si="7"/>
        <v>5</v>
      </c>
      <c r="AS82" s="55">
        <f t="shared" si="8"/>
        <v>5</v>
      </c>
      <c r="AT82" s="102"/>
      <c r="AU82" s="103" t="s">
        <v>1356</v>
      </c>
      <c r="AV82" s="104"/>
      <c r="AW82" s="105"/>
      <c r="AX82" s="104"/>
      <c r="AY82" s="106"/>
      <c r="AZ82" s="102"/>
      <c r="BA82" s="103" t="s">
        <v>1356</v>
      </c>
      <c r="BB82" s="104"/>
      <c r="BC82" s="106"/>
      <c r="BD82" s="104"/>
      <c r="BE82" s="106"/>
      <c r="BF82" s="102"/>
      <c r="BG82" s="103" t="s">
        <v>1356</v>
      </c>
      <c r="BH82" s="104"/>
      <c r="BI82" s="106"/>
      <c r="BJ82" s="104"/>
      <c r="BK82" s="106"/>
      <c r="BL82" s="102"/>
      <c r="BM82" s="103" t="s">
        <v>1356</v>
      </c>
      <c r="BN82" s="104"/>
      <c r="BO82" s="106"/>
      <c r="BP82" s="104"/>
      <c r="BQ82" s="106"/>
      <c r="BR82" s="102"/>
      <c r="BS82" s="103" t="s">
        <v>1356</v>
      </c>
      <c r="BT82" s="104"/>
      <c r="BU82" s="106"/>
      <c r="BV82" s="104"/>
      <c r="BW82" s="106"/>
      <c r="BX82" s="121" t="s">
        <v>1418</v>
      </c>
      <c r="BY82" s="122" t="s">
        <v>1419</v>
      </c>
      <c r="BZ82" s="123">
        <v>1.89</v>
      </c>
      <c r="CA82" s="124">
        <v>45562</v>
      </c>
      <c r="CB82" s="123">
        <v>1.89</v>
      </c>
      <c r="CC82" s="124">
        <v>45582</v>
      </c>
      <c r="CD82" s="121" t="s">
        <v>1418</v>
      </c>
      <c r="CE82" s="122" t="s">
        <v>1419</v>
      </c>
      <c r="CF82" s="123">
        <v>1.42</v>
      </c>
      <c r="CG82" s="124">
        <v>45562</v>
      </c>
      <c r="CH82" s="123">
        <v>1.42</v>
      </c>
      <c r="CI82" s="124">
        <v>45582</v>
      </c>
      <c r="CJ82" s="121" t="s">
        <v>1418</v>
      </c>
      <c r="CK82" s="122" t="s">
        <v>1420</v>
      </c>
      <c r="CL82" s="123">
        <v>1.69</v>
      </c>
      <c r="CM82" s="124">
        <v>45562</v>
      </c>
      <c r="CN82" s="123">
        <v>1.69</v>
      </c>
      <c r="CO82" s="124">
        <v>45582</v>
      </c>
      <c r="CP82" s="121" t="s">
        <v>1418</v>
      </c>
      <c r="CQ82" s="122" t="s">
        <v>1419</v>
      </c>
      <c r="CR82" s="123">
        <v>1.1000000000000001</v>
      </c>
      <c r="CS82" s="124">
        <v>45562</v>
      </c>
      <c r="CT82" s="123">
        <v>1.1000000000000001</v>
      </c>
      <c r="CU82" s="124">
        <v>45582</v>
      </c>
      <c r="CV82" s="121" t="s">
        <v>1418</v>
      </c>
      <c r="CW82" s="122" t="s">
        <v>1419</v>
      </c>
      <c r="CX82" s="123" t="s">
        <v>1421</v>
      </c>
      <c r="CY82" s="124">
        <v>45562</v>
      </c>
      <c r="CZ82" s="123" t="s">
        <v>1421</v>
      </c>
      <c r="DA82" s="124">
        <v>45582</v>
      </c>
      <c r="DB82" s="129" t="s">
        <v>6962</v>
      </c>
      <c r="DC82" s="129" t="s">
        <v>105</v>
      </c>
    </row>
    <row r="83" spans="1:107" s="40" customFormat="1" ht="14.55" customHeight="1" x14ac:dyDescent="0.3">
      <c r="A83" s="66" t="s">
        <v>3500</v>
      </c>
      <c r="B83" s="66" t="s">
        <v>3898</v>
      </c>
      <c r="C83" s="66" t="s">
        <v>3899</v>
      </c>
      <c r="D83" s="66" t="s">
        <v>1949</v>
      </c>
      <c r="E83" s="66" t="s">
        <v>70</v>
      </c>
      <c r="F83" s="66" t="s">
        <v>1950</v>
      </c>
      <c r="G83" s="68" t="s">
        <v>72</v>
      </c>
      <c r="H83" s="43" t="s">
        <v>251</v>
      </c>
      <c r="I83" s="68">
        <v>1701</v>
      </c>
      <c r="J83" s="68">
        <v>170150</v>
      </c>
      <c r="K83" s="69">
        <v>2</v>
      </c>
      <c r="L83" s="66" t="s">
        <v>1951</v>
      </c>
      <c r="M83" s="66" t="s">
        <v>1952</v>
      </c>
      <c r="N83" s="66" t="s">
        <v>1953</v>
      </c>
      <c r="O83" s="66"/>
      <c r="P83" s="66"/>
      <c r="Q83" s="66"/>
      <c r="R83" s="66"/>
      <c r="S83" s="66"/>
      <c r="T83" s="66"/>
      <c r="U83" s="66"/>
      <c r="V83" s="66"/>
      <c r="W83" s="66" t="s">
        <v>1954</v>
      </c>
      <c r="X83" s="66"/>
      <c r="Y83" s="66"/>
      <c r="Z83" s="66"/>
      <c r="AA83" s="66"/>
      <c r="AB83" s="66"/>
      <c r="AC83" s="66"/>
      <c r="AD83" s="66"/>
      <c r="AE83" s="69">
        <v>2</v>
      </c>
      <c r="AF83" s="69" t="s">
        <v>64</v>
      </c>
      <c r="AG83" s="46" t="s">
        <v>66</v>
      </c>
      <c r="AH83" s="70">
        <v>45562</v>
      </c>
      <c r="AI83" s="71" t="s">
        <v>66</v>
      </c>
      <c r="AJ83" s="49" t="s">
        <v>6938</v>
      </c>
      <c r="AK83" s="50" t="s">
        <v>67</v>
      </c>
      <c r="AL83" s="58">
        <v>45562</v>
      </c>
      <c r="AM83" s="52" t="s">
        <v>66</v>
      </c>
      <c r="AN83" s="52"/>
      <c r="AO83" s="52"/>
      <c r="AP83" s="52"/>
      <c r="AQ83" s="53">
        <f t="shared" si="6"/>
        <v>0</v>
      </c>
      <c r="AR83" s="54">
        <f t="shared" si="7"/>
        <v>5</v>
      </c>
      <c r="AS83" s="55">
        <f t="shared" si="8"/>
        <v>5</v>
      </c>
      <c r="AT83" s="102"/>
      <c r="AU83" s="103" t="s">
        <v>1356</v>
      </c>
      <c r="AV83" s="104"/>
      <c r="AW83" s="105"/>
      <c r="AX83" s="104"/>
      <c r="AY83" s="106"/>
      <c r="AZ83" s="102"/>
      <c r="BA83" s="103" t="s">
        <v>1356</v>
      </c>
      <c r="BB83" s="104"/>
      <c r="BC83" s="106"/>
      <c r="BD83" s="104"/>
      <c r="BE83" s="106"/>
      <c r="BF83" s="102"/>
      <c r="BG83" s="103" t="s">
        <v>1356</v>
      </c>
      <c r="BH83" s="104"/>
      <c r="BI83" s="106"/>
      <c r="BJ83" s="104"/>
      <c r="BK83" s="106"/>
      <c r="BL83" s="102"/>
      <c r="BM83" s="103" t="s">
        <v>1356</v>
      </c>
      <c r="BN83" s="104"/>
      <c r="BO83" s="106"/>
      <c r="BP83" s="104"/>
      <c r="BQ83" s="106"/>
      <c r="BR83" s="102"/>
      <c r="BS83" s="103" t="s">
        <v>1356</v>
      </c>
      <c r="BT83" s="104"/>
      <c r="BU83" s="106"/>
      <c r="BV83" s="104"/>
      <c r="BW83" s="106"/>
      <c r="BX83" s="121" t="s">
        <v>1955</v>
      </c>
      <c r="BY83" s="122" t="s">
        <v>1956</v>
      </c>
      <c r="BZ83" s="123">
        <v>1780</v>
      </c>
      <c r="CA83" s="124">
        <v>45562</v>
      </c>
      <c r="CB83" s="123">
        <v>1780</v>
      </c>
      <c r="CC83" s="124">
        <v>45592</v>
      </c>
      <c r="CD83" s="121" t="s">
        <v>1957</v>
      </c>
      <c r="CE83" s="122" t="s">
        <v>1958</v>
      </c>
      <c r="CF83" s="123">
        <v>980</v>
      </c>
      <c r="CG83" s="124">
        <v>45562</v>
      </c>
      <c r="CH83" s="123">
        <v>980</v>
      </c>
      <c r="CI83" s="124">
        <v>45592</v>
      </c>
      <c r="CJ83" s="121" t="s">
        <v>1037</v>
      </c>
      <c r="CK83" s="122" t="s">
        <v>1959</v>
      </c>
      <c r="CL83" s="123">
        <v>85</v>
      </c>
      <c r="CM83" s="124">
        <v>45562</v>
      </c>
      <c r="CN83" s="123">
        <v>85</v>
      </c>
      <c r="CO83" s="124">
        <v>45592</v>
      </c>
      <c r="CP83" s="121" t="s">
        <v>1960</v>
      </c>
      <c r="CQ83" s="122" t="s">
        <v>1961</v>
      </c>
      <c r="CR83" s="123">
        <v>130</v>
      </c>
      <c r="CS83" s="124">
        <v>45562</v>
      </c>
      <c r="CT83" s="123">
        <v>130</v>
      </c>
      <c r="CU83" s="124">
        <v>45592</v>
      </c>
      <c r="CV83" s="121" t="s">
        <v>1962</v>
      </c>
      <c r="CW83" s="122" t="s">
        <v>1963</v>
      </c>
      <c r="CX83" s="123">
        <v>250</v>
      </c>
      <c r="CY83" s="124">
        <v>45562</v>
      </c>
      <c r="CZ83" s="123">
        <v>250</v>
      </c>
      <c r="DA83" s="124">
        <v>45592</v>
      </c>
      <c r="DB83" s="129" t="s">
        <v>6962</v>
      </c>
      <c r="DC83" s="129" t="s">
        <v>105</v>
      </c>
    </row>
    <row r="84" spans="1:107" s="40" customFormat="1" ht="14.55" customHeight="1" x14ac:dyDescent="0.3">
      <c r="A84" s="42" t="s">
        <v>4219</v>
      </c>
      <c r="B84" s="42" t="s">
        <v>5363</v>
      </c>
      <c r="C84" s="42" t="s">
        <v>5364</v>
      </c>
      <c r="D84" s="42" t="s">
        <v>5365</v>
      </c>
      <c r="E84" s="42" t="s">
        <v>5366</v>
      </c>
      <c r="F84" s="42" t="s">
        <v>431</v>
      </c>
      <c r="G84" s="42" t="s">
        <v>4237</v>
      </c>
      <c r="H84" s="43" t="s">
        <v>686</v>
      </c>
      <c r="I84" s="44">
        <v>901</v>
      </c>
      <c r="J84" s="44">
        <v>90150</v>
      </c>
      <c r="K84" s="45">
        <v>4</v>
      </c>
      <c r="L84" s="42" t="s">
        <v>5367</v>
      </c>
      <c r="M84" s="42" t="s">
        <v>5368</v>
      </c>
      <c r="N84" s="42" t="s">
        <v>5369</v>
      </c>
      <c r="O84" s="42" t="s">
        <v>5370</v>
      </c>
      <c r="P84" s="42"/>
      <c r="Q84" s="42"/>
      <c r="R84" s="42"/>
      <c r="S84" s="42"/>
      <c r="T84" s="42"/>
      <c r="U84" s="42" t="s">
        <v>5024</v>
      </c>
      <c r="V84" s="42"/>
      <c r="W84" s="42" t="s">
        <v>5371</v>
      </c>
      <c r="X84" s="42" t="s">
        <v>5372</v>
      </c>
      <c r="Y84" s="42" t="s">
        <v>5373</v>
      </c>
      <c r="Z84" s="42">
        <v>-79.949541999999994</v>
      </c>
      <c r="AA84" s="42">
        <v>-2.064997</v>
      </c>
      <c r="AB84" s="42">
        <v>90150050</v>
      </c>
      <c r="AC84" s="42">
        <v>90150050005</v>
      </c>
      <c r="AD84" s="42">
        <v>90150050005003</v>
      </c>
      <c r="AE84" s="45">
        <v>4</v>
      </c>
      <c r="AF84" s="45" t="s">
        <v>499</v>
      </c>
      <c r="AG84" s="46" t="s">
        <v>66</v>
      </c>
      <c r="AH84" s="47" t="s">
        <v>6958</v>
      </c>
      <c r="AI84" s="48" t="s">
        <v>66</v>
      </c>
      <c r="AJ84" s="49" t="s">
        <v>6938</v>
      </c>
      <c r="AK84" s="50" t="s">
        <v>67</v>
      </c>
      <c r="AL84" s="34">
        <v>45562</v>
      </c>
      <c r="AM84" s="52" t="s">
        <v>66</v>
      </c>
      <c r="AN84" s="42"/>
      <c r="AO84" s="42"/>
      <c r="AP84" s="42"/>
      <c r="AQ84" s="53">
        <f t="shared" si="6"/>
        <v>0</v>
      </c>
      <c r="AR84" s="54">
        <f t="shared" si="7"/>
        <v>1</v>
      </c>
      <c r="AS84" s="55">
        <f t="shared" si="8"/>
        <v>1</v>
      </c>
      <c r="AT84" s="96"/>
      <c r="AU84" s="96" t="s">
        <v>1356</v>
      </c>
      <c r="AV84" s="96"/>
      <c r="AW84" s="97"/>
      <c r="AX84" s="96"/>
      <c r="AY84" s="98"/>
      <c r="AZ84" s="96"/>
      <c r="BA84" s="96" t="s">
        <v>1356</v>
      </c>
      <c r="BB84" s="96"/>
      <c r="BC84" s="98"/>
      <c r="BD84" s="96"/>
      <c r="BE84" s="98"/>
      <c r="BF84" s="96"/>
      <c r="BG84" s="96" t="s">
        <v>1356</v>
      </c>
      <c r="BH84" s="96"/>
      <c r="BI84" s="98"/>
      <c r="BJ84" s="96"/>
      <c r="BK84" s="98"/>
      <c r="BL84" s="96"/>
      <c r="BM84" s="96" t="s">
        <v>1356</v>
      </c>
      <c r="BN84" s="96"/>
      <c r="BO84" s="98"/>
      <c r="BP84" s="96"/>
      <c r="BQ84" s="98"/>
      <c r="BR84" s="96"/>
      <c r="BS84" s="96" t="s">
        <v>1356</v>
      </c>
      <c r="BT84" s="96"/>
      <c r="BU84" s="98"/>
      <c r="BV84" s="96"/>
      <c r="BW84" s="98"/>
      <c r="BX84" s="117" t="s">
        <v>856</v>
      </c>
      <c r="BY84" s="117" t="s">
        <v>5374</v>
      </c>
      <c r="BZ84" s="117">
        <v>25</v>
      </c>
      <c r="CA84" s="118">
        <v>45604</v>
      </c>
      <c r="CB84" s="117"/>
      <c r="CC84" s="118"/>
      <c r="CD84" s="117"/>
      <c r="CE84" s="117" t="s">
        <v>1356</v>
      </c>
      <c r="CF84" s="117"/>
      <c r="CG84" s="118"/>
      <c r="CH84" s="117"/>
      <c r="CI84" s="118"/>
      <c r="CJ84" s="117"/>
      <c r="CK84" s="117" t="s">
        <v>1356</v>
      </c>
      <c r="CL84" s="117"/>
      <c r="CM84" s="118"/>
      <c r="CN84" s="117"/>
      <c r="CO84" s="118"/>
      <c r="CP84" s="117"/>
      <c r="CQ84" s="117" t="s">
        <v>1356</v>
      </c>
      <c r="CR84" s="117"/>
      <c r="CS84" s="118"/>
      <c r="CT84" s="117"/>
      <c r="CU84" s="118"/>
      <c r="CV84" s="117"/>
      <c r="CW84" s="117" t="s">
        <v>1356</v>
      </c>
      <c r="CX84" s="117"/>
      <c r="CY84" s="118"/>
      <c r="CZ84" s="117"/>
      <c r="DA84" s="118"/>
      <c r="DB84" s="129" t="s">
        <v>6962</v>
      </c>
      <c r="DC84" s="130" t="s">
        <v>105</v>
      </c>
    </row>
    <row r="85" spans="1:107" s="40" customFormat="1" ht="14.55" customHeight="1" x14ac:dyDescent="0.3">
      <c r="A85" s="25" t="s">
        <v>3500</v>
      </c>
      <c r="B85" s="25" t="s">
        <v>3653</v>
      </c>
      <c r="C85" s="60" t="s">
        <v>3654</v>
      </c>
      <c r="D85" s="25" t="s">
        <v>890</v>
      </c>
      <c r="E85" s="25" t="s">
        <v>891</v>
      </c>
      <c r="F85" s="25" t="s">
        <v>243</v>
      </c>
      <c r="G85" s="26" t="s">
        <v>72</v>
      </c>
      <c r="H85" s="27" t="s">
        <v>251</v>
      </c>
      <c r="I85" s="26">
        <v>1701</v>
      </c>
      <c r="J85" s="26">
        <v>170150</v>
      </c>
      <c r="K85" s="28">
        <v>4</v>
      </c>
      <c r="L85" s="25" t="s">
        <v>892</v>
      </c>
      <c r="M85" s="25" t="s">
        <v>893</v>
      </c>
      <c r="N85" s="25" t="s">
        <v>894</v>
      </c>
      <c r="O85" s="25"/>
      <c r="P85" s="25"/>
      <c r="Q85" s="25" t="s">
        <v>895</v>
      </c>
      <c r="R85" s="25" t="s">
        <v>260</v>
      </c>
      <c r="S85" s="25"/>
      <c r="T85" s="25"/>
      <c r="U85" s="25"/>
      <c r="V85" s="25"/>
      <c r="W85" s="25" t="s">
        <v>896</v>
      </c>
      <c r="X85" s="25" t="s">
        <v>897</v>
      </c>
      <c r="Y85" s="25" t="s">
        <v>898</v>
      </c>
      <c r="Z85" s="25"/>
      <c r="AA85" s="25"/>
      <c r="AB85" s="25">
        <v>170150178</v>
      </c>
      <c r="AC85" s="25">
        <v>170150178009</v>
      </c>
      <c r="AD85" s="25">
        <v>170150178009001</v>
      </c>
      <c r="AE85" s="28">
        <v>5</v>
      </c>
      <c r="AF85" s="28" t="s">
        <v>772</v>
      </c>
      <c r="AG85" s="29" t="s">
        <v>65</v>
      </c>
      <c r="AH85" s="30"/>
      <c r="AI85" s="31" t="s">
        <v>66</v>
      </c>
      <c r="AJ85" s="32" t="s">
        <v>6938</v>
      </c>
      <c r="AK85" s="33" t="s">
        <v>67</v>
      </c>
      <c r="AL85" s="34">
        <v>45565</v>
      </c>
      <c r="AM85" s="36" t="s">
        <v>66</v>
      </c>
      <c r="AN85" s="36"/>
      <c r="AO85" s="36"/>
      <c r="AP85" s="36"/>
      <c r="AQ85" s="37">
        <f t="shared" si="6"/>
        <v>0</v>
      </c>
      <c r="AR85" s="38">
        <f t="shared" si="7"/>
        <v>0</v>
      </c>
      <c r="AS85" s="39">
        <f t="shared" si="8"/>
        <v>0</v>
      </c>
      <c r="AT85" s="91"/>
      <c r="AU85" s="92" t="s">
        <v>1356</v>
      </c>
      <c r="AV85" s="93"/>
      <c r="AW85" s="94"/>
      <c r="AX85" s="93"/>
      <c r="AY85" s="95"/>
      <c r="AZ85" s="91"/>
      <c r="BA85" s="92" t="s">
        <v>1356</v>
      </c>
      <c r="BB85" s="93"/>
      <c r="BC85" s="95"/>
      <c r="BD85" s="93"/>
      <c r="BE85" s="95"/>
      <c r="BF85" s="91"/>
      <c r="BG85" s="92" t="s">
        <v>1356</v>
      </c>
      <c r="BH85" s="93"/>
      <c r="BI85" s="95"/>
      <c r="BJ85" s="93"/>
      <c r="BK85" s="95"/>
      <c r="BL85" s="91"/>
      <c r="BM85" s="92" t="s">
        <v>1356</v>
      </c>
      <c r="BN85" s="93"/>
      <c r="BO85" s="95"/>
      <c r="BP85" s="93"/>
      <c r="BQ85" s="95"/>
      <c r="BR85" s="91"/>
      <c r="BS85" s="92" t="s">
        <v>1356</v>
      </c>
      <c r="BT85" s="93"/>
      <c r="BU85" s="95"/>
      <c r="BV85" s="93"/>
      <c r="BW85" s="95"/>
      <c r="BX85" s="113"/>
      <c r="BY85" s="114" t="s">
        <v>1356</v>
      </c>
      <c r="BZ85" s="115"/>
      <c r="CA85" s="116"/>
      <c r="CB85" s="115"/>
      <c r="CC85" s="116"/>
      <c r="CD85" s="113"/>
      <c r="CE85" s="114" t="s">
        <v>1356</v>
      </c>
      <c r="CF85" s="115"/>
      <c r="CG85" s="116"/>
      <c r="CH85" s="115"/>
      <c r="CI85" s="116"/>
      <c r="CJ85" s="113"/>
      <c r="CK85" s="114" t="s">
        <v>1356</v>
      </c>
      <c r="CL85" s="115"/>
      <c r="CM85" s="116"/>
      <c r="CN85" s="115"/>
      <c r="CO85" s="116"/>
      <c r="CP85" s="113"/>
      <c r="CQ85" s="114" t="s">
        <v>1356</v>
      </c>
      <c r="CR85" s="115"/>
      <c r="CS85" s="116"/>
      <c r="CT85" s="115"/>
      <c r="CU85" s="116"/>
      <c r="CV85" s="113"/>
      <c r="CW85" s="114" t="s">
        <v>1356</v>
      </c>
      <c r="CX85" s="115"/>
      <c r="CY85" s="116"/>
      <c r="CZ85" s="115"/>
      <c r="DA85" s="116"/>
      <c r="DB85" s="128" t="s">
        <v>7085</v>
      </c>
      <c r="DC85" s="128" t="s">
        <v>105</v>
      </c>
    </row>
    <row r="86" spans="1:107" s="40" customFormat="1" ht="14.55" customHeight="1" x14ac:dyDescent="0.3">
      <c r="A86" s="42" t="s">
        <v>4219</v>
      </c>
      <c r="B86" s="42" t="s">
        <v>5383</v>
      </c>
      <c r="C86" s="42" t="s">
        <v>5384</v>
      </c>
      <c r="D86" s="42" t="s">
        <v>5385</v>
      </c>
      <c r="E86" s="42" t="s">
        <v>5386</v>
      </c>
      <c r="F86" s="42" t="s">
        <v>233</v>
      </c>
      <c r="G86" s="42" t="s">
        <v>4237</v>
      </c>
      <c r="H86" s="43" t="s">
        <v>686</v>
      </c>
      <c r="I86" s="44">
        <v>901</v>
      </c>
      <c r="J86" s="44">
        <v>90150</v>
      </c>
      <c r="K86" s="45">
        <v>4</v>
      </c>
      <c r="L86" s="42" t="s">
        <v>5387</v>
      </c>
      <c r="M86" s="42" t="s">
        <v>5388</v>
      </c>
      <c r="N86" s="42" t="s">
        <v>5389</v>
      </c>
      <c r="O86" s="42" t="s">
        <v>5278</v>
      </c>
      <c r="P86" s="42"/>
      <c r="Q86" s="42" t="s">
        <v>5390</v>
      </c>
      <c r="R86" s="42"/>
      <c r="S86" s="42"/>
      <c r="T86" s="42"/>
      <c r="U86" s="42"/>
      <c r="V86" s="42" t="s">
        <v>5391</v>
      </c>
      <c r="W86" s="42" t="s">
        <v>4249</v>
      </c>
      <c r="X86" s="42" t="s">
        <v>5392</v>
      </c>
      <c r="Y86" s="42" t="s">
        <v>5393</v>
      </c>
      <c r="Z86" s="42">
        <v>-79.940785000000005</v>
      </c>
      <c r="AA86" s="42">
        <v>-2.118878</v>
      </c>
      <c r="AB86" s="42">
        <v>90150050</v>
      </c>
      <c r="AC86" s="42">
        <v>90150050005</v>
      </c>
      <c r="AD86" s="42">
        <v>90150050005003</v>
      </c>
      <c r="AE86" s="45">
        <v>4</v>
      </c>
      <c r="AF86" s="45" t="s">
        <v>499</v>
      </c>
      <c r="AG86" s="46" t="s">
        <v>66</v>
      </c>
      <c r="AH86" s="47" t="s">
        <v>5394</v>
      </c>
      <c r="AI86" s="48" t="s">
        <v>66</v>
      </c>
      <c r="AJ86" s="49" t="s">
        <v>6938</v>
      </c>
      <c r="AK86" s="50" t="s">
        <v>67</v>
      </c>
      <c r="AL86" s="34">
        <v>45562</v>
      </c>
      <c r="AM86" s="52" t="s">
        <v>66</v>
      </c>
      <c r="AN86" s="42"/>
      <c r="AO86" s="42"/>
      <c r="AP86" s="42"/>
      <c r="AQ86" s="53">
        <f t="shared" si="6"/>
        <v>1</v>
      </c>
      <c r="AR86" s="54">
        <f t="shared" si="7"/>
        <v>0</v>
      </c>
      <c r="AS86" s="55">
        <f t="shared" si="8"/>
        <v>1</v>
      </c>
      <c r="AT86" s="96" t="s">
        <v>6773</v>
      </c>
      <c r="AU86" s="96" t="s">
        <v>6774</v>
      </c>
      <c r="AV86" s="96" t="s">
        <v>6779</v>
      </c>
      <c r="AW86" s="97" t="s">
        <v>6780</v>
      </c>
      <c r="AX86" s="96" t="s">
        <v>6779</v>
      </c>
      <c r="AY86" s="98" t="s">
        <v>6780</v>
      </c>
      <c r="AZ86" s="96"/>
      <c r="BA86" s="96" t="s">
        <v>1356</v>
      </c>
      <c r="BB86" s="96"/>
      <c r="BC86" s="98"/>
      <c r="BD86" s="96"/>
      <c r="BE86" s="98"/>
      <c r="BF86" s="96"/>
      <c r="BG86" s="96" t="s">
        <v>1356</v>
      </c>
      <c r="BH86" s="96"/>
      <c r="BI86" s="98"/>
      <c r="BJ86" s="96"/>
      <c r="BK86" s="98"/>
      <c r="BL86" s="96"/>
      <c r="BM86" s="96" t="s">
        <v>1356</v>
      </c>
      <c r="BN86" s="96"/>
      <c r="BO86" s="98"/>
      <c r="BP86" s="96"/>
      <c r="BQ86" s="98"/>
      <c r="BR86" s="96"/>
      <c r="BS86" s="96" t="s">
        <v>1356</v>
      </c>
      <c r="BT86" s="96"/>
      <c r="BU86" s="98"/>
      <c r="BV86" s="96"/>
      <c r="BW86" s="98"/>
      <c r="BX86" s="117"/>
      <c r="BY86" s="117" t="s">
        <v>1356</v>
      </c>
      <c r="BZ86" s="117"/>
      <c r="CA86" s="118"/>
      <c r="CB86" s="117"/>
      <c r="CC86" s="118"/>
      <c r="CD86" s="117"/>
      <c r="CE86" s="117" t="s">
        <v>1356</v>
      </c>
      <c r="CF86" s="117"/>
      <c r="CG86" s="118"/>
      <c r="CH86" s="117"/>
      <c r="CI86" s="118"/>
      <c r="CJ86" s="117"/>
      <c r="CK86" s="117" t="s">
        <v>1356</v>
      </c>
      <c r="CL86" s="117"/>
      <c r="CM86" s="118"/>
      <c r="CN86" s="117"/>
      <c r="CO86" s="118"/>
      <c r="CP86" s="117"/>
      <c r="CQ86" s="117" t="s">
        <v>1356</v>
      </c>
      <c r="CR86" s="117"/>
      <c r="CS86" s="118"/>
      <c r="CT86" s="117"/>
      <c r="CU86" s="118"/>
      <c r="CV86" s="117"/>
      <c r="CW86" s="117" t="s">
        <v>1356</v>
      </c>
      <c r="CX86" s="117"/>
      <c r="CY86" s="118"/>
      <c r="CZ86" s="117"/>
      <c r="DA86" s="118"/>
      <c r="DB86" s="129" t="s">
        <v>6962</v>
      </c>
      <c r="DC86" s="130" t="s">
        <v>105</v>
      </c>
    </row>
    <row r="87" spans="1:107" s="40" customFormat="1" ht="14.55" customHeight="1" x14ac:dyDescent="0.3">
      <c r="A87" s="42" t="s">
        <v>4219</v>
      </c>
      <c r="B87" s="42" t="s">
        <v>5995</v>
      </c>
      <c r="C87" s="42" t="s">
        <v>5996</v>
      </c>
      <c r="D87" s="42" t="s">
        <v>5997</v>
      </c>
      <c r="E87" s="42" t="s">
        <v>5998</v>
      </c>
      <c r="F87" s="42" t="s">
        <v>1493</v>
      </c>
      <c r="G87" s="42" t="s">
        <v>4237</v>
      </c>
      <c r="H87" s="43" t="s">
        <v>686</v>
      </c>
      <c r="I87" s="44">
        <v>901</v>
      </c>
      <c r="J87" s="44">
        <v>90150</v>
      </c>
      <c r="K87" s="45">
        <v>4</v>
      </c>
      <c r="L87" s="42" t="s">
        <v>5999</v>
      </c>
      <c r="M87" s="42"/>
      <c r="N87" s="42" t="s">
        <v>4290</v>
      </c>
      <c r="O87" s="42" t="s">
        <v>6000</v>
      </c>
      <c r="P87" s="42"/>
      <c r="Q87" s="42"/>
      <c r="R87" s="42"/>
      <c r="S87" s="42"/>
      <c r="T87" s="42"/>
      <c r="U87" s="42"/>
      <c r="V87" s="42"/>
      <c r="W87" s="42" t="s">
        <v>6001</v>
      </c>
      <c r="X87" s="42" t="s">
        <v>6002</v>
      </c>
      <c r="Y87" s="42" t="s">
        <v>6003</v>
      </c>
      <c r="Z87" s="42"/>
      <c r="AA87" s="42"/>
      <c r="AB87" s="42">
        <v>90150215</v>
      </c>
      <c r="AC87" s="42">
        <v>90150215002</v>
      </c>
      <c r="AD87" s="42">
        <v>90150215002004</v>
      </c>
      <c r="AE87" s="45">
        <v>5</v>
      </c>
      <c r="AF87" s="45" t="s">
        <v>772</v>
      </c>
      <c r="AG87" s="46" t="s">
        <v>66</v>
      </c>
      <c r="AH87" s="47" t="s">
        <v>6004</v>
      </c>
      <c r="AI87" s="48" t="s">
        <v>66</v>
      </c>
      <c r="AJ87" s="49" t="s">
        <v>6938</v>
      </c>
      <c r="AK87" s="50" t="s">
        <v>67</v>
      </c>
      <c r="AL87" s="34">
        <v>45562</v>
      </c>
      <c r="AM87" s="52" t="s">
        <v>66</v>
      </c>
      <c r="AN87" s="42"/>
      <c r="AO87" s="42"/>
      <c r="AP87" s="42"/>
      <c r="AQ87" s="53">
        <f t="shared" si="6"/>
        <v>2</v>
      </c>
      <c r="AR87" s="54">
        <f t="shared" si="7"/>
        <v>0</v>
      </c>
      <c r="AS87" s="55">
        <f t="shared" si="8"/>
        <v>2</v>
      </c>
      <c r="AT87" s="96" t="s">
        <v>2576</v>
      </c>
      <c r="AU87" s="96" t="s">
        <v>2577</v>
      </c>
      <c r="AV87" s="96" t="s">
        <v>6828</v>
      </c>
      <c r="AW87" s="97" t="s">
        <v>6829</v>
      </c>
      <c r="AX87" s="96" t="s">
        <v>6828</v>
      </c>
      <c r="AY87" s="98" t="s">
        <v>6829</v>
      </c>
      <c r="AZ87" s="96" t="s">
        <v>6830</v>
      </c>
      <c r="BA87" s="96" t="s">
        <v>6831</v>
      </c>
      <c r="BB87" s="96" t="s">
        <v>6832</v>
      </c>
      <c r="BC87" s="98" t="s">
        <v>6829</v>
      </c>
      <c r="BD87" s="96" t="s">
        <v>6832</v>
      </c>
      <c r="BE87" s="98" t="s">
        <v>6829</v>
      </c>
      <c r="BF87" s="96"/>
      <c r="BG87" s="96" t="s">
        <v>1356</v>
      </c>
      <c r="BH87" s="96"/>
      <c r="BI87" s="98"/>
      <c r="BJ87" s="96"/>
      <c r="BK87" s="98"/>
      <c r="BL87" s="96"/>
      <c r="BM87" s="96" t="s">
        <v>1356</v>
      </c>
      <c r="BN87" s="96"/>
      <c r="BO87" s="98"/>
      <c r="BP87" s="96"/>
      <c r="BQ87" s="98"/>
      <c r="BR87" s="96"/>
      <c r="BS87" s="96" t="s">
        <v>1356</v>
      </c>
      <c r="BT87" s="96"/>
      <c r="BU87" s="98"/>
      <c r="BV87" s="96"/>
      <c r="BW87" s="98"/>
      <c r="BX87" s="117"/>
      <c r="BY87" s="117" t="s">
        <v>1356</v>
      </c>
      <c r="BZ87" s="117"/>
      <c r="CA87" s="118"/>
      <c r="CB87" s="117"/>
      <c r="CC87" s="118"/>
      <c r="CD87" s="117"/>
      <c r="CE87" s="117" t="s">
        <v>1356</v>
      </c>
      <c r="CF87" s="117"/>
      <c r="CG87" s="118"/>
      <c r="CH87" s="117"/>
      <c r="CI87" s="118"/>
      <c r="CJ87" s="117"/>
      <c r="CK87" s="117" t="s">
        <v>1356</v>
      </c>
      <c r="CL87" s="117"/>
      <c r="CM87" s="118"/>
      <c r="CN87" s="117"/>
      <c r="CO87" s="118"/>
      <c r="CP87" s="117"/>
      <c r="CQ87" s="117" t="s">
        <v>1356</v>
      </c>
      <c r="CR87" s="117"/>
      <c r="CS87" s="118"/>
      <c r="CT87" s="117"/>
      <c r="CU87" s="118"/>
      <c r="CV87" s="117"/>
      <c r="CW87" s="117" t="s">
        <v>1356</v>
      </c>
      <c r="CX87" s="117"/>
      <c r="CY87" s="118"/>
      <c r="CZ87" s="117"/>
      <c r="DA87" s="118"/>
      <c r="DB87" s="129" t="s">
        <v>6962</v>
      </c>
      <c r="DC87" s="130" t="s">
        <v>105</v>
      </c>
    </row>
    <row r="88" spans="1:107" s="40" customFormat="1" ht="14.55" customHeight="1" x14ac:dyDescent="0.3">
      <c r="A88" s="42" t="s">
        <v>4219</v>
      </c>
      <c r="B88" s="42" t="s">
        <v>6134</v>
      </c>
      <c r="C88" s="42" t="s">
        <v>6135</v>
      </c>
      <c r="D88" s="42" t="s">
        <v>6136</v>
      </c>
      <c r="E88" s="42" t="s">
        <v>6137</v>
      </c>
      <c r="F88" s="42" t="s">
        <v>81</v>
      </c>
      <c r="G88" s="42" t="s">
        <v>461</v>
      </c>
      <c r="H88" s="43" t="s">
        <v>6933</v>
      </c>
      <c r="I88" s="44">
        <v>1304</v>
      </c>
      <c r="J88" s="44">
        <v>130450</v>
      </c>
      <c r="K88" s="45">
        <v>4</v>
      </c>
      <c r="L88" s="42" t="s">
        <v>6138</v>
      </c>
      <c r="M88" s="42"/>
      <c r="N88" s="42" t="s">
        <v>6139</v>
      </c>
      <c r="O88" s="42" t="s">
        <v>2448</v>
      </c>
      <c r="P88" s="42"/>
      <c r="Q88" s="42"/>
      <c r="R88" s="42"/>
      <c r="S88" s="42"/>
      <c r="T88" s="42"/>
      <c r="U88" s="42"/>
      <c r="V88" s="42"/>
      <c r="W88" s="42" t="s">
        <v>6140</v>
      </c>
      <c r="X88" s="42" t="s">
        <v>6141</v>
      </c>
      <c r="Y88" s="42" t="s">
        <v>6142</v>
      </c>
      <c r="Z88" s="42"/>
      <c r="AA88" s="42"/>
      <c r="AB88" s="42">
        <v>130450001</v>
      </c>
      <c r="AC88" s="42">
        <v>130450001002</v>
      </c>
      <c r="AD88" s="42">
        <v>130450001002001</v>
      </c>
      <c r="AE88" s="45">
        <v>5</v>
      </c>
      <c r="AF88" s="45" t="s">
        <v>772</v>
      </c>
      <c r="AG88" s="46" t="s">
        <v>66</v>
      </c>
      <c r="AH88" s="47" t="s">
        <v>6143</v>
      </c>
      <c r="AI88" s="48" t="s">
        <v>66</v>
      </c>
      <c r="AJ88" s="49" t="s">
        <v>6938</v>
      </c>
      <c r="AK88" s="50" t="s">
        <v>67</v>
      </c>
      <c r="AL88" s="34">
        <v>45562</v>
      </c>
      <c r="AM88" s="52" t="s">
        <v>66</v>
      </c>
      <c r="AN88" s="42"/>
      <c r="AO88" s="42"/>
      <c r="AP88" s="42"/>
      <c r="AQ88" s="53">
        <f t="shared" si="6"/>
        <v>2</v>
      </c>
      <c r="AR88" s="54">
        <f t="shared" si="7"/>
        <v>0</v>
      </c>
      <c r="AS88" s="55">
        <f t="shared" si="8"/>
        <v>2</v>
      </c>
      <c r="AT88" s="96" t="s">
        <v>6414</v>
      </c>
      <c r="AU88" s="96" t="s">
        <v>6415</v>
      </c>
      <c r="AV88" s="96" t="s">
        <v>6842</v>
      </c>
      <c r="AW88" s="97" t="s">
        <v>6843</v>
      </c>
      <c r="AX88" s="96" t="s">
        <v>6844</v>
      </c>
      <c r="AY88" s="98" t="s">
        <v>6843</v>
      </c>
      <c r="AZ88" s="96" t="s">
        <v>386</v>
      </c>
      <c r="BA88" s="96" t="s">
        <v>5215</v>
      </c>
      <c r="BB88" s="96" t="s">
        <v>6845</v>
      </c>
      <c r="BC88" s="98" t="s">
        <v>6846</v>
      </c>
      <c r="BD88" s="96" t="s">
        <v>6845</v>
      </c>
      <c r="BE88" s="98" t="s">
        <v>6846</v>
      </c>
      <c r="BF88" s="96"/>
      <c r="BG88" s="96" t="s">
        <v>1356</v>
      </c>
      <c r="BH88" s="96"/>
      <c r="BI88" s="98"/>
      <c r="BJ88" s="96"/>
      <c r="BK88" s="98"/>
      <c r="BL88" s="96"/>
      <c r="BM88" s="96" t="s">
        <v>1356</v>
      </c>
      <c r="BN88" s="96"/>
      <c r="BO88" s="98"/>
      <c r="BP88" s="96"/>
      <c r="BQ88" s="98"/>
      <c r="BR88" s="96"/>
      <c r="BS88" s="96" t="s">
        <v>1356</v>
      </c>
      <c r="BT88" s="96"/>
      <c r="BU88" s="98"/>
      <c r="BV88" s="96"/>
      <c r="BW88" s="98"/>
      <c r="BX88" s="117"/>
      <c r="BY88" s="117" t="s">
        <v>1356</v>
      </c>
      <c r="BZ88" s="117"/>
      <c r="CA88" s="118"/>
      <c r="CB88" s="117"/>
      <c r="CC88" s="118"/>
      <c r="CD88" s="117"/>
      <c r="CE88" s="117" t="s">
        <v>1356</v>
      </c>
      <c r="CF88" s="117"/>
      <c r="CG88" s="118"/>
      <c r="CH88" s="117"/>
      <c r="CI88" s="118"/>
      <c r="CJ88" s="117"/>
      <c r="CK88" s="117" t="s">
        <v>1356</v>
      </c>
      <c r="CL88" s="117"/>
      <c r="CM88" s="118"/>
      <c r="CN88" s="117"/>
      <c r="CO88" s="118"/>
      <c r="CP88" s="117"/>
      <c r="CQ88" s="117" t="s">
        <v>1356</v>
      </c>
      <c r="CR88" s="117"/>
      <c r="CS88" s="118"/>
      <c r="CT88" s="117"/>
      <c r="CU88" s="118"/>
      <c r="CV88" s="117"/>
      <c r="CW88" s="117" t="s">
        <v>1356</v>
      </c>
      <c r="CX88" s="117"/>
      <c r="CY88" s="118"/>
      <c r="CZ88" s="117"/>
      <c r="DA88" s="118"/>
      <c r="DB88" s="129" t="s">
        <v>6962</v>
      </c>
      <c r="DC88" s="130" t="s">
        <v>105</v>
      </c>
    </row>
    <row r="89" spans="1:107" s="40" customFormat="1" ht="14.55" customHeight="1" x14ac:dyDescent="0.3">
      <c r="A89" s="25" t="s">
        <v>3500</v>
      </c>
      <c r="B89" s="25" t="s">
        <v>3661</v>
      </c>
      <c r="C89" s="25" t="s">
        <v>3662</v>
      </c>
      <c r="D89" s="25" t="s">
        <v>930</v>
      </c>
      <c r="E89" s="25" t="s">
        <v>931</v>
      </c>
      <c r="F89" s="25" t="s">
        <v>233</v>
      </c>
      <c r="G89" s="26" t="s">
        <v>72</v>
      </c>
      <c r="H89" s="27" t="s">
        <v>251</v>
      </c>
      <c r="I89" s="26">
        <v>1701</v>
      </c>
      <c r="J89" s="26">
        <v>170150</v>
      </c>
      <c r="K89" s="28">
        <v>4</v>
      </c>
      <c r="L89" s="25" t="s">
        <v>621</v>
      </c>
      <c r="M89" s="25" t="s">
        <v>932</v>
      </c>
      <c r="N89" s="25" t="s">
        <v>692</v>
      </c>
      <c r="O89" s="25" t="s">
        <v>933</v>
      </c>
      <c r="P89" s="25"/>
      <c r="Q89" s="25" t="s">
        <v>934</v>
      </c>
      <c r="R89" s="25" t="s">
        <v>60</v>
      </c>
      <c r="S89" s="25"/>
      <c r="T89" s="25"/>
      <c r="U89" s="25" t="s">
        <v>609</v>
      </c>
      <c r="V89" s="25"/>
      <c r="W89" s="25" t="s">
        <v>935</v>
      </c>
      <c r="X89" s="25" t="s">
        <v>936</v>
      </c>
      <c r="Y89" s="25" t="s">
        <v>937</v>
      </c>
      <c r="Z89" s="25">
        <v>-78.475263999999996</v>
      </c>
      <c r="AA89" s="25">
        <v>-0.101698</v>
      </c>
      <c r="AB89" s="25">
        <v>170150043</v>
      </c>
      <c r="AC89" s="25">
        <v>170150043008</v>
      </c>
      <c r="AD89" s="25">
        <v>170150043008008</v>
      </c>
      <c r="AE89" s="28">
        <v>5</v>
      </c>
      <c r="AF89" s="28" t="s">
        <v>772</v>
      </c>
      <c r="AG89" s="29" t="s">
        <v>65</v>
      </c>
      <c r="AH89" s="61"/>
      <c r="AI89" s="31" t="s">
        <v>66</v>
      </c>
      <c r="AJ89" s="32" t="s">
        <v>6938</v>
      </c>
      <c r="AK89" s="33" t="s">
        <v>67</v>
      </c>
      <c r="AL89" s="34">
        <v>45580</v>
      </c>
      <c r="AM89" s="36" t="s">
        <v>66</v>
      </c>
      <c r="AN89" s="36"/>
      <c r="AO89" s="36"/>
      <c r="AP89" s="36"/>
      <c r="AQ89" s="37">
        <f t="shared" si="6"/>
        <v>0</v>
      </c>
      <c r="AR89" s="38">
        <f t="shared" si="7"/>
        <v>0</v>
      </c>
      <c r="AS89" s="39">
        <f t="shared" si="8"/>
        <v>0</v>
      </c>
      <c r="AT89" s="91"/>
      <c r="AU89" s="92"/>
      <c r="AV89" s="93"/>
      <c r="AW89" s="94"/>
      <c r="AX89" s="93"/>
      <c r="AY89" s="95"/>
      <c r="AZ89" s="91"/>
      <c r="BA89" s="92"/>
      <c r="BB89" s="93"/>
      <c r="BC89" s="95"/>
      <c r="BD89" s="93"/>
      <c r="BE89" s="95"/>
      <c r="BF89" s="91"/>
      <c r="BG89" s="92"/>
      <c r="BH89" s="93"/>
      <c r="BI89" s="95"/>
      <c r="BJ89" s="93"/>
      <c r="BK89" s="95"/>
      <c r="BL89" s="91"/>
      <c r="BM89" s="92"/>
      <c r="BN89" s="93"/>
      <c r="BO89" s="95"/>
      <c r="BP89" s="93"/>
      <c r="BQ89" s="95"/>
      <c r="BR89" s="91"/>
      <c r="BS89" s="92"/>
      <c r="BT89" s="93"/>
      <c r="BU89" s="95"/>
      <c r="BV89" s="93"/>
      <c r="BW89" s="95"/>
      <c r="BX89" s="113"/>
      <c r="BY89" s="114" t="s">
        <v>1356</v>
      </c>
      <c r="BZ89" s="115"/>
      <c r="CA89" s="116"/>
      <c r="CB89" s="115"/>
      <c r="CC89" s="116"/>
      <c r="CD89" s="113"/>
      <c r="CE89" s="114" t="s">
        <v>1356</v>
      </c>
      <c r="CF89" s="115"/>
      <c r="CG89" s="116"/>
      <c r="CH89" s="115"/>
      <c r="CI89" s="116"/>
      <c r="CJ89" s="113"/>
      <c r="CK89" s="114" t="s">
        <v>1356</v>
      </c>
      <c r="CL89" s="115"/>
      <c r="CM89" s="116"/>
      <c r="CN89" s="115"/>
      <c r="CO89" s="116"/>
      <c r="CP89" s="113"/>
      <c r="CQ89" s="114" t="s">
        <v>1356</v>
      </c>
      <c r="CR89" s="115"/>
      <c r="CS89" s="116"/>
      <c r="CT89" s="115"/>
      <c r="CU89" s="116"/>
      <c r="CV89" s="113"/>
      <c r="CW89" s="114" t="s">
        <v>1356</v>
      </c>
      <c r="CX89" s="115"/>
      <c r="CY89" s="116"/>
      <c r="CZ89" s="115"/>
      <c r="DA89" s="116"/>
      <c r="DB89" s="128" t="s">
        <v>7085</v>
      </c>
      <c r="DC89" s="128" t="s">
        <v>105</v>
      </c>
    </row>
    <row r="90" spans="1:107" s="40" customFormat="1" ht="14.55" customHeight="1" x14ac:dyDescent="0.3">
      <c r="A90" s="66" t="s">
        <v>3500</v>
      </c>
      <c r="B90" s="66" t="s">
        <v>3894</v>
      </c>
      <c r="C90" s="66" t="s">
        <v>3895</v>
      </c>
      <c r="D90" s="66" t="s">
        <v>1937</v>
      </c>
      <c r="E90" s="66" t="s">
        <v>70</v>
      </c>
      <c r="F90" s="66" t="s">
        <v>233</v>
      </c>
      <c r="G90" s="68" t="s">
        <v>72</v>
      </c>
      <c r="H90" s="43" t="s">
        <v>251</v>
      </c>
      <c r="I90" s="68">
        <v>1701</v>
      </c>
      <c r="J90" s="68">
        <v>170154</v>
      </c>
      <c r="K90" s="69">
        <v>4</v>
      </c>
      <c r="L90" s="66" t="s">
        <v>1938</v>
      </c>
      <c r="M90" s="66" t="s">
        <v>1939</v>
      </c>
      <c r="N90" s="66" t="s">
        <v>1940</v>
      </c>
      <c r="O90" s="66"/>
      <c r="P90" s="66"/>
      <c r="Q90" s="66"/>
      <c r="R90" s="66"/>
      <c r="S90" s="66"/>
      <c r="T90" s="66"/>
      <c r="U90" s="66"/>
      <c r="V90" s="66" t="s">
        <v>1941</v>
      </c>
      <c r="W90" s="66"/>
      <c r="X90" s="66" t="s">
        <v>1942</v>
      </c>
      <c r="Y90" s="66" t="s">
        <v>1943</v>
      </c>
      <c r="Z90" s="66">
        <v>-78.514630105999998</v>
      </c>
      <c r="AA90" s="66">
        <v>-8.2038709999800001E-3</v>
      </c>
      <c r="AB90" s="66">
        <v>170154001</v>
      </c>
      <c r="AC90" s="66">
        <v>170154001009</v>
      </c>
      <c r="AD90" s="66">
        <v>170154001009002</v>
      </c>
      <c r="AE90" s="69">
        <v>2</v>
      </c>
      <c r="AF90" s="69" t="s">
        <v>64</v>
      </c>
      <c r="AG90" s="46" t="s">
        <v>66</v>
      </c>
      <c r="AH90" s="70">
        <v>40880</v>
      </c>
      <c r="AI90" s="71" t="s">
        <v>66</v>
      </c>
      <c r="AJ90" s="49" t="s">
        <v>6938</v>
      </c>
      <c r="AK90" s="50" t="s">
        <v>67</v>
      </c>
      <c r="AL90" s="58">
        <v>45564</v>
      </c>
      <c r="AM90" s="52" t="s">
        <v>66</v>
      </c>
      <c r="AN90" s="52"/>
      <c r="AO90" s="52"/>
      <c r="AP90" s="52"/>
      <c r="AQ90" s="53">
        <f t="shared" si="6"/>
        <v>0</v>
      </c>
      <c r="AR90" s="54">
        <f t="shared" si="7"/>
        <v>1</v>
      </c>
      <c r="AS90" s="55">
        <f t="shared" si="8"/>
        <v>1</v>
      </c>
      <c r="AT90" s="102"/>
      <c r="AU90" s="103" t="s">
        <v>1356</v>
      </c>
      <c r="AV90" s="104"/>
      <c r="AW90" s="105"/>
      <c r="AX90" s="104"/>
      <c r="AY90" s="106"/>
      <c r="AZ90" s="102"/>
      <c r="BA90" s="103" t="s">
        <v>1356</v>
      </c>
      <c r="BB90" s="104"/>
      <c r="BC90" s="106"/>
      <c r="BD90" s="104"/>
      <c r="BE90" s="106"/>
      <c r="BF90" s="102"/>
      <c r="BG90" s="103" t="s">
        <v>1356</v>
      </c>
      <c r="BH90" s="104"/>
      <c r="BI90" s="106"/>
      <c r="BJ90" s="104"/>
      <c r="BK90" s="106"/>
      <c r="BL90" s="102"/>
      <c r="BM90" s="103" t="s">
        <v>1356</v>
      </c>
      <c r="BN90" s="104"/>
      <c r="BO90" s="106"/>
      <c r="BP90" s="104"/>
      <c r="BQ90" s="106"/>
      <c r="BR90" s="102"/>
      <c r="BS90" s="103" t="s">
        <v>1356</v>
      </c>
      <c r="BT90" s="104"/>
      <c r="BU90" s="106"/>
      <c r="BV90" s="104"/>
      <c r="BW90" s="106"/>
      <c r="BX90" s="121" t="s">
        <v>1944</v>
      </c>
      <c r="BY90" s="122" t="s">
        <v>1945</v>
      </c>
      <c r="BZ90" s="123">
        <v>0.75</v>
      </c>
      <c r="CA90" s="124">
        <v>45563</v>
      </c>
      <c r="CB90" s="123">
        <v>0.75</v>
      </c>
      <c r="CC90" s="124">
        <v>45592</v>
      </c>
      <c r="CD90" s="121"/>
      <c r="CE90" s="122" t="s">
        <v>1356</v>
      </c>
      <c r="CF90" s="123"/>
      <c r="CG90" s="124"/>
      <c r="CH90" s="123"/>
      <c r="CI90" s="124"/>
      <c r="CJ90" s="121"/>
      <c r="CK90" s="122" t="s">
        <v>1356</v>
      </c>
      <c r="CL90" s="123"/>
      <c r="CM90" s="124"/>
      <c r="CN90" s="123"/>
      <c r="CO90" s="124"/>
      <c r="CP90" s="121"/>
      <c r="CQ90" s="122" t="s">
        <v>1356</v>
      </c>
      <c r="CR90" s="123"/>
      <c r="CS90" s="124"/>
      <c r="CT90" s="123"/>
      <c r="CU90" s="124"/>
      <c r="CV90" s="121"/>
      <c r="CW90" s="122" t="s">
        <v>1356</v>
      </c>
      <c r="CX90" s="123"/>
      <c r="CY90" s="124"/>
      <c r="CZ90" s="123"/>
      <c r="DA90" s="124"/>
      <c r="DB90" s="129" t="s">
        <v>6962</v>
      </c>
      <c r="DC90" s="129" t="s">
        <v>105</v>
      </c>
    </row>
    <row r="91" spans="1:107" s="40" customFormat="1" ht="14.55" customHeight="1" x14ac:dyDescent="0.3">
      <c r="A91" s="25" t="s">
        <v>3500</v>
      </c>
      <c r="B91" s="25" t="s">
        <v>3665</v>
      </c>
      <c r="C91" s="25" t="s">
        <v>3666</v>
      </c>
      <c r="D91" s="25" t="s">
        <v>950</v>
      </c>
      <c r="E91" s="25" t="s">
        <v>951</v>
      </c>
      <c r="F91" s="25" t="s">
        <v>256</v>
      </c>
      <c r="G91" s="26" t="s">
        <v>72</v>
      </c>
      <c r="H91" s="27" t="s">
        <v>251</v>
      </c>
      <c r="I91" s="26">
        <v>1701</v>
      </c>
      <c r="J91" s="26">
        <v>170177</v>
      </c>
      <c r="K91" s="28">
        <v>4</v>
      </c>
      <c r="L91" s="25" t="s">
        <v>952</v>
      </c>
      <c r="M91" s="25"/>
      <c r="N91" s="25" t="s">
        <v>953</v>
      </c>
      <c r="O91" s="25"/>
      <c r="P91" s="25"/>
      <c r="Q91" s="25" t="s">
        <v>954</v>
      </c>
      <c r="R91" s="25" t="s">
        <v>60</v>
      </c>
      <c r="S91" s="25"/>
      <c r="T91" s="25" t="s">
        <v>955</v>
      </c>
      <c r="U91" s="25" t="s">
        <v>465</v>
      </c>
      <c r="V91" s="25"/>
      <c r="W91" s="25" t="s">
        <v>956</v>
      </c>
      <c r="X91" s="25" t="s">
        <v>957</v>
      </c>
      <c r="Y91" s="25" t="s">
        <v>958</v>
      </c>
      <c r="Z91" s="25"/>
      <c r="AA91" s="25"/>
      <c r="AB91" s="25">
        <v>170177006</v>
      </c>
      <c r="AC91" s="25">
        <v>170177006011</v>
      </c>
      <c r="AD91" s="25">
        <v>170177006011002</v>
      </c>
      <c r="AE91" s="28">
        <v>5</v>
      </c>
      <c r="AF91" s="28" t="s">
        <v>772</v>
      </c>
      <c r="AG91" s="29" t="s">
        <v>65</v>
      </c>
      <c r="AH91" s="61"/>
      <c r="AI91" s="31" t="s">
        <v>66</v>
      </c>
      <c r="AJ91" s="32" t="s">
        <v>6938</v>
      </c>
      <c r="AK91" s="33" t="s">
        <v>67</v>
      </c>
      <c r="AL91" s="34">
        <v>45580</v>
      </c>
      <c r="AM91" s="36" t="s">
        <v>66</v>
      </c>
      <c r="AN91" s="36"/>
      <c r="AO91" s="36"/>
      <c r="AP91" s="36"/>
      <c r="AQ91" s="37">
        <f t="shared" si="6"/>
        <v>0</v>
      </c>
      <c r="AR91" s="38">
        <f t="shared" si="7"/>
        <v>0</v>
      </c>
      <c r="AS91" s="39">
        <f t="shared" si="8"/>
        <v>0</v>
      </c>
      <c r="AT91" s="91"/>
      <c r="AU91" s="92"/>
      <c r="AV91" s="93"/>
      <c r="AW91" s="94"/>
      <c r="AX91" s="93"/>
      <c r="AY91" s="95"/>
      <c r="AZ91" s="91"/>
      <c r="BA91" s="92" t="s">
        <v>1356</v>
      </c>
      <c r="BB91" s="93"/>
      <c r="BC91" s="95"/>
      <c r="BD91" s="93"/>
      <c r="BE91" s="95"/>
      <c r="BF91" s="91"/>
      <c r="BG91" s="92" t="s">
        <v>1356</v>
      </c>
      <c r="BH91" s="93"/>
      <c r="BI91" s="95"/>
      <c r="BJ91" s="93"/>
      <c r="BK91" s="95"/>
      <c r="BL91" s="91"/>
      <c r="BM91" s="92" t="s">
        <v>1356</v>
      </c>
      <c r="BN91" s="93"/>
      <c r="BO91" s="95"/>
      <c r="BP91" s="93"/>
      <c r="BQ91" s="95"/>
      <c r="BR91" s="91"/>
      <c r="BS91" s="92" t="s">
        <v>1356</v>
      </c>
      <c r="BT91" s="93"/>
      <c r="BU91" s="95"/>
      <c r="BV91" s="93"/>
      <c r="BW91" s="95"/>
      <c r="BX91" s="113"/>
      <c r="BY91" s="114" t="s">
        <v>1356</v>
      </c>
      <c r="BZ91" s="115"/>
      <c r="CA91" s="116"/>
      <c r="CB91" s="115"/>
      <c r="CC91" s="116"/>
      <c r="CD91" s="113"/>
      <c r="CE91" s="114" t="s">
        <v>1356</v>
      </c>
      <c r="CF91" s="115"/>
      <c r="CG91" s="116"/>
      <c r="CH91" s="115"/>
      <c r="CI91" s="116"/>
      <c r="CJ91" s="113"/>
      <c r="CK91" s="114" t="s">
        <v>1356</v>
      </c>
      <c r="CL91" s="115"/>
      <c r="CM91" s="116"/>
      <c r="CN91" s="115"/>
      <c r="CO91" s="116"/>
      <c r="CP91" s="113"/>
      <c r="CQ91" s="114" t="s">
        <v>1356</v>
      </c>
      <c r="CR91" s="115"/>
      <c r="CS91" s="116"/>
      <c r="CT91" s="115"/>
      <c r="CU91" s="116"/>
      <c r="CV91" s="113"/>
      <c r="CW91" s="114" t="s">
        <v>1356</v>
      </c>
      <c r="CX91" s="115"/>
      <c r="CY91" s="116"/>
      <c r="CZ91" s="115"/>
      <c r="DA91" s="116"/>
      <c r="DB91" s="128" t="s">
        <v>7085</v>
      </c>
      <c r="DC91" s="128" t="s">
        <v>105</v>
      </c>
    </row>
    <row r="92" spans="1:107" s="40" customFormat="1" ht="14.55" customHeight="1" x14ac:dyDescent="0.3">
      <c r="A92" s="42" t="s">
        <v>4219</v>
      </c>
      <c r="B92" s="42" t="s">
        <v>6163</v>
      </c>
      <c r="C92" s="42" t="s">
        <v>6164</v>
      </c>
      <c r="D92" s="42" t="s">
        <v>6165</v>
      </c>
      <c r="E92" s="42" t="s">
        <v>6166</v>
      </c>
      <c r="F92" s="42" t="s">
        <v>81</v>
      </c>
      <c r="G92" s="42" t="s">
        <v>4484</v>
      </c>
      <c r="H92" s="43" t="s">
        <v>6936</v>
      </c>
      <c r="I92" s="44">
        <v>1207</v>
      </c>
      <c r="J92" s="44">
        <v>120752</v>
      </c>
      <c r="K92" s="45">
        <v>4</v>
      </c>
      <c r="L92" s="42" t="s">
        <v>6167</v>
      </c>
      <c r="M92" s="42"/>
      <c r="N92" s="42" t="s">
        <v>810</v>
      </c>
      <c r="O92" s="42" t="s">
        <v>4329</v>
      </c>
      <c r="P92" s="42"/>
      <c r="Q92" s="42"/>
      <c r="R92" s="42" t="s">
        <v>60</v>
      </c>
      <c r="S92" s="42"/>
      <c r="T92" s="42"/>
      <c r="U92" s="42" t="s">
        <v>6168</v>
      </c>
      <c r="V92" s="42"/>
      <c r="W92" s="42" t="s">
        <v>6169</v>
      </c>
      <c r="X92" s="42" t="s">
        <v>6170</v>
      </c>
      <c r="Y92" s="42" t="s">
        <v>6171</v>
      </c>
      <c r="Z92" s="42"/>
      <c r="AA92" s="42"/>
      <c r="AB92" s="42">
        <v>120752999</v>
      </c>
      <c r="AC92" s="42">
        <v>120752999007</v>
      </c>
      <c r="AD92" s="42"/>
      <c r="AE92" s="45">
        <v>5</v>
      </c>
      <c r="AF92" s="45" t="s">
        <v>772</v>
      </c>
      <c r="AG92" s="46" t="s">
        <v>66</v>
      </c>
      <c r="AH92" s="47" t="s">
        <v>6172</v>
      </c>
      <c r="AI92" s="48" t="s">
        <v>66</v>
      </c>
      <c r="AJ92" s="49" t="s">
        <v>6938</v>
      </c>
      <c r="AK92" s="50" t="s">
        <v>67</v>
      </c>
      <c r="AL92" s="34">
        <v>45565</v>
      </c>
      <c r="AM92" s="52" t="s">
        <v>66</v>
      </c>
      <c r="AN92" s="42"/>
      <c r="AO92" s="42"/>
      <c r="AP92" s="42"/>
      <c r="AQ92" s="53">
        <f t="shared" si="6"/>
        <v>2</v>
      </c>
      <c r="AR92" s="54">
        <f t="shared" si="7"/>
        <v>0</v>
      </c>
      <c r="AS92" s="55">
        <f t="shared" si="8"/>
        <v>2</v>
      </c>
      <c r="AT92" s="96" t="s">
        <v>386</v>
      </c>
      <c r="AU92" s="96" t="s">
        <v>5215</v>
      </c>
      <c r="AV92" s="96" t="s">
        <v>6847</v>
      </c>
      <c r="AW92" s="97" t="s">
        <v>6848</v>
      </c>
      <c r="AX92" s="96" t="s">
        <v>6849</v>
      </c>
      <c r="AY92" s="98" t="s">
        <v>6850</v>
      </c>
      <c r="AZ92" s="96" t="s">
        <v>6414</v>
      </c>
      <c r="BA92" s="96" t="s">
        <v>6415</v>
      </c>
      <c r="BB92" s="96">
        <v>2000</v>
      </c>
      <c r="BC92" s="98" t="s">
        <v>6851</v>
      </c>
      <c r="BD92" s="96" t="s">
        <v>6852</v>
      </c>
      <c r="BE92" s="98" t="s">
        <v>6853</v>
      </c>
      <c r="BF92" s="96"/>
      <c r="BG92" s="96" t="s">
        <v>1356</v>
      </c>
      <c r="BH92" s="96"/>
      <c r="BI92" s="98"/>
      <c r="BJ92" s="96"/>
      <c r="BK92" s="98"/>
      <c r="BL92" s="96"/>
      <c r="BM92" s="96" t="s">
        <v>1356</v>
      </c>
      <c r="BN92" s="96"/>
      <c r="BO92" s="98"/>
      <c r="BP92" s="96"/>
      <c r="BQ92" s="98"/>
      <c r="BR92" s="96"/>
      <c r="BS92" s="96" t="s">
        <v>1356</v>
      </c>
      <c r="BT92" s="96"/>
      <c r="BU92" s="98"/>
      <c r="BV92" s="96"/>
      <c r="BW92" s="98"/>
      <c r="BX92" s="117"/>
      <c r="BY92" s="117" t="s">
        <v>1356</v>
      </c>
      <c r="BZ92" s="117"/>
      <c r="CA92" s="118"/>
      <c r="CB92" s="117"/>
      <c r="CC92" s="118"/>
      <c r="CD92" s="117"/>
      <c r="CE92" s="117" t="s">
        <v>1356</v>
      </c>
      <c r="CF92" s="117"/>
      <c r="CG92" s="118"/>
      <c r="CH92" s="117"/>
      <c r="CI92" s="118"/>
      <c r="CJ92" s="117"/>
      <c r="CK92" s="117" t="s">
        <v>1356</v>
      </c>
      <c r="CL92" s="117"/>
      <c r="CM92" s="118"/>
      <c r="CN92" s="117"/>
      <c r="CO92" s="118"/>
      <c r="CP92" s="117"/>
      <c r="CQ92" s="117" t="s">
        <v>1356</v>
      </c>
      <c r="CR92" s="117"/>
      <c r="CS92" s="118"/>
      <c r="CT92" s="117"/>
      <c r="CU92" s="118"/>
      <c r="CV92" s="117"/>
      <c r="CW92" s="117" t="s">
        <v>1356</v>
      </c>
      <c r="CX92" s="117"/>
      <c r="CY92" s="118"/>
      <c r="CZ92" s="117"/>
      <c r="DA92" s="118"/>
      <c r="DB92" s="129" t="s">
        <v>6962</v>
      </c>
      <c r="DC92" s="130" t="s">
        <v>105</v>
      </c>
    </row>
    <row r="93" spans="1:107" s="40" customFormat="1" ht="14.55" customHeight="1" x14ac:dyDescent="0.3">
      <c r="A93" s="25" t="s">
        <v>3500</v>
      </c>
      <c r="B93" s="25" t="s">
        <v>3669</v>
      </c>
      <c r="C93" s="25" t="s">
        <v>3670</v>
      </c>
      <c r="D93" s="25" t="s">
        <v>969</v>
      </c>
      <c r="E93" s="25" t="s">
        <v>970</v>
      </c>
      <c r="F93" s="25" t="s">
        <v>256</v>
      </c>
      <c r="G93" s="26" t="s">
        <v>72</v>
      </c>
      <c r="H93" s="27" t="s">
        <v>251</v>
      </c>
      <c r="I93" s="26">
        <v>1705</v>
      </c>
      <c r="J93" s="26">
        <v>170550</v>
      </c>
      <c r="K93" s="28">
        <v>4</v>
      </c>
      <c r="L93" s="25" t="s">
        <v>971</v>
      </c>
      <c r="M93" s="25"/>
      <c r="N93" s="25" t="s">
        <v>810</v>
      </c>
      <c r="O93" s="25"/>
      <c r="P93" s="25"/>
      <c r="Q93" s="25"/>
      <c r="R93" s="25" t="s">
        <v>60</v>
      </c>
      <c r="S93" s="25"/>
      <c r="T93" s="25"/>
      <c r="U93" s="25" t="s">
        <v>972</v>
      </c>
      <c r="V93" s="25"/>
      <c r="W93" s="25" t="s">
        <v>973</v>
      </c>
      <c r="X93" s="25" t="s">
        <v>974</v>
      </c>
      <c r="Y93" s="25" t="s">
        <v>975</v>
      </c>
      <c r="Z93" s="25"/>
      <c r="AA93" s="25"/>
      <c r="AB93" s="25">
        <v>170550023</v>
      </c>
      <c r="AC93" s="25">
        <v>170550023011</v>
      </c>
      <c r="AD93" s="25">
        <v>170550023011003</v>
      </c>
      <c r="AE93" s="28">
        <v>5</v>
      </c>
      <c r="AF93" s="28" t="s">
        <v>772</v>
      </c>
      <c r="AG93" s="29" t="s">
        <v>65</v>
      </c>
      <c r="AH93" s="61"/>
      <c r="AI93" s="31" t="s">
        <v>66</v>
      </c>
      <c r="AJ93" s="32" t="s">
        <v>6938</v>
      </c>
      <c r="AK93" s="33" t="s">
        <v>67</v>
      </c>
      <c r="AL93" s="34">
        <v>45580</v>
      </c>
      <c r="AM93" s="36" t="s">
        <v>66</v>
      </c>
      <c r="AN93" s="36"/>
      <c r="AO93" s="36"/>
      <c r="AP93" s="36"/>
      <c r="AQ93" s="37">
        <f t="shared" si="6"/>
        <v>0</v>
      </c>
      <c r="AR93" s="38">
        <f t="shared" si="7"/>
        <v>0</v>
      </c>
      <c r="AS93" s="39">
        <f t="shared" si="8"/>
        <v>0</v>
      </c>
      <c r="AT93" s="91"/>
      <c r="AU93" s="92"/>
      <c r="AV93" s="93"/>
      <c r="AW93" s="94"/>
      <c r="AX93" s="93"/>
      <c r="AY93" s="95"/>
      <c r="AZ93" s="91"/>
      <c r="BA93" s="92"/>
      <c r="BB93" s="93"/>
      <c r="BC93" s="95"/>
      <c r="BD93" s="93"/>
      <c r="BE93" s="95"/>
      <c r="BF93" s="91"/>
      <c r="BG93" s="92"/>
      <c r="BH93" s="93"/>
      <c r="BI93" s="95"/>
      <c r="BJ93" s="93"/>
      <c r="BK93" s="95"/>
      <c r="BL93" s="91"/>
      <c r="BM93" s="92"/>
      <c r="BN93" s="93"/>
      <c r="BO93" s="95"/>
      <c r="BP93" s="93"/>
      <c r="BQ93" s="95"/>
      <c r="BR93" s="91"/>
      <c r="BS93" s="92"/>
      <c r="BT93" s="93"/>
      <c r="BU93" s="95"/>
      <c r="BV93" s="93"/>
      <c r="BW93" s="95"/>
      <c r="BX93" s="113"/>
      <c r="BY93" s="114" t="s">
        <v>1356</v>
      </c>
      <c r="BZ93" s="115"/>
      <c r="CA93" s="116"/>
      <c r="CB93" s="115"/>
      <c r="CC93" s="116"/>
      <c r="CD93" s="113"/>
      <c r="CE93" s="114" t="s">
        <v>1356</v>
      </c>
      <c r="CF93" s="115"/>
      <c r="CG93" s="116"/>
      <c r="CH93" s="115"/>
      <c r="CI93" s="116"/>
      <c r="CJ93" s="113"/>
      <c r="CK93" s="114" t="s">
        <v>1356</v>
      </c>
      <c r="CL93" s="115"/>
      <c r="CM93" s="116"/>
      <c r="CN93" s="115"/>
      <c r="CO93" s="116"/>
      <c r="CP93" s="113"/>
      <c r="CQ93" s="114" t="s">
        <v>1356</v>
      </c>
      <c r="CR93" s="115"/>
      <c r="CS93" s="116"/>
      <c r="CT93" s="115"/>
      <c r="CU93" s="116"/>
      <c r="CV93" s="113"/>
      <c r="CW93" s="114" t="s">
        <v>1356</v>
      </c>
      <c r="CX93" s="115"/>
      <c r="CY93" s="116"/>
      <c r="CZ93" s="115"/>
      <c r="DA93" s="116"/>
      <c r="DB93" s="128" t="s">
        <v>7085</v>
      </c>
      <c r="DC93" s="128" t="s">
        <v>105</v>
      </c>
    </row>
    <row r="94" spans="1:107" s="40" customFormat="1" ht="14.55" customHeight="1" x14ac:dyDescent="0.3">
      <c r="A94" s="66" t="s">
        <v>3500</v>
      </c>
      <c r="B94" s="66" t="s">
        <v>3966</v>
      </c>
      <c r="C94" s="66" t="s">
        <v>3967</v>
      </c>
      <c r="D94" s="66" t="s">
        <v>2207</v>
      </c>
      <c r="E94" s="66" t="s">
        <v>70</v>
      </c>
      <c r="F94" s="66" t="s">
        <v>567</v>
      </c>
      <c r="G94" s="68" t="s">
        <v>72</v>
      </c>
      <c r="H94" s="43" t="s">
        <v>251</v>
      </c>
      <c r="I94" s="68">
        <v>1701</v>
      </c>
      <c r="J94" s="68">
        <v>170150</v>
      </c>
      <c r="K94" s="69">
        <v>4</v>
      </c>
      <c r="L94" s="66" t="s">
        <v>2208</v>
      </c>
      <c r="M94" s="66" t="s">
        <v>2209</v>
      </c>
      <c r="N94" s="66" t="s">
        <v>2210</v>
      </c>
      <c r="O94" s="66"/>
      <c r="P94" s="66"/>
      <c r="Q94" s="66"/>
      <c r="R94" s="66"/>
      <c r="S94" s="66"/>
      <c r="T94" s="66"/>
      <c r="U94" s="66"/>
      <c r="V94" s="66" t="s">
        <v>1081</v>
      </c>
      <c r="W94" s="66" t="s">
        <v>2211</v>
      </c>
      <c r="X94" s="66" t="s">
        <v>2212</v>
      </c>
      <c r="Y94" s="66" t="s">
        <v>2213</v>
      </c>
      <c r="Z94" s="66"/>
      <c r="AA94" s="66"/>
      <c r="AB94" s="66"/>
      <c r="AC94" s="66"/>
      <c r="AD94" s="66"/>
      <c r="AE94" s="69">
        <v>2</v>
      </c>
      <c r="AF94" s="69" t="s">
        <v>64</v>
      </c>
      <c r="AG94" s="46" t="s">
        <v>66</v>
      </c>
      <c r="AH94" s="70">
        <v>40897</v>
      </c>
      <c r="AI94" s="71" t="s">
        <v>66</v>
      </c>
      <c r="AJ94" s="49" t="s">
        <v>6938</v>
      </c>
      <c r="AK94" s="50" t="s">
        <v>67</v>
      </c>
      <c r="AL94" s="58">
        <v>45566</v>
      </c>
      <c r="AM94" s="52" t="s">
        <v>66</v>
      </c>
      <c r="AN94" s="52"/>
      <c r="AO94" s="52"/>
      <c r="AP94" s="52"/>
      <c r="AQ94" s="53">
        <f t="shared" si="6"/>
        <v>2</v>
      </c>
      <c r="AR94" s="54">
        <f t="shared" si="7"/>
        <v>0</v>
      </c>
      <c r="AS94" s="55">
        <f t="shared" si="8"/>
        <v>2</v>
      </c>
      <c r="AT94" s="107" t="s">
        <v>1779</v>
      </c>
      <c r="AU94" s="103" t="s">
        <v>1780</v>
      </c>
      <c r="AV94" s="108">
        <v>6.9565000000000001</v>
      </c>
      <c r="AW94" s="105">
        <v>45588</v>
      </c>
      <c r="AX94" s="108">
        <v>6.9565000000000001</v>
      </c>
      <c r="AY94" s="106">
        <v>45616</v>
      </c>
      <c r="AZ94" s="107" t="s">
        <v>968</v>
      </c>
      <c r="BA94" s="103" t="s">
        <v>2214</v>
      </c>
      <c r="BB94" s="108">
        <v>3.2608700000000002</v>
      </c>
      <c r="BC94" s="106">
        <v>45588</v>
      </c>
      <c r="BD94" s="104"/>
      <c r="BE94" s="106"/>
      <c r="BF94" s="102"/>
      <c r="BG94" s="103" t="s">
        <v>1356</v>
      </c>
      <c r="BH94" s="104"/>
      <c r="BI94" s="106"/>
      <c r="BJ94" s="104"/>
      <c r="BK94" s="106"/>
      <c r="BL94" s="102"/>
      <c r="BM94" s="103" t="s">
        <v>1356</v>
      </c>
      <c r="BN94" s="104"/>
      <c r="BO94" s="106"/>
      <c r="BP94" s="104"/>
      <c r="BQ94" s="106"/>
      <c r="BR94" s="102"/>
      <c r="BS94" s="103" t="s">
        <v>1356</v>
      </c>
      <c r="BT94" s="104"/>
      <c r="BU94" s="106"/>
      <c r="BV94" s="104"/>
      <c r="BW94" s="106"/>
      <c r="BX94" s="121"/>
      <c r="BY94" s="122" t="s">
        <v>1356</v>
      </c>
      <c r="BZ94" s="123"/>
      <c r="CA94" s="124"/>
      <c r="CB94" s="123"/>
      <c r="CC94" s="124"/>
      <c r="CD94" s="121"/>
      <c r="CE94" s="122" t="s">
        <v>1356</v>
      </c>
      <c r="CF94" s="123"/>
      <c r="CG94" s="124"/>
      <c r="CH94" s="123"/>
      <c r="CI94" s="124"/>
      <c r="CJ94" s="121"/>
      <c r="CK94" s="122" t="s">
        <v>1356</v>
      </c>
      <c r="CL94" s="123"/>
      <c r="CM94" s="124"/>
      <c r="CN94" s="123"/>
      <c r="CO94" s="124"/>
      <c r="CP94" s="121"/>
      <c r="CQ94" s="122" t="s">
        <v>1356</v>
      </c>
      <c r="CR94" s="123"/>
      <c r="CS94" s="124"/>
      <c r="CT94" s="123"/>
      <c r="CU94" s="124"/>
      <c r="CV94" s="121"/>
      <c r="CW94" s="122" t="s">
        <v>1356</v>
      </c>
      <c r="CX94" s="123"/>
      <c r="CY94" s="124"/>
      <c r="CZ94" s="123"/>
      <c r="DA94" s="124"/>
      <c r="DB94" s="129" t="s">
        <v>6962</v>
      </c>
      <c r="DC94" s="129" t="s">
        <v>105</v>
      </c>
    </row>
    <row r="95" spans="1:107" s="40" customFormat="1" ht="14.55" customHeight="1" x14ac:dyDescent="0.3">
      <c r="A95" s="66" t="s">
        <v>3500</v>
      </c>
      <c r="B95" s="66" t="s">
        <v>3994</v>
      </c>
      <c r="C95" s="66" t="s">
        <v>3995</v>
      </c>
      <c r="D95" s="66" t="s">
        <v>2307</v>
      </c>
      <c r="E95" s="66" t="s">
        <v>2307</v>
      </c>
      <c r="F95" s="66" t="s">
        <v>825</v>
      </c>
      <c r="G95" s="68" t="s">
        <v>72</v>
      </c>
      <c r="H95" s="43" t="s">
        <v>251</v>
      </c>
      <c r="I95" s="68">
        <v>1701</v>
      </c>
      <c r="J95" s="68">
        <v>170150</v>
      </c>
      <c r="K95" s="69">
        <v>4</v>
      </c>
      <c r="L95" s="66" t="s">
        <v>2308</v>
      </c>
      <c r="M95" s="66" t="s">
        <v>258</v>
      </c>
      <c r="N95" s="66" t="s">
        <v>2309</v>
      </c>
      <c r="O95" s="66"/>
      <c r="P95" s="66"/>
      <c r="Q95" s="66"/>
      <c r="R95" s="66"/>
      <c r="S95" s="66"/>
      <c r="T95" s="66"/>
      <c r="U95" s="66" t="s">
        <v>2310</v>
      </c>
      <c r="V95" s="66"/>
      <c r="W95" s="66" t="s">
        <v>2311</v>
      </c>
      <c r="X95" s="66" t="s">
        <v>2312</v>
      </c>
      <c r="Y95" s="66" t="s">
        <v>2313</v>
      </c>
      <c r="Z95" s="66">
        <v>-78.539395032000002</v>
      </c>
      <c r="AA95" s="66">
        <v>-0.30945619000000002</v>
      </c>
      <c r="AB95" s="66">
        <v>170150406</v>
      </c>
      <c r="AC95" s="66">
        <v>170150406006</v>
      </c>
      <c r="AD95" s="66">
        <v>170150406006003</v>
      </c>
      <c r="AE95" s="69">
        <v>3</v>
      </c>
      <c r="AF95" s="69" t="s">
        <v>377</v>
      </c>
      <c r="AG95" s="46" t="s">
        <v>66</v>
      </c>
      <c r="AH95" s="70">
        <v>40892</v>
      </c>
      <c r="AI95" s="71" t="s">
        <v>66</v>
      </c>
      <c r="AJ95" s="49" t="s">
        <v>6938</v>
      </c>
      <c r="AK95" s="50" t="s">
        <v>67</v>
      </c>
      <c r="AL95" s="58">
        <v>45566</v>
      </c>
      <c r="AM95" s="52" t="s">
        <v>66</v>
      </c>
      <c r="AN95" s="52"/>
      <c r="AO95" s="52"/>
      <c r="AP95" s="52"/>
      <c r="AQ95" s="53">
        <f t="shared" si="6"/>
        <v>3</v>
      </c>
      <c r="AR95" s="54">
        <f t="shared" si="7"/>
        <v>0</v>
      </c>
      <c r="AS95" s="55">
        <f t="shared" si="8"/>
        <v>3</v>
      </c>
      <c r="AT95" s="107" t="s">
        <v>2314</v>
      </c>
      <c r="AU95" s="103" t="s">
        <v>2315</v>
      </c>
      <c r="AV95" s="109" t="s">
        <v>2316</v>
      </c>
      <c r="AW95" s="105">
        <v>45566</v>
      </c>
      <c r="AX95" s="109" t="s">
        <v>2316</v>
      </c>
      <c r="AY95" s="106">
        <v>45611</v>
      </c>
      <c r="AZ95" s="107" t="s">
        <v>2314</v>
      </c>
      <c r="BA95" s="103" t="s">
        <v>2315</v>
      </c>
      <c r="BB95" s="104">
        <v>60</v>
      </c>
      <c r="BC95" s="106">
        <v>45566</v>
      </c>
      <c r="BD95" s="104">
        <v>60</v>
      </c>
      <c r="BE95" s="106">
        <v>45611</v>
      </c>
      <c r="BF95" s="107" t="s">
        <v>2317</v>
      </c>
      <c r="BG95" s="103" t="s">
        <v>2318</v>
      </c>
      <c r="BH95" s="104">
        <v>48</v>
      </c>
      <c r="BI95" s="106">
        <v>45566</v>
      </c>
      <c r="BJ95" s="104">
        <v>48</v>
      </c>
      <c r="BK95" s="106">
        <v>45611</v>
      </c>
      <c r="BL95" s="102"/>
      <c r="BM95" s="103" t="s">
        <v>1356</v>
      </c>
      <c r="BN95" s="104"/>
      <c r="BO95" s="106"/>
      <c r="BP95" s="104"/>
      <c r="BQ95" s="106"/>
      <c r="BR95" s="102"/>
      <c r="BS95" s="103" t="s">
        <v>1356</v>
      </c>
      <c r="BT95" s="104"/>
      <c r="BU95" s="106"/>
      <c r="BV95" s="104"/>
      <c r="BW95" s="106"/>
      <c r="BX95" s="121"/>
      <c r="BY95" s="122" t="s">
        <v>1356</v>
      </c>
      <c r="BZ95" s="123"/>
      <c r="CA95" s="124"/>
      <c r="CB95" s="123"/>
      <c r="CC95" s="124"/>
      <c r="CD95" s="121"/>
      <c r="CE95" s="122" t="s">
        <v>1356</v>
      </c>
      <c r="CF95" s="123"/>
      <c r="CG95" s="124"/>
      <c r="CH95" s="123"/>
      <c r="CI95" s="124"/>
      <c r="CJ95" s="121"/>
      <c r="CK95" s="122" t="s">
        <v>1356</v>
      </c>
      <c r="CL95" s="123"/>
      <c r="CM95" s="124"/>
      <c r="CN95" s="123"/>
      <c r="CO95" s="124"/>
      <c r="CP95" s="121"/>
      <c r="CQ95" s="122" t="s">
        <v>1356</v>
      </c>
      <c r="CR95" s="123"/>
      <c r="CS95" s="124"/>
      <c r="CT95" s="123"/>
      <c r="CU95" s="124"/>
      <c r="CV95" s="121"/>
      <c r="CW95" s="122" t="s">
        <v>1356</v>
      </c>
      <c r="CX95" s="123"/>
      <c r="CY95" s="124"/>
      <c r="CZ95" s="123"/>
      <c r="DA95" s="124"/>
      <c r="DB95" s="129" t="s">
        <v>6962</v>
      </c>
      <c r="DC95" s="129" t="s">
        <v>105</v>
      </c>
    </row>
    <row r="96" spans="1:107" s="40" customFormat="1" ht="14.55" customHeight="1" x14ac:dyDescent="0.3">
      <c r="A96" s="66" t="s">
        <v>3500</v>
      </c>
      <c r="B96" s="66" t="s">
        <v>3509</v>
      </c>
      <c r="C96" s="66" t="s">
        <v>3510</v>
      </c>
      <c r="D96" s="66" t="s">
        <v>106</v>
      </c>
      <c r="E96" s="66" t="s">
        <v>107</v>
      </c>
      <c r="F96" s="66" t="s">
        <v>108</v>
      </c>
      <c r="G96" s="68" t="s">
        <v>109</v>
      </c>
      <c r="H96" s="43" t="s">
        <v>2719</v>
      </c>
      <c r="I96" s="68">
        <v>1001</v>
      </c>
      <c r="J96" s="68">
        <v>100150</v>
      </c>
      <c r="K96" s="69">
        <v>4</v>
      </c>
      <c r="L96" s="66" t="s">
        <v>110</v>
      </c>
      <c r="M96" s="66" t="s">
        <v>111</v>
      </c>
      <c r="N96" s="66" t="s">
        <v>112</v>
      </c>
      <c r="O96" s="66"/>
      <c r="P96" s="66"/>
      <c r="Q96" s="66"/>
      <c r="R96" s="66" t="s">
        <v>113</v>
      </c>
      <c r="S96" s="66"/>
      <c r="T96" s="66"/>
      <c r="U96" s="66" t="s">
        <v>114</v>
      </c>
      <c r="V96" s="66"/>
      <c r="W96" s="66" t="s">
        <v>115</v>
      </c>
      <c r="X96" s="66" t="s">
        <v>116</v>
      </c>
      <c r="Y96" s="66" t="s">
        <v>117</v>
      </c>
      <c r="Z96" s="66">
        <v>-78.121597051604112</v>
      </c>
      <c r="AA96" s="66">
        <v>0.37202192205146989</v>
      </c>
      <c r="AB96" s="66">
        <v>100150002</v>
      </c>
      <c r="AC96" s="66">
        <v>100150002005</v>
      </c>
      <c r="AD96" s="66">
        <v>100150002005009</v>
      </c>
      <c r="AE96" s="69">
        <v>2</v>
      </c>
      <c r="AF96" s="69" t="s">
        <v>64</v>
      </c>
      <c r="AG96" s="46" t="s">
        <v>66</v>
      </c>
      <c r="AH96" s="70" t="s">
        <v>118</v>
      </c>
      <c r="AI96" s="71" t="s">
        <v>66</v>
      </c>
      <c r="AJ96" s="49" t="s">
        <v>6938</v>
      </c>
      <c r="AK96" s="50" t="s">
        <v>67</v>
      </c>
      <c r="AL96" s="58">
        <v>45567</v>
      </c>
      <c r="AM96" s="52" t="s">
        <v>66</v>
      </c>
      <c r="AN96" s="52"/>
      <c r="AO96" s="52"/>
      <c r="AP96" s="52"/>
      <c r="AQ96" s="53">
        <f t="shared" si="6"/>
        <v>4</v>
      </c>
      <c r="AR96" s="54">
        <f t="shared" si="7"/>
        <v>0</v>
      </c>
      <c r="AS96" s="55">
        <f t="shared" si="8"/>
        <v>4</v>
      </c>
      <c r="AT96" s="102" t="s">
        <v>119</v>
      </c>
      <c r="AU96" s="103" t="s">
        <v>3343</v>
      </c>
      <c r="AV96" s="104">
        <v>7.3</v>
      </c>
      <c r="AW96" s="105">
        <v>45567</v>
      </c>
      <c r="AX96" s="104">
        <v>7.3</v>
      </c>
      <c r="AY96" s="106">
        <v>45601</v>
      </c>
      <c r="AZ96" s="102" t="s">
        <v>120</v>
      </c>
      <c r="BA96" s="103" t="s">
        <v>6740</v>
      </c>
      <c r="BB96" s="104">
        <v>1.2</v>
      </c>
      <c r="BC96" s="106">
        <v>45567</v>
      </c>
      <c r="BD96" s="104">
        <v>1.2</v>
      </c>
      <c r="BE96" s="106">
        <v>45601</v>
      </c>
      <c r="BF96" s="102" t="s">
        <v>121</v>
      </c>
      <c r="BG96" s="103" t="s">
        <v>3342</v>
      </c>
      <c r="BH96" s="104">
        <v>1.22</v>
      </c>
      <c r="BI96" s="106">
        <v>45567</v>
      </c>
      <c r="BJ96" s="104">
        <v>1.22</v>
      </c>
      <c r="BK96" s="106">
        <v>45601</v>
      </c>
      <c r="BL96" s="102" t="s">
        <v>122</v>
      </c>
      <c r="BM96" s="103" t="s">
        <v>6741</v>
      </c>
      <c r="BN96" s="104">
        <v>1.57</v>
      </c>
      <c r="BO96" s="106">
        <v>45567</v>
      </c>
      <c r="BP96" s="104">
        <v>1.57</v>
      </c>
      <c r="BQ96" s="106">
        <v>45601</v>
      </c>
      <c r="BR96" s="102"/>
      <c r="BS96" s="103" t="s">
        <v>1356</v>
      </c>
      <c r="BT96" s="104"/>
      <c r="BU96" s="106"/>
      <c r="BV96" s="104"/>
      <c r="BW96" s="106"/>
      <c r="BX96" s="121"/>
      <c r="BY96" s="122" t="s">
        <v>1356</v>
      </c>
      <c r="BZ96" s="123"/>
      <c r="CA96" s="124"/>
      <c r="CB96" s="123"/>
      <c r="CC96" s="124"/>
      <c r="CD96" s="121"/>
      <c r="CE96" s="122" t="s">
        <v>1356</v>
      </c>
      <c r="CF96" s="123"/>
      <c r="CG96" s="124"/>
      <c r="CH96" s="123"/>
      <c r="CI96" s="124"/>
      <c r="CJ96" s="121"/>
      <c r="CK96" s="122" t="s">
        <v>1356</v>
      </c>
      <c r="CL96" s="123"/>
      <c r="CM96" s="124"/>
      <c r="CN96" s="123"/>
      <c r="CO96" s="124"/>
      <c r="CP96" s="121"/>
      <c r="CQ96" s="122" t="s">
        <v>1356</v>
      </c>
      <c r="CR96" s="123"/>
      <c r="CS96" s="124"/>
      <c r="CT96" s="123"/>
      <c r="CU96" s="124"/>
      <c r="CV96" s="121"/>
      <c r="CW96" s="122" t="s">
        <v>1356</v>
      </c>
      <c r="CX96" s="123"/>
      <c r="CY96" s="124"/>
      <c r="CZ96" s="123"/>
      <c r="DA96" s="124"/>
      <c r="DB96" s="129" t="s">
        <v>6962</v>
      </c>
      <c r="DC96" s="129" t="s">
        <v>105</v>
      </c>
    </row>
    <row r="97" spans="1:107" s="40" customFormat="1" ht="14.55" customHeight="1" x14ac:dyDescent="0.3">
      <c r="A97" s="42" t="s">
        <v>4219</v>
      </c>
      <c r="B97" s="42" t="s">
        <v>5978</v>
      </c>
      <c r="C97" s="42" t="s">
        <v>5979</v>
      </c>
      <c r="D97" s="42" t="s">
        <v>5980</v>
      </c>
      <c r="E97" s="42" t="s">
        <v>5981</v>
      </c>
      <c r="F97" s="42" t="s">
        <v>1493</v>
      </c>
      <c r="G97" s="42" t="s">
        <v>4237</v>
      </c>
      <c r="H97" s="43" t="s">
        <v>686</v>
      </c>
      <c r="I97" s="44">
        <v>901</v>
      </c>
      <c r="J97" s="44">
        <v>90150</v>
      </c>
      <c r="K97" s="45">
        <v>4</v>
      </c>
      <c r="L97" s="42" t="s">
        <v>5982</v>
      </c>
      <c r="M97" s="42" t="s">
        <v>4272</v>
      </c>
      <c r="N97" s="42" t="s">
        <v>4498</v>
      </c>
      <c r="O97" s="42" t="s">
        <v>693</v>
      </c>
      <c r="P97" s="42" t="s">
        <v>5983</v>
      </c>
      <c r="Q97" s="42"/>
      <c r="R97" s="42" t="s">
        <v>403</v>
      </c>
      <c r="S97" s="42" t="s">
        <v>4272</v>
      </c>
      <c r="T97" s="42"/>
      <c r="U97" s="42" t="s">
        <v>5984</v>
      </c>
      <c r="V97" s="42" t="s">
        <v>1498</v>
      </c>
      <c r="W97" s="42" t="s">
        <v>5985</v>
      </c>
      <c r="X97" s="42" t="s">
        <v>5986</v>
      </c>
      <c r="Y97" s="42" t="s">
        <v>5987</v>
      </c>
      <c r="Z97" s="42"/>
      <c r="AA97" s="42"/>
      <c r="AB97" s="42">
        <v>90150375</v>
      </c>
      <c r="AC97" s="42">
        <v>90150375001</v>
      </c>
      <c r="AD97" s="42">
        <v>90150375001004</v>
      </c>
      <c r="AE97" s="45">
        <v>5</v>
      </c>
      <c r="AF97" s="45" t="s">
        <v>772</v>
      </c>
      <c r="AG97" s="46" t="s">
        <v>66</v>
      </c>
      <c r="AH97" s="47" t="s">
        <v>5988</v>
      </c>
      <c r="AI97" s="48" t="s">
        <v>66</v>
      </c>
      <c r="AJ97" s="49" t="s">
        <v>6938</v>
      </c>
      <c r="AK97" s="50" t="s">
        <v>67</v>
      </c>
      <c r="AL97" s="58">
        <v>45567</v>
      </c>
      <c r="AM97" s="52" t="s">
        <v>66</v>
      </c>
      <c r="AN97" s="42"/>
      <c r="AO97" s="42"/>
      <c r="AP97" s="42"/>
      <c r="AQ97" s="53">
        <f t="shared" si="6"/>
        <v>3</v>
      </c>
      <c r="AR97" s="54">
        <f t="shared" si="7"/>
        <v>0</v>
      </c>
      <c r="AS97" s="55">
        <f t="shared" si="8"/>
        <v>3</v>
      </c>
      <c r="AT97" s="96" t="s">
        <v>2574</v>
      </c>
      <c r="AU97" s="96" t="s">
        <v>2575</v>
      </c>
      <c r="AV97" s="96" t="s">
        <v>6353</v>
      </c>
      <c r="AW97" s="97" t="s">
        <v>6825</v>
      </c>
      <c r="AX97" s="96" t="s">
        <v>6353</v>
      </c>
      <c r="AY97" s="98" t="s">
        <v>6825</v>
      </c>
      <c r="AZ97" s="96" t="s">
        <v>2574</v>
      </c>
      <c r="BA97" s="96" t="s">
        <v>2575</v>
      </c>
      <c r="BB97" s="96" t="s">
        <v>6826</v>
      </c>
      <c r="BC97" s="98" t="s">
        <v>6827</v>
      </c>
      <c r="BD97" s="96" t="s">
        <v>6826</v>
      </c>
      <c r="BE97" s="98" t="s">
        <v>6827</v>
      </c>
      <c r="BF97" s="96" t="s">
        <v>2574</v>
      </c>
      <c r="BG97" s="96" t="s">
        <v>2575</v>
      </c>
      <c r="BH97" s="96" t="s">
        <v>6811</v>
      </c>
      <c r="BI97" s="98" t="s">
        <v>6827</v>
      </c>
      <c r="BJ97" s="96" t="s">
        <v>6811</v>
      </c>
      <c r="BK97" s="98" t="s">
        <v>6827</v>
      </c>
      <c r="BL97" s="96"/>
      <c r="BM97" s="96" t="s">
        <v>1356</v>
      </c>
      <c r="BN97" s="96"/>
      <c r="BO97" s="98"/>
      <c r="BP97" s="96"/>
      <c r="BQ97" s="98"/>
      <c r="BR97" s="96"/>
      <c r="BS97" s="96" t="s">
        <v>1356</v>
      </c>
      <c r="BT97" s="96"/>
      <c r="BU97" s="98"/>
      <c r="BV97" s="96"/>
      <c r="BW97" s="98"/>
      <c r="BX97" s="117"/>
      <c r="BY97" s="117" t="s">
        <v>1356</v>
      </c>
      <c r="BZ97" s="117"/>
      <c r="CA97" s="118"/>
      <c r="CB97" s="117"/>
      <c r="CC97" s="118"/>
      <c r="CD97" s="117"/>
      <c r="CE97" s="117" t="s">
        <v>1356</v>
      </c>
      <c r="CF97" s="117"/>
      <c r="CG97" s="118"/>
      <c r="CH97" s="117"/>
      <c r="CI97" s="118"/>
      <c r="CJ97" s="117"/>
      <c r="CK97" s="117" t="s">
        <v>1356</v>
      </c>
      <c r="CL97" s="117"/>
      <c r="CM97" s="118"/>
      <c r="CN97" s="117"/>
      <c r="CO97" s="118"/>
      <c r="CP97" s="117"/>
      <c r="CQ97" s="117" t="s">
        <v>1356</v>
      </c>
      <c r="CR97" s="117"/>
      <c r="CS97" s="118"/>
      <c r="CT97" s="117"/>
      <c r="CU97" s="118"/>
      <c r="CV97" s="117"/>
      <c r="CW97" s="117" t="s">
        <v>1356</v>
      </c>
      <c r="CX97" s="117"/>
      <c r="CY97" s="118"/>
      <c r="CZ97" s="117"/>
      <c r="DA97" s="118"/>
      <c r="DB97" s="129" t="s">
        <v>6962</v>
      </c>
      <c r="DC97" s="130" t="s">
        <v>105</v>
      </c>
    </row>
    <row r="98" spans="1:107" s="40" customFormat="1" ht="14.55" customHeight="1" x14ac:dyDescent="0.3">
      <c r="A98" s="66" t="s">
        <v>3500</v>
      </c>
      <c r="B98" s="66" t="s">
        <v>3599</v>
      </c>
      <c r="C98" s="66" t="s">
        <v>3600</v>
      </c>
      <c r="D98" s="66" t="s">
        <v>584</v>
      </c>
      <c r="E98" s="66" t="s">
        <v>585</v>
      </c>
      <c r="F98" s="66" t="s">
        <v>175</v>
      </c>
      <c r="G98" s="68" t="s">
        <v>109</v>
      </c>
      <c r="H98" s="43" t="s">
        <v>2719</v>
      </c>
      <c r="I98" s="68">
        <v>1003</v>
      </c>
      <c r="J98" s="68">
        <v>100356</v>
      </c>
      <c r="K98" s="69">
        <v>4</v>
      </c>
      <c r="L98" s="66" t="s">
        <v>586</v>
      </c>
      <c r="M98" s="66" t="s">
        <v>587</v>
      </c>
      <c r="N98" s="66" t="s">
        <v>588</v>
      </c>
      <c r="O98" s="66"/>
      <c r="P98" s="66"/>
      <c r="Q98" s="66" t="s">
        <v>585</v>
      </c>
      <c r="R98" s="66" t="s">
        <v>113</v>
      </c>
      <c r="S98" s="66"/>
      <c r="T98" s="66"/>
      <c r="U98" s="66" t="s">
        <v>589</v>
      </c>
      <c r="V98" s="66"/>
      <c r="W98" s="66" t="s">
        <v>590</v>
      </c>
      <c r="X98" s="66" t="s">
        <v>591</v>
      </c>
      <c r="Y98" s="66" t="s">
        <v>592</v>
      </c>
      <c r="Z98" s="66">
        <v>-78.281504988653978</v>
      </c>
      <c r="AA98" s="66">
        <v>0.27655291458111919</v>
      </c>
      <c r="AB98" s="66">
        <v>100356001</v>
      </c>
      <c r="AC98" s="66">
        <v>100356001006</v>
      </c>
      <c r="AD98" s="66">
        <v>100356001006001</v>
      </c>
      <c r="AE98" s="69">
        <v>4</v>
      </c>
      <c r="AF98" s="69" t="s">
        <v>499</v>
      </c>
      <c r="AG98" s="46" t="s">
        <v>66</v>
      </c>
      <c r="AH98" s="70" t="s">
        <v>593</v>
      </c>
      <c r="AI98" s="71" t="s">
        <v>66</v>
      </c>
      <c r="AJ98" s="49" t="s">
        <v>6938</v>
      </c>
      <c r="AK98" s="50" t="s">
        <v>67</v>
      </c>
      <c r="AL98" s="58">
        <v>45568</v>
      </c>
      <c r="AM98" s="52" t="s">
        <v>66</v>
      </c>
      <c r="AN98" s="52"/>
      <c r="AO98" s="52"/>
      <c r="AP98" s="52"/>
      <c r="AQ98" s="53">
        <f t="shared" si="6"/>
        <v>2</v>
      </c>
      <c r="AR98" s="54">
        <f t="shared" si="7"/>
        <v>0</v>
      </c>
      <c r="AS98" s="55">
        <f t="shared" si="8"/>
        <v>2</v>
      </c>
      <c r="AT98" s="102" t="s">
        <v>180</v>
      </c>
      <c r="AU98" s="103" t="s">
        <v>6705</v>
      </c>
      <c r="AV98" s="104">
        <v>37.6</v>
      </c>
      <c r="AW98" s="105">
        <v>45568</v>
      </c>
      <c r="AX98" s="104">
        <v>37.6</v>
      </c>
      <c r="AY98" s="106">
        <v>45602</v>
      </c>
      <c r="AZ98" s="102" t="s">
        <v>180</v>
      </c>
      <c r="BA98" s="103" t="s">
        <v>6705</v>
      </c>
      <c r="BB98" s="104">
        <v>39.24</v>
      </c>
      <c r="BC98" s="106">
        <v>45568</v>
      </c>
      <c r="BD98" s="104">
        <v>39.24</v>
      </c>
      <c r="BE98" s="106">
        <v>45602</v>
      </c>
      <c r="BF98" s="102"/>
      <c r="BG98" s="103" t="s">
        <v>1356</v>
      </c>
      <c r="BH98" s="104"/>
      <c r="BI98" s="106"/>
      <c r="BJ98" s="104"/>
      <c r="BK98" s="106"/>
      <c r="BL98" s="102"/>
      <c r="BM98" s="103" t="s">
        <v>1356</v>
      </c>
      <c r="BN98" s="104"/>
      <c r="BO98" s="106"/>
      <c r="BP98" s="104"/>
      <c r="BQ98" s="106"/>
      <c r="BR98" s="102"/>
      <c r="BS98" s="103" t="s">
        <v>1356</v>
      </c>
      <c r="BT98" s="104"/>
      <c r="BU98" s="106"/>
      <c r="BV98" s="104"/>
      <c r="BW98" s="106"/>
      <c r="BX98" s="121"/>
      <c r="BY98" s="122" t="s">
        <v>1356</v>
      </c>
      <c r="BZ98" s="123"/>
      <c r="CA98" s="124"/>
      <c r="CB98" s="123"/>
      <c r="CC98" s="124"/>
      <c r="CD98" s="121"/>
      <c r="CE98" s="122" t="s">
        <v>1356</v>
      </c>
      <c r="CF98" s="123"/>
      <c r="CG98" s="124"/>
      <c r="CH98" s="123"/>
      <c r="CI98" s="124"/>
      <c r="CJ98" s="121"/>
      <c r="CK98" s="122" t="s">
        <v>1356</v>
      </c>
      <c r="CL98" s="123"/>
      <c r="CM98" s="124"/>
      <c r="CN98" s="123"/>
      <c r="CO98" s="124"/>
      <c r="CP98" s="121"/>
      <c r="CQ98" s="122" t="s">
        <v>1356</v>
      </c>
      <c r="CR98" s="123"/>
      <c r="CS98" s="124"/>
      <c r="CT98" s="123"/>
      <c r="CU98" s="124"/>
      <c r="CV98" s="121"/>
      <c r="CW98" s="122" t="s">
        <v>1356</v>
      </c>
      <c r="CX98" s="123"/>
      <c r="CY98" s="124"/>
      <c r="CZ98" s="123"/>
      <c r="DA98" s="124"/>
      <c r="DB98" s="129" t="s">
        <v>6962</v>
      </c>
      <c r="DC98" s="129" t="s">
        <v>105</v>
      </c>
    </row>
    <row r="99" spans="1:107" s="40" customFormat="1" ht="14.55" customHeight="1" x14ac:dyDescent="0.3">
      <c r="A99" s="66" t="s">
        <v>3500</v>
      </c>
      <c r="B99" s="66" t="s">
        <v>3838</v>
      </c>
      <c r="C99" s="66" t="s">
        <v>3839</v>
      </c>
      <c r="D99" s="66" t="s">
        <v>1732</v>
      </c>
      <c r="E99" s="66" t="s">
        <v>1733</v>
      </c>
      <c r="F99" s="66" t="s">
        <v>1329</v>
      </c>
      <c r="G99" s="68" t="s">
        <v>72</v>
      </c>
      <c r="H99" s="43" t="s">
        <v>251</v>
      </c>
      <c r="I99" s="68">
        <v>1701</v>
      </c>
      <c r="J99" s="68">
        <v>170155</v>
      </c>
      <c r="K99" s="69">
        <v>4</v>
      </c>
      <c r="L99" s="66" t="s">
        <v>1734</v>
      </c>
      <c r="M99" s="66" t="s">
        <v>1735</v>
      </c>
      <c r="N99" s="66" t="s">
        <v>1736</v>
      </c>
      <c r="O99" s="66" t="s">
        <v>1628</v>
      </c>
      <c r="P99" s="66"/>
      <c r="Q99" s="66"/>
      <c r="R99" s="66"/>
      <c r="S99" s="66"/>
      <c r="T99" s="66"/>
      <c r="U99" s="66"/>
      <c r="V99" s="66"/>
      <c r="W99" s="66" t="s">
        <v>1737</v>
      </c>
      <c r="X99" s="66" t="s">
        <v>1738</v>
      </c>
      <c r="Y99" s="66" t="s">
        <v>1739</v>
      </c>
      <c r="Z99" s="66">
        <v>-78.439411000000007</v>
      </c>
      <c r="AA99" s="66">
        <v>-0.10403</v>
      </c>
      <c r="AB99" s="66">
        <v>170155044</v>
      </c>
      <c r="AC99" s="66">
        <v>170155044007</v>
      </c>
      <c r="AD99" s="66">
        <v>170155044007004</v>
      </c>
      <c r="AE99" s="69">
        <v>3</v>
      </c>
      <c r="AF99" s="69" t="s">
        <v>377</v>
      </c>
      <c r="AG99" s="46" t="s">
        <v>66</v>
      </c>
      <c r="AH99" s="70" t="s">
        <v>6944</v>
      </c>
      <c r="AI99" s="71" t="s">
        <v>66</v>
      </c>
      <c r="AJ99" s="49" t="s">
        <v>6938</v>
      </c>
      <c r="AK99" s="50" t="s">
        <v>67</v>
      </c>
      <c r="AL99" s="58">
        <v>45568</v>
      </c>
      <c r="AM99" s="52" t="s">
        <v>66</v>
      </c>
      <c r="AN99" s="52"/>
      <c r="AO99" s="52"/>
      <c r="AP99" s="52"/>
      <c r="AQ99" s="53">
        <f t="shared" si="6"/>
        <v>1</v>
      </c>
      <c r="AR99" s="54">
        <f t="shared" si="7"/>
        <v>0</v>
      </c>
      <c r="AS99" s="55">
        <f t="shared" si="8"/>
        <v>1</v>
      </c>
      <c r="AT99" s="102" t="s">
        <v>1740</v>
      </c>
      <c r="AU99" s="103" t="s">
        <v>1741</v>
      </c>
      <c r="AV99" s="104">
        <v>58.5</v>
      </c>
      <c r="AW99" s="105">
        <v>45568</v>
      </c>
      <c r="AX99" s="104"/>
      <c r="AY99" s="106"/>
      <c r="AZ99" s="102"/>
      <c r="BA99" s="103" t="s">
        <v>1356</v>
      </c>
      <c r="BB99" s="104"/>
      <c r="BC99" s="106"/>
      <c r="BD99" s="104"/>
      <c r="BE99" s="106"/>
      <c r="BF99" s="102"/>
      <c r="BG99" s="103" t="s">
        <v>1356</v>
      </c>
      <c r="BH99" s="104"/>
      <c r="BI99" s="106"/>
      <c r="BJ99" s="104"/>
      <c r="BK99" s="106"/>
      <c r="BL99" s="102"/>
      <c r="BM99" s="103" t="s">
        <v>1356</v>
      </c>
      <c r="BN99" s="104"/>
      <c r="BO99" s="106"/>
      <c r="BP99" s="104"/>
      <c r="BQ99" s="106"/>
      <c r="BR99" s="102"/>
      <c r="BS99" s="103" t="s">
        <v>1356</v>
      </c>
      <c r="BT99" s="104"/>
      <c r="BU99" s="106"/>
      <c r="BV99" s="104"/>
      <c r="BW99" s="106"/>
      <c r="BX99" s="121"/>
      <c r="BY99" s="122" t="s">
        <v>1356</v>
      </c>
      <c r="BZ99" s="123"/>
      <c r="CA99" s="124"/>
      <c r="CB99" s="123"/>
      <c r="CC99" s="124"/>
      <c r="CD99" s="121"/>
      <c r="CE99" s="122" t="s">
        <v>1356</v>
      </c>
      <c r="CF99" s="123"/>
      <c r="CG99" s="124"/>
      <c r="CH99" s="123"/>
      <c r="CI99" s="124"/>
      <c r="CJ99" s="121"/>
      <c r="CK99" s="122" t="s">
        <v>1356</v>
      </c>
      <c r="CL99" s="123"/>
      <c r="CM99" s="124"/>
      <c r="CN99" s="123"/>
      <c r="CO99" s="124"/>
      <c r="CP99" s="121"/>
      <c r="CQ99" s="122" t="s">
        <v>1356</v>
      </c>
      <c r="CR99" s="123"/>
      <c r="CS99" s="124"/>
      <c r="CT99" s="123"/>
      <c r="CU99" s="124"/>
      <c r="CV99" s="121"/>
      <c r="CW99" s="122" t="s">
        <v>1356</v>
      </c>
      <c r="CX99" s="123"/>
      <c r="CY99" s="124"/>
      <c r="CZ99" s="123"/>
      <c r="DA99" s="124"/>
      <c r="DB99" s="129" t="s">
        <v>6962</v>
      </c>
      <c r="DC99" s="129" t="s">
        <v>105</v>
      </c>
    </row>
    <row r="100" spans="1:107" s="40" customFormat="1" ht="14.55" customHeight="1" x14ac:dyDescent="0.3">
      <c r="A100" s="25" t="s">
        <v>3500</v>
      </c>
      <c r="B100" s="25" t="s">
        <v>3683</v>
      </c>
      <c r="C100" s="25" t="s">
        <v>3684</v>
      </c>
      <c r="D100" s="25" t="s">
        <v>1039</v>
      </c>
      <c r="E100" s="25" t="s">
        <v>1040</v>
      </c>
      <c r="F100" s="25" t="s">
        <v>142</v>
      </c>
      <c r="G100" s="26" t="s">
        <v>72</v>
      </c>
      <c r="H100" s="27" t="s">
        <v>251</v>
      </c>
      <c r="I100" s="26">
        <v>1701</v>
      </c>
      <c r="J100" s="26">
        <v>170150</v>
      </c>
      <c r="K100" s="28">
        <v>4</v>
      </c>
      <c r="L100" s="25" t="s">
        <v>1041</v>
      </c>
      <c r="M100" s="25" t="s">
        <v>1042</v>
      </c>
      <c r="N100" s="25" t="s">
        <v>1043</v>
      </c>
      <c r="O100" s="25"/>
      <c r="P100" s="25"/>
      <c r="Q100" s="25"/>
      <c r="R100" s="25" t="s">
        <v>60</v>
      </c>
      <c r="S100" s="25"/>
      <c r="T100" s="25"/>
      <c r="U100" s="25" t="s">
        <v>295</v>
      </c>
      <c r="V100" s="25"/>
      <c r="W100" s="25" t="s">
        <v>1044</v>
      </c>
      <c r="X100" s="25" t="s">
        <v>1045</v>
      </c>
      <c r="Y100" s="25" t="s">
        <v>1046</v>
      </c>
      <c r="Z100" s="25"/>
      <c r="AA100" s="25"/>
      <c r="AB100" s="25">
        <v>170150071</v>
      </c>
      <c r="AC100" s="25">
        <v>170150071010</v>
      </c>
      <c r="AD100" s="25">
        <v>170150071010003</v>
      </c>
      <c r="AE100" s="28">
        <v>5</v>
      </c>
      <c r="AF100" s="28" t="s">
        <v>772</v>
      </c>
      <c r="AG100" s="29" t="s">
        <v>65</v>
      </c>
      <c r="AH100" s="61"/>
      <c r="AI100" s="31" t="s">
        <v>66</v>
      </c>
      <c r="AJ100" s="32" t="s">
        <v>6938</v>
      </c>
      <c r="AK100" s="33" t="s">
        <v>67</v>
      </c>
      <c r="AL100" s="34">
        <v>45580</v>
      </c>
      <c r="AM100" s="36" t="s">
        <v>66</v>
      </c>
      <c r="AN100" s="36"/>
      <c r="AO100" s="36"/>
      <c r="AP100" s="36"/>
      <c r="AQ100" s="37">
        <f t="shared" si="6"/>
        <v>0</v>
      </c>
      <c r="AR100" s="38">
        <f t="shared" si="7"/>
        <v>0</v>
      </c>
      <c r="AS100" s="39">
        <f t="shared" si="8"/>
        <v>0</v>
      </c>
      <c r="AT100" s="91"/>
      <c r="AU100" s="92" t="s">
        <v>1356</v>
      </c>
      <c r="AV100" s="93"/>
      <c r="AW100" s="94"/>
      <c r="AX100" s="93"/>
      <c r="AY100" s="95"/>
      <c r="AZ100" s="91"/>
      <c r="BA100" s="92" t="s">
        <v>1356</v>
      </c>
      <c r="BB100" s="93"/>
      <c r="BC100" s="95"/>
      <c r="BD100" s="93"/>
      <c r="BE100" s="95"/>
      <c r="BF100" s="91"/>
      <c r="BG100" s="92" t="s">
        <v>1356</v>
      </c>
      <c r="BH100" s="93"/>
      <c r="BI100" s="95"/>
      <c r="BJ100" s="93"/>
      <c r="BK100" s="95"/>
      <c r="BL100" s="91"/>
      <c r="BM100" s="92" t="s">
        <v>1356</v>
      </c>
      <c r="BN100" s="93"/>
      <c r="BO100" s="95"/>
      <c r="BP100" s="93"/>
      <c r="BQ100" s="95"/>
      <c r="BR100" s="91"/>
      <c r="BS100" s="92" t="s">
        <v>1356</v>
      </c>
      <c r="BT100" s="93"/>
      <c r="BU100" s="95"/>
      <c r="BV100" s="93"/>
      <c r="BW100" s="95"/>
      <c r="BX100" s="113"/>
      <c r="BY100" s="114" t="s">
        <v>1356</v>
      </c>
      <c r="BZ100" s="115"/>
      <c r="CA100" s="116"/>
      <c r="CB100" s="115"/>
      <c r="CC100" s="116"/>
      <c r="CD100" s="113"/>
      <c r="CE100" s="114" t="s">
        <v>1356</v>
      </c>
      <c r="CF100" s="115"/>
      <c r="CG100" s="116"/>
      <c r="CH100" s="115"/>
      <c r="CI100" s="116"/>
      <c r="CJ100" s="113"/>
      <c r="CK100" s="114" t="s">
        <v>1356</v>
      </c>
      <c r="CL100" s="115"/>
      <c r="CM100" s="116"/>
      <c r="CN100" s="115"/>
      <c r="CO100" s="116"/>
      <c r="CP100" s="113"/>
      <c r="CQ100" s="114" t="s">
        <v>1356</v>
      </c>
      <c r="CR100" s="115"/>
      <c r="CS100" s="116"/>
      <c r="CT100" s="115"/>
      <c r="CU100" s="116"/>
      <c r="CV100" s="113"/>
      <c r="CW100" s="114" t="s">
        <v>1356</v>
      </c>
      <c r="CX100" s="115"/>
      <c r="CY100" s="116"/>
      <c r="CZ100" s="115"/>
      <c r="DA100" s="116"/>
      <c r="DB100" s="128" t="s">
        <v>7085</v>
      </c>
      <c r="DC100" s="128" t="s">
        <v>105</v>
      </c>
    </row>
    <row r="101" spans="1:107" s="40" customFormat="1" ht="14.55" customHeight="1" x14ac:dyDescent="0.3">
      <c r="A101" s="35" t="s">
        <v>4219</v>
      </c>
      <c r="B101" s="35" t="s">
        <v>5900</v>
      </c>
      <c r="C101" s="35" t="s">
        <v>5901</v>
      </c>
      <c r="D101" s="35" t="s">
        <v>5902</v>
      </c>
      <c r="E101" s="35" t="s">
        <v>70</v>
      </c>
      <c r="F101" s="35" t="s">
        <v>233</v>
      </c>
      <c r="G101" s="35" t="s">
        <v>4237</v>
      </c>
      <c r="H101" s="27" t="s">
        <v>686</v>
      </c>
      <c r="I101" s="62">
        <v>901</v>
      </c>
      <c r="J101" s="62">
        <v>90150</v>
      </c>
      <c r="K101" s="63">
        <v>4</v>
      </c>
      <c r="L101" s="35" t="s">
        <v>5903</v>
      </c>
      <c r="M101" s="35"/>
      <c r="N101" s="35" t="s">
        <v>5904</v>
      </c>
      <c r="O101" s="35" t="s">
        <v>5905</v>
      </c>
      <c r="P101" s="35"/>
      <c r="Q101" s="35" t="s">
        <v>5570</v>
      </c>
      <c r="R101" s="35" t="s">
        <v>113</v>
      </c>
      <c r="S101" s="35" t="s">
        <v>403</v>
      </c>
      <c r="T101" s="35"/>
      <c r="U101" s="35" t="s">
        <v>5810</v>
      </c>
      <c r="V101" s="35"/>
      <c r="W101" s="35" t="s">
        <v>5906</v>
      </c>
      <c r="X101" s="35" t="s">
        <v>5907</v>
      </c>
      <c r="Y101" s="35" t="s">
        <v>5908</v>
      </c>
      <c r="Z101" s="35">
        <v>-79.947533905506134</v>
      </c>
      <c r="AA101" s="35">
        <v>-2.0647037272543178</v>
      </c>
      <c r="AB101" s="35">
        <v>90150681</v>
      </c>
      <c r="AC101" s="35">
        <v>90150681009</v>
      </c>
      <c r="AD101" s="35">
        <v>90150681009006</v>
      </c>
      <c r="AE101" s="63">
        <v>5</v>
      </c>
      <c r="AF101" s="63" t="s">
        <v>772</v>
      </c>
      <c r="AG101" s="46" t="s">
        <v>66</v>
      </c>
      <c r="AH101" s="64">
        <v>80866</v>
      </c>
      <c r="AI101" s="65" t="s">
        <v>66</v>
      </c>
      <c r="AJ101" s="32" t="s">
        <v>6938</v>
      </c>
      <c r="AK101" s="33" t="s">
        <v>67</v>
      </c>
      <c r="AL101" s="34">
        <v>45568</v>
      </c>
      <c r="AM101" s="52" t="s">
        <v>66</v>
      </c>
      <c r="AN101" s="35"/>
      <c r="AO101" s="35"/>
      <c r="AP101" s="35"/>
      <c r="AQ101" s="37">
        <f t="shared" si="6"/>
        <v>3</v>
      </c>
      <c r="AR101" s="38">
        <f t="shared" si="7"/>
        <v>0</v>
      </c>
      <c r="AS101" s="39">
        <f t="shared" si="8"/>
        <v>3</v>
      </c>
      <c r="AT101" s="99" t="s">
        <v>671</v>
      </c>
      <c r="AU101" s="99" t="s">
        <v>2251</v>
      </c>
      <c r="AV101" s="99" t="s">
        <v>7053</v>
      </c>
      <c r="AW101" s="100">
        <v>45492</v>
      </c>
      <c r="AX101" s="99"/>
      <c r="AY101" s="101"/>
      <c r="AZ101" s="99" t="s">
        <v>672</v>
      </c>
      <c r="BA101" s="99" t="s">
        <v>2534</v>
      </c>
      <c r="BB101" s="99" t="s">
        <v>7054</v>
      </c>
      <c r="BC101" s="101">
        <v>45597</v>
      </c>
      <c r="BD101" s="99"/>
      <c r="BE101" s="101"/>
      <c r="BF101" s="99" t="s">
        <v>1088</v>
      </c>
      <c r="BG101" s="99" t="s">
        <v>6714</v>
      </c>
      <c r="BH101" s="99" t="s">
        <v>7055</v>
      </c>
      <c r="BI101" s="101">
        <v>45492</v>
      </c>
      <c r="BJ101" s="99"/>
      <c r="BK101" s="101"/>
      <c r="BL101" s="99"/>
      <c r="BM101" s="99" t="s">
        <v>1356</v>
      </c>
      <c r="BN101" s="99"/>
      <c r="BO101" s="101"/>
      <c r="BP101" s="99"/>
      <c r="BQ101" s="101"/>
      <c r="BR101" s="99"/>
      <c r="BS101" s="99" t="s">
        <v>1356</v>
      </c>
      <c r="BT101" s="99"/>
      <c r="BU101" s="101"/>
      <c r="BV101" s="99"/>
      <c r="BW101" s="101"/>
      <c r="BX101" s="119"/>
      <c r="BY101" s="119" t="s">
        <v>1356</v>
      </c>
      <c r="BZ101" s="119"/>
      <c r="CA101" s="120"/>
      <c r="CB101" s="119"/>
      <c r="CC101" s="120"/>
      <c r="CD101" s="119"/>
      <c r="CE101" s="119" t="s">
        <v>1356</v>
      </c>
      <c r="CF101" s="119"/>
      <c r="CG101" s="120"/>
      <c r="CH101" s="119"/>
      <c r="CI101" s="120"/>
      <c r="CJ101" s="119"/>
      <c r="CK101" s="119" t="s">
        <v>1356</v>
      </c>
      <c r="CL101" s="119"/>
      <c r="CM101" s="120"/>
      <c r="CN101" s="119"/>
      <c r="CO101" s="120"/>
      <c r="CP101" s="119"/>
      <c r="CQ101" s="119" t="s">
        <v>1356</v>
      </c>
      <c r="CR101" s="119"/>
      <c r="CS101" s="120"/>
      <c r="CT101" s="119"/>
      <c r="CU101" s="120"/>
      <c r="CV101" s="119"/>
      <c r="CW101" s="119" t="s">
        <v>1356</v>
      </c>
      <c r="CX101" s="119"/>
      <c r="CY101" s="120"/>
      <c r="CZ101" s="119"/>
      <c r="DA101" s="120"/>
      <c r="DB101" s="129" t="s">
        <v>6962</v>
      </c>
      <c r="DC101" s="131" t="s">
        <v>105</v>
      </c>
    </row>
    <row r="102" spans="1:107" s="40" customFormat="1" ht="14.55" customHeight="1" x14ac:dyDescent="0.3">
      <c r="A102" s="42" t="s">
        <v>4219</v>
      </c>
      <c r="B102" s="42" t="s">
        <v>5930</v>
      </c>
      <c r="C102" s="42" t="s">
        <v>5931</v>
      </c>
      <c r="D102" s="42" t="s">
        <v>5932</v>
      </c>
      <c r="E102" s="42" t="s">
        <v>5932</v>
      </c>
      <c r="F102" s="42" t="s">
        <v>256</v>
      </c>
      <c r="G102" s="42" t="s">
        <v>4237</v>
      </c>
      <c r="H102" s="43" t="s">
        <v>686</v>
      </c>
      <c r="I102" s="44">
        <v>901</v>
      </c>
      <c r="J102" s="44">
        <v>90150</v>
      </c>
      <c r="K102" s="45">
        <v>4</v>
      </c>
      <c r="L102" s="42" t="s">
        <v>5933</v>
      </c>
      <c r="M102" s="42"/>
      <c r="N102" s="42" t="s">
        <v>5934</v>
      </c>
      <c r="O102" s="42" t="s">
        <v>3061</v>
      </c>
      <c r="P102" s="42" t="s">
        <v>5935</v>
      </c>
      <c r="Q102" s="42"/>
      <c r="R102" s="42" t="s">
        <v>60</v>
      </c>
      <c r="S102" s="42"/>
      <c r="T102" s="42"/>
      <c r="U102" s="42"/>
      <c r="V102" s="42"/>
      <c r="W102" s="42" t="s">
        <v>5936</v>
      </c>
      <c r="X102" s="42" t="s">
        <v>5937</v>
      </c>
      <c r="Y102" s="42" t="s">
        <v>5938</v>
      </c>
      <c r="Z102" s="42"/>
      <c r="AA102" s="42"/>
      <c r="AB102" s="42">
        <v>90150422</v>
      </c>
      <c r="AC102" s="42">
        <v>90150422001</v>
      </c>
      <c r="AD102" s="42">
        <v>90150422001001</v>
      </c>
      <c r="AE102" s="45">
        <v>5</v>
      </c>
      <c r="AF102" s="45" t="s">
        <v>772</v>
      </c>
      <c r="AG102" s="46" t="s">
        <v>66</v>
      </c>
      <c r="AH102" s="47" t="s">
        <v>5939</v>
      </c>
      <c r="AI102" s="48" t="s">
        <v>66</v>
      </c>
      <c r="AJ102" s="49" t="s">
        <v>6938</v>
      </c>
      <c r="AK102" s="50" t="s">
        <v>67</v>
      </c>
      <c r="AL102" s="34">
        <v>45568</v>
      </c>
      <c r="AM102" s="52" t="s">
        <v>66</v>
      </c>
      <c r="AN102" s="42"/>
      <c r="AO102" s="42"/>
      <c r="AP102" s="42"/>
      <c r="AQ102" s="53">
        <f t="shared" si="6"/>
        <v>1</v>
      </c>
      <c r="AR102" s="54">
        <f t="shared" si="7"/>
        <v>0</v>
      </c>
      <c r="AS102" s="55">
        <f t="shared" si="8"/>
        <v>1</v>
      </c>
      <c r="AT102" s="96" t="s">
        <v>2712</v>
      </c>
      <c r="AU102" s="96" t="s">
        <v>2713</v>
      </c>
      <c r="AV102" s="96" t="s">
        <v>6821</v>
      </c>
      <c r="AW102" s="97" t="s">
        <v>6822</v>
      </c>
      <c r="AX102" s="96" t="s">
        <v>6821</v>
      </c>
      <c r="AY102" s="98" t="s">
        <v>6822</v>
      </c>
      <c r="AZ102" s="96"/>
      <c r="BA102" s="96" t="s">
        <v>1356</v>
      </c>
      <c r="BB102" s="96"/>
      <c r="BC102" s="98"/>
      <c r="BD102" s="96"/>
      <c r="BE102" s="98"/>
      <c r="BF102" s="96"/>
      <c r="BG102" s="96" t="s">
        <v>1356</v>
      </c>
      <c r="BH102" s="96"/>
      <c r="BI102" s="98"/>
      <c r="BJ102" s="96"/>
      <c r="BK102" s="98"/>
      <c r="BL102" s="96"/>
      <c r="BM102" s="96" t="s">
        <v>1356</v>
      </c>
      <c r="BN102" s="96"/>
      <c r="BO102" s="98"/>
      <c r="BP102" s="96"/>
      <c r="BQ102" s="98"/>
      <c r="BR102" s="96"/>
      <c r="BS102" s="96" t="s">
        <v>1356</v>
      </c>
      <c r="BT102" s="96"/>
      <c r="BU102" s="98"/>
      <c r="BV102" s="96"/>
      <c r="BW102" s="98"/>
      <c r="BX102" s="117"/>
      <c r="BY102" s="117" t="s">
        <v>1356</v>
      </c>
      <c r="BZ102" s="117"/>
      <c r="CA102" s="118"/>
      <c r="CB102" s="117"/>
      <c r="CC102" s="118"/>
      <c r="CD102" s="117"/>
      <c r="CE102" s="117" t="s">
        <v>1356</v>
      </c>
      <c r="CF102" s="117"/>
      <c r="CG102" s="118"/>
      <c r="CH102" s="117"/>
      <c r="CI102" s="118"/>
      <c r="CJ102" s="117"/>
      <c r="CK102" s="117" t="s">
        <v>1356</v>
      </c>
      <c r="CL102" s="117"/>
      <c r="CM102" s="118"/>
      <c r="CN102" s="117"/>
      <c r="CO102" s="118"/>
      <c r="CP102" s="117"/>
      <c r="CQ102" s="117" t="s">
        <v>1356</v>
      </c>
      <c r="CR102" s="117"/>
      <c r="CS102" s="118"/>
      <c r="CT102" s="117"/>
      <c r="CU102" s="118"/>
      <c r="CV102" s="117"/>
      <c r="CW102" s="117" t="s">
        <v>1356</v>
      </c>
      <c r="CX102" s="117"/>
      <c r="CY102" s="118"/>
      <c r="CZ102" s="117"/>
      <c r="DA102" s="118"/>
      <c r="DB102" s="129" t="s">
        <v>6962</v>
      </c>
      <c r="DC102" s="130" t="s">
        <v>105</v>
      </c>
    </row>
    <row r="103" spans="1:107" s="40" customFormat="1" ht="14.55" customHeight="1" x14ac:dyDescent="0.3">
      <c r="A103" s="66" t="s">
        <v>3500</v>
      </c>
      <c r="B103" s="66" t="s">
        <v>3523</v>
      </c>
      <c r="C103" s="66" t="s">
        <v>3524</v>
      </c>
      <c r="D103" s="66" t="s">
        <v>173</v>
      </c>
      <c r="E103" s="66" t="s">
        <v>174</v>
      </c>
      <c r="F103" s="66" t="s">
        <v>175</v>
      </c>
      <c r="G103" s="68" t="s">
        <v>109</v>
      </c>
      <c r="H103" s="43" t="s">
        <v>2719</v>
      </c>
      <c r="I103" s="68">
        <v>1002</v>
      </c>
      <c r="J103" s="68">
        <v>100254</v>
      </c>
      <c r="K103" s="69">
        <v>3</v>
      </c>
      <c r="L103" s="66" t="s">
        <v>176</v>
      </c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 t="s">
        <v>177</v>
      </c>
      <c r="X103" s="66"/>
      <c r="Y103" s="66" t="s">
        <v>178</v>
      </c>
      <c r="Z103" s="66">
        <v>-78.235696000000004</v>
      </c>
      <c r="AA103" s="66">
        <v>0.31690400000000002</v>
      </c>
      <c r="AB103" s="66">
        <v>100254001</v>
      </c>
      <c r="AC103" s="66">
        <v>100254001001</v>
      </c>
      <c r="AD103" s="66">
        <v>100254001001001</v>
      </c>
      <c r="AE103" s="69">
        <v>2</v>
      </c>
      <c r="AF103" s="69" t="s">
        <v>64</v>
      </c>
      <c r="AG103" s="46" t="s">
        <v>66</v>
      </c>
      <c r="AH103" s="70" t="s">
        <v>179</v>
      </c>
      <c r="AI103" s="71" t="s">
        <v>66</v>
      </c>
      <c r="AJ103" s="49" t="s">
        <v>6938</v>
      </c>
      <c r="AK103" s="50" t="s">
        <v>67</v>
      </c>
      <c r="AL103" s="58">
        <v>45569</v>
      </c>
      <c r="AM103" s="52" t="s">
        <v>66</v>
      </c>
      <c r="AN103" s="52"/>
      <c r="AO103" s="52"/>
      <c r="AP103" s="52"/>
      <c r="AQ103" s="53">
        <f t="shared" si="6"/>
        <v>5</v>
      </c>
      <c r="AR103" s="54">
        <f t="shared" si="7"/>
        <v>0</v>
      </c>
      <c r="AS103" s="55">
        <f t="shared" si="8"/>
        <v>5</v>
      </c>
      <c r="AT103" s="102" t="s">
        <v>180</v>
      </c>
      <c r="AU103" s="103" t="s">
        <v>6705</v>
      </c>
      <c r="AV103" s="104">
        <v>48</v>
      </c>
      <c r="AW103" s="105">
        <v>45569</v>
      </c>
      <c r="AX103" s="104">
        <v>48</v>
      </c>
      <c r="AY103" s="106">
        <v>45603</v>
      </c>
      <c r="AZ103" s="102" t="s">
        <v>181</v>
      </c>
      <c r="BA103" s="103" t="s">
        <v>2776</v>
      </c>
      <c r="BB103" s="104">
        <v>12.1</v>
      </c>
      <c r="BC103" s="106">
        <v>45569</v>
      </c>
      <c r="BD103" s="104">
        <v>12.1</v>
      </c>
      <c r="BE103" s="106">
        <v>45603</v>
      </c>
      <c r="BF103" s="102" t="s">
        <v>181</v>
      </c>
      <c r="BG103" s="103" t="s">
        <v>2776</v>
      </c>
      <c r="BH103" s="104">
        <v>12.6</v>
      </c>
      <c r="BI103" s="106">
        <v>45569</v>
      </c>
      <c r="BJ103" s="104">
        <v>12.6</v>
      </c>
      <c r="BK103" s="106">
        <v>45603</v>
      </c>
      <c r="BL103" s="102" t="s">
        <v>182</v>
      </c>
      <c r="BM103" s="103" t="s">
        <v>1680</v>
      </c>
      <c r="BN103" s="104">
        <v>11.25</v>
      </c>
      <c r="BO103" s="106">
        <v>45569</v>
      </c>
      <c r="BP103" s="104">
        <v>11.25</v>
      </c>
      <c r="BQ103" s="106">
        <v>45603</v>
      </c>
      <c r="BR103" s="102" t="s">
        <v>182</v>
      </c>
      <c r="BS103" s="103" t="s">
        <v>1680</v>
      </c>
      <c r="BT103" s="104">
        <v>6.26</v>
      </c>
      <c r="BU103" s="106">
        <v>45569</v>
      </c>
      <c r="BV103" s="104">
        <v>6.26</v>
      </c>
      <c r="BW103" s="106">
        <v>45603</v>
      </c>
      <c r="BX103" s="121"/>
      <c r="BY103" s="122" t="s">
        <v>1356</v>
      </c>
      <c r="BZ103" s="123"/>
      <c r="CA103" s="124"/>
      <c r="CB103" s="123"/>
      <c r="CC103" s="124"/>
      <c r="CD103" s="121"/>
      <c r="CE103" s="122" t="s">
        <v>1356</v>
      </c>
      <c r="CF103" s="123"/>
      <c r="CG103" s="124"/>
      <c r="CH103" s="123"/>
      <c r="CI103" s="124"/>
      <c r="CJ103" s="121"/>
      <c r="CK103" s="122" t="s">
        <v>1356</v>
      </c>
      <c r="CL103" s="123"/>
      <c r="CM103" s="124"/>
      <c r="CN103" s="123"/>
      <c r="CO103" s="124"/>
      <c r="CP103" s="121"/>
      <c r="CQ103" s="122" t="s">
        <v>1356</v>
      </c>
      <c r="CR103" s="123"/>
      <c r="CS103" s="124"/>
      <c r="CT103" s="123"/>
      <c r="CU103" s="124"/>
      <c r="CV103" s="121"/>
      <c r="CW103" s="122" t="s">
        <v>1356</v>
      </c>
      <c r="CX103" s="123"/>
      <c r="CY103" s="124"/>
      <c r="CZ103" s="123"/>
      <c r="DA103" s="124"/>
      <c r="DB103" s="129" t="s">
        <v>6962</v>
      </c>
      <c r="DC103" s="129" t="s">
        <v>105</v>
      </c>
    </row>
    <row r="104" spans="1:107" s="40" customFormat="1" ht="14.55" customHeight="1" x14ac:dyDescent="0.3">
      <c r="A104" s="66" t="s">
        <v>3500</v>
      </c>
      <c r="B104" s="66" t="s">
        <v>3677</v>
      </c>
      <c r="C104" s="66" t="s">
        <v>3678</v>
      </c>
      <c r="D104" s="66" t="s">
        <v>1007</v>
      </c>
      <c r="E104" s="66" t="s">
        <v>1008</v>
      </c>
      <c r="F104" s="66" t="s">
        <v>142</v>
      </c>
      <c r="G104" s="68" t="s">
        <v>109</v>
      </c>
      <c r="H104" s="43" t="s">
        <v>2719</v>
      </c>
      <c r="I104" s="68">
        <v>1004</v>
      </c>
      <c r="J104" s="68">
        <v>100450</v>
      </c>
      <c r="K104" s="69">
        <v>4</v>
      </c>
      <c r="L104" s="66" t="s">
        <v>191</v>
      </c>
      <c r="M104" s="66" t="s">
        <v>258</v>
      </c>
      <c r="N104" s="66" t="s">
        <v>1009</v>
      </c>
      <c r="O104" s="66"/>
      <c r="P104" s="66"/>
      <c r="Q104" s="66"/>
      <c r="R104" s="66" t="s">
        <v>60</v>
      </c>
      <c r="S104" s="66"/>
      <c r="T104" s="66" t="s">
        <v>1010</v>
      </c>
      <c r="U104" s="66" t="s">
        <v>1010</v>
      </c>
      <c r="V104" s="66"/>
      <c r="W104" s="66" t="s">
        <v>1011</v>
      </c>
      <c r="X104" s="66" t="s">
        <v>1012</v>
      </c>
      <c r="Y104" s="66" t="s">
        <v>1013</v>
      </c>
      <c r="Z104" s="66">
        <v>-78.270449999999997</v>
      </c>
      <c r="AA104" s="66">
        <v>0.219305</v>
      </c>
      <c r="AB104" s="66">
        <v>100450012</v>
      </c>
      <c r="AC104" s="66">
        <v>100450012008</v>
      </c>
      <c r="AD104" s="66">
        <v>100450012008002</v>
      </c>
      <c r="AE104" s="69">
        <v>5</v>
      </c>
      <c r="AF104" s="69" t="s">
        <v>772</v>
      </c>
      <c r="AG104" s="46" t="s">
        <v>66</v>
      </c>
      <c r="AH104" s="70" t="s">
        <v>1014</v>
      </c>
      <c r="AI104" s="71" t="s">
        <v>66</v>
      </c>
      <c r="AJ104" s="49" t="s">
        <v>6938</v>
      </c>
      <c r="AK104" s="50" t="s">
        <v>67</v>
      </c>
      <c r="AL104" s="58">
        <v>45569</v>
      </c>
      <c r="AM104" s="52" t="s">
        <v>66</v>
      </c>
      <c r="AN104" s="52"/>
      <c r="AO104" s="52"/>
      <c r="AP104" s="52"/>
      <c r="AQ104" s="53">
        <f t="shared" si="6"/>
        <v>4</v>
      </c>
      <c r="AR104" s="54">
        <f t="shared" si="7"/>
        <v>0</v>
      </c>
      <c r="AS104" s="55">
        <f t="shared" si="8"/>
        <v>4</v>
      </c>
      <c r="AT104" s="102" t="s">
        <v>889</v>
      </c>
      <c r="AU104" s="103" t="s">
        <v>2902</v>
      </c>
      <c r="AV104" s="104">
        <v>12.99</v>
      </c>
      <c r="AW104" s="105">
        <v>45569</v>
      </c>
      <c r="AX104" s="104">
        <v>12.99</v>
      </c>
      <c r="AY104" s="106">
        <v>45604</v>
      </c>
      <c r="AZ104" s="102" t="s">
        <v>889</v>
      </c>
      <c r="BA104" s="103" t="s">
        <v>2902</v>
      </c>
      <c r="BB104" s="104">
        <v>15.64</v>
      </c>
      <c r="BC104" s="106">
        <v>45569</v>
      </c>
      <c r="BD104" s="104">
        <v>15.64</v>
      </c>
      <c r="BE104" s="106">
        <v>45604</v>
      </c>
      <c r="BF104" s="102" t="s">
        <v>889</v>
      </c>
      <c r="BG104" s="103" t="s">
        <v>2902</v>
      </c>
      <c r="BH104" s="104">
        <v>13.81</v>
      </c>
      <c r="BI104" s="106">
        <v>45569</v>
      </c>
      <c r="BJ104" s="104">
        <v>13.81</v>
      </c>
      <c r="BK104" s="106">
        <v>45604</v>
      </c>
      <c r="BL104" s="102" t="s">
        <v>889</v>
      </c>
      <c r="BM104" s="103" t="s">
        <v>2902</v>
      </c>
      <c r="BN104" s="104">
        <v>12.17</v>
      </c>
      <c r="BO104" s="106">
        <v>45569</v>
      </c>
      <c r="BP104" s="104">
        <v>12.17</v>
      </c>
      <c r="BQ104" s="106">
        <v>45604</v>
      </c>
      <c r="BR104" s="102"/>
      <c r="BS104" s="103" t="s">
        <v>1356</v>
      </c>
      <c r="BT104" s="104"/>
      <c r="BU104" s="106"/>
      <c r="BV104" s="104"/>
      <c r="BW104" s="106"/>
      <c r="BX104" s="121"/>
      <c r="BY104" s="122" t="s">
        <v>1356</v>
      </c>
      <c r="BZ104" s="123"/>
      <c r="CA104" s="124"/>
      <c r="CB104" s="123"/>
      <c r="CC104" s="124"/>
      <c r="CD104" s="121"/>
      <c r="CE104" s="122" t="s">
        <v>1356</v>
      </c>
      <c r="CF104" s="123"/>
      <c r="CG104" s="124"/>
      <c r="CH104" s="123"/>
      <c r="CI104" s="124"/>
      <c r="CJ104" s="121"/>
      <c r="CK104" s="122" t="s">
        <v>1356</v>
      </c>
      <c r="CL104" s="123"/>
      <c r="CM104" s="124"/>
      <c r="CN104" s="123"/>
      <c r="CO104" s="124"/>
      <c r="CP104" s="121"/>
      <c r="CQ104" s="122" t="s">
        <v>1356</v>
      </c>
      <c r="CR104" s="123"/>
      <c r="CS104" s="124"/>
      <c r="CT104" s="123"/>
      <c r="CU104" s="124"/>
      <c r="CV104" s="121"/>
      <c r="CW104" s="122" t="s">
        <v>1356</v>
      </c>
      <c r="CX104" s="123"/>
      <c r="CY104" s="124"/>
      <c r="CZ104" s="123"/>
      <c r="DA104" s="124"/>
      <c r="DB104" s="129" t="s">
        <v>6962</v>
      </c>
      <c r="DC104" s="129" t="s">
        <v>105</v>
      </c>
    </row>
    <row r="105" spans="1:107" s="40" customFormat="1" ht="14.55" customHeight="1" x14ac:dyDescent="0.3">
      <c r="A105" s="66" t="s">
        <v>3500</v>
      </c>
      <c r="B105" s="66" t="s">
        <v>3778</v>
      </c>
      <c r="C105" s="66" t="s">
        <v>3779</v>
      </c>
      <c r="D105" s="66" t="s">
        <v>1511</v>
      </c>
      <c r="E105" s="66" t="s">
        <v>1512</v>
      </c>
      <c r="F105" s="66" t="s">
        <v>233</v>
      </c>
      <c r="G105" s="68" t="s">
        <v>72</v>
      </c>
      <c r="H105" s="43" t="s">
        <v>251</v>
      </c>
      <c r="I105" s="68">
        <v>1701</v>
      </c>
      <c r="J105" s="68">
        <v>170157</v>
      </c>
      <c r="K105" s="69">
        <v>4</v>
      </c>
      <c r="L105" s="66" t="s">
        <v>1513</v>
      </c>
      <c r="M105" s="66" t="s">
        <v>1514</v>
      </c>
      <c r="N105" s="66" t="s">
        <v>1515</v>
      </c>
      <c r="O105" s="66"/>
      <c r="P105" s="66"/>
      <c r="Q105" s="66" t="s">
        <v>1516</v>
      </c>
      <c r="R105" s="66" t="s">
        <v>60</v>
      </c>
      <c r="S105" s="66" t="s">
        <v>260</v>
      </c>
      <c r="T105" s="66" t="s">
        <v>1477</v>
      </c>
      <c r="U105" s="66" t="s">
        <v>1517</v>
      </c>
      <c r="V105" s="66"/>
      <c r="W105" s="66" t="s">
        <v>1518</v>
      </c>
      <c r="X105" s="66" t="s">
        <v>1519</v>
      </c>
      <c r="Y105" s="66" t="s">
        <v>1520</v>
      </c>
      <c r="Z105" s="66">
        <v>-78.481977000000001</v>
      </c>
      <c r="AA105" s="66">
        <v>-0.13672799999999999</v>
      </c>
      <c r="AB105" s="66">
        <v>170157004</v>
      </c>
      <c r="AC105" s="66">
        <v>170157004005</v>
      </c>
      <c r="AD105" s="66">
        <v>170157004005002</v>
      </c>
      <c r="AE105" s="69">
        <v>5</v>
      </c>
      <c r="AF105" s="69" t="s">
        <v>772</v>
      </c>
      <c r="AG105" s="46" t="s">
        <v>66</v>
      </c>
      <c r="AH105" s="70">
        <v>40905</v>
      </c>
      <c r="AI105" s="71" t="s">
        <v>66</v>
      </c>
      <c r="AJ105" s="49" t="s">
        <v>6938</v>
      </c>
      <c r="AK105" s="50" t="s">
        <v>67</v>
      </c>
      <c r="AL105" s="58">
        <v>45569</v>
      </c>
      <c r="AM105" s="52" t="s">
        <v>66</v>
      </c>
      <c r="AN105" s="52"/>
      <c r="AO105" s="52"/>
      <c r="AP105" s="52"/>
      <c r="AQ105" s="53">
        <f t="shared" si="6"/>
        <v>0</v>
      </c>
      <c r="AR105" s="54">
        <f t="shared" si="7"/>
        <v>2</v>
      </c>
      <c r="AS105" s="55">
        <f t="shared" si="8"/>
        <v>2</v>
      </c>
      <c r="AT105" s="102"/>
      <c r="AU105" s="103" t="s">
        <v>1356</v>
      </c>
      <c r="AV105" s="104"/>
      <c r="AW105" s="105"/>
      <c r="AX105" s="104"/>
      <c r="AY105" s="106"/>
      <c r="AZ105" s="102"/>
      <c r="BA105" s="103" t="s">
        <v>1356</v>
      </c>
      <c r="BB105" s="104"/>
      <c r="BC105" s="106"/>
      <c r="BD105" s="104"/>
      <c r="BE105" s="106"/>
      <c r="BF105" s="102"/>
      <c r="BG105" s="103" t="s">
        <v>1356</v>
      </c>
      <c r="BH105" s="104"/>
      <c r="BI105" s="106"/>
      <c r="BJ105" s="104"/>
      <c r="BK105" s="106"/>
      <c r="BL105" s="102"/>
      <c r="BM105" s="103" t="s">
        <v>1356</v>
      </c>
      <c r="BN105" s="104"/>
      <c r="BO105" s="106"/>
      <c r="BP105" s="104"/>
      <c r="BQ105" s="106"/>
      <c r="BR105" s="102"/>
      <c r="BS105" s="103" t="s">
        <v>1356</v>
      </c>
      <c r="BT105" s="104"/>
      <c r="BU105" s="106"/>
      <c r="BV105" s="104"/>
      <c r="BW105" s="106"/>
      <c r="BX105" s="121" t="s">
        <v>1521</v>
      </c>
      <c r="BY105" s="122" t="s">
        <v>1522</v>
      </c>
      <c r="BZ105" s="123">
        <v>17.399999999999999</v>
      </c>
      <c r="CA105" s="124">
        <v>45204</v>
      </c>
      <c r="CB105" s="123">
        <v>17.399999999999999</v>
      </c>
      <c r="CC105" s="124">
        <v>45245</v>
      </c>
      <c r="CD105" s="121" t="s">
        <v>1087</v>
      </c>
      <c r="CE105" s="122" t="s">
        <v>1523</v>
      </c>
      <c r="CF105" s="123">
        <v>68.8</v>
      </c>
      <c r="CG105" s="124">
        <v>45570</v>
      </c>
      <c r="CH105" s="123">
        <v>68.8</v>
      </c>
      <c r="CI105" s="124">
        <v>45245</v>
      </c>
      <c r="CJ105" s="121"/>
      <c r="CK105" s="122" t="s">
        <v>1356</v>
      </c>
      <c r="CL105" s="123"/>
      <c r="CM105" s="124"/>
      <c r="CN105" s="123"/>
      <c r="CO105" s="124"/>
      <c r="CP105" s="121"/>
      <c r="CQ105" s="122" t="s">
        <v>1356</v>
      </c>
      <c r="CR105" s="123"/>
      <c r="CS105" s="124"/>
      <c r="CT105" s="123"/>
      <c r="CU105" s="124"/>
      <c r="CV105" s="121"/>
      <c r="CW105" s="122" t="s">
        <v>1356</v>
      </c>
      <c r="CX105" s="123"/>
      <c r="CY105" s="124"/>
      <c r="CZ105" s="123"/>
      <c r="DA105" s="124"/>
      <c r="DB105" s="129" t="s">
        <v>6962</v>
      </c>
      <c r="DC105" s="129" t="s">
        <v>105</v>
      </c>
    </row>
    <row r="106" spans="1:107" s="40" customFormat="1" ht="14.55" customHeight="1" x14ac:dyDescent="0.3">
      <c r="A106" s="66" t="s">
        <v>3500</v>
      </c>
      <c r="B106" s="66" t="s">
        <v>3842</v>
      </c>
      <c r="C106" s="68" t="s">
        <v>3843</v>
      </c>
      <c r="D106" s="66" t="s">
        <v>1750</v>
      </c>
      <c r="E106" s="66" t="s">
        <v>1751</v>
      </c>
      <c r="F106" s="66" t="s">
        <v>1752</v>
      </c>
      <c r="G106" s="68" t="s">
        <v>72</v>
      </c>
      <c r="H106" s="43" t="s">
        <v>251</v>
      </c>
      <c r="I106" s="68">
        <v>1701</v>
      </c>
      <c r="J106" s="68">
        <v>170150</v>
      </c>
      <c r="K106" s="69">
        <v>4</v>
      </c>
      <c r="L106" s="66" t="s">
        <v>1753</v>
      </c>
      <c r="M106" s="66" t="s">
        <v>1754</v>
      </c>
      <c r="N106" s="66" t="s">
        <v>221</v>
      </c>
      <c r="O106" s="66"/>
      <c r="P106" s="66"/>
      <c r="Q106" s="66"/>
      <c r="R106" s="66" t="s">
        <v>113</v>
      </c>
      <c r="S106" s="66"/>
      <c r="T106" s="66"/>
      <c r="U106" s="66" t="s">
        <v>1755</v>
      </c>
      <c r="V106" s="66"/>
      <c r="W106" s="66" t="s">
        <v>1756</v>
      </c>
      <c r="X106" s="66" t="s">
        <v>1757</v>
      </c>
      <c r="Y106" s="66" t="s">
        <v>1758</v>
      </c>
      <c r="Z106" s="66">
        <v>-78.472992181777954</v>
      </c>
      <c r="AA106" s="66">
        <v>-0.12870300913500171</v>
      </c>
      <c r="AB106" s="66">
        <v>170150087</v>
      </c>
      <c r="AC106" s="66">
        <v>170150087005</v>
      </c>
      <c r="AD106" s="66">
        <v>170150087005001</v>
      </c>
      <c r="AE106" s="69">
        <v>3</v>
      </c>
      <c r="AF106" s="69" t="s">
        <v>377</v>
      </c>
      <c r="AG106" s="46" t="s">
        <v>66</v>
      </c>
      <c r="AH106" s="70" t="s">
        <v>6945</v>
      </c>
      <c r="AI106" s="71" t="s">
        <v>66</v>
      </c>
      <c r="AJ106" s="49" t="s">
        <v>6938</v>
      </c>
      <c r="AK106" s="50" t="s">
        <v>67</v>
      </c>
      <c r="AL106" s="58">
        <v>45569</v>
      </c>
      <c r="AM106" s="52" t="s">
        <v>66</v>
      </c>
      <c r="AN106" s="52"/>
      <c r="AO106" s="52"/>
      <c r="AP106" s="52"/>
      <c r="AQ106" s="53">
        <f t="shared" si="6"/>
        <v>5</v>
      </c>
      <c r="AR106" s="54">
        <f t="shared" si="7"/>
        <v>0</v>
      </c>
      <c r="AS106" s="55">
        <f t="shared" si="8"/>
        <v>5</v>
      </c>
      <c r="AT106" s="102" t="s">
        <v>1759</v>
      </c>
      <c r="AU106" s="103" t="s">
        <v>1760</v>
      </c>
      <c r="AV106" s="104">
        <v>156</v>
      </c>
      <c r="AW106" s="105">
        <v>45569</v>
      </c>
      <c r="AX106" s="104"/>
      <c r="AY106" s="106"/>
      <c r="AZ106" s="102" t="s">
        <v>661</v>
      </c>
      <c r="BA106" s="103" t="s">
        <v>1761</v>
      </c>
      <c r="BB106" s="104">
        <v>24.2</v>
      </c>
      <c r="BC106" s="106">
        <v>45569</v>
      </c>
      <c r="BD106" s="104"/>
      <c r="BE106" s="106"/>
      <c r="BF106" s="102" t="s">
        <v>661</v>
      </c>
      <c r="BG106" s="103" t="s">
        <v>1761</v>
      </c>
      <c r="BH106" s="104">
        <v>88</v>
      </c>
      <c r="BI106" s="106">
        <v>45569</v>
      </c>
      <c r="BJ106" s="104"/>
      <c r="BK106" s="106"/>
      <c r="BL106" s="102" t="s">
        <v>661</v>
      </c>
      <c r="BM106" s="103" t="s">
        <v>1761</v>
      </c>
      <c r="BN106" s="104">
        <v>260</v>
      </c>
      <c r="BO106" s="106">
        <v>45569</v>
      </c>
      <c r="BP106" s="104"/>
      <c r="BQ106" s="106"/>
      <c r="BR106" s="102" t="s">
        <v>661</v>
      </c>
      <c r="BS106" s="103" t="s">
        <v>1761</v>
      </c>
      <c r="BT106" s="104">
        <v>1809.6</v>
      </c>
      <c r="BU106" s="106">
        <v>45569</v>
      </c>
      <c r="BV106" s="104"/>
      <c r="BW106" s="106"/>
      <c r="BX106" s="121"/>
      <c r="BY106" s="122" t="s">
        <v>1356</v>
      </c>
      <c r="BZ106" s="123"/>
      <c r="CA106" s="124"/>
      <c r="CB106" s="123"/>
      <c r="CC106" s="124"/>
      <c r="CD106" s="121"/>
      <c r="CE106" s="122" t="s">
        <v>1356</v>
      </c>
      <c r="CF106" s="123"/>
      <c r="CG106" s="124"/>
      <c r="CH106" s="123"/>
      <c r="CI106" s="124"/>
      <c r="CJ106" s="121"/>
      <c r="CK106" s="122" t="s">
        <v>1356</v>
      </c>
      <c r="CL106" s="123"/>
      <c r="CM106" s="124"/>
      <c r="CN106" s="123"/>
      <c r="CO106" s="124"/>
      <c r="CP106" s="121"/>
      <c r="CQ106" s="122" t="s">
        <v>1356</v>
      </c>
      <c r="CR106" s="123"/>
      <c r="CS106" s="124"/>
      <c r="CT106" s="123"/>
      <c r="CU106" s="124"/>
      <c r="CV106" s="121"/>
      <c r="CW106" s="122" t="s">
        <v>1356</v>
      </c>
      <c r="CX106" s="123"/>
      <c r="CY106" s="124"/>
      <c r="CZ106" s="123"/>
      <c r="DA106" s="124"/>
      <c r="DB106" s="129" t="s">
        <v>6962</v>
      </c>
      <c r="DC106" s="129" t="s">
        <v>105</v>
      </c>
    </row>
    <row r="107" spans="1:107" s="40" customFormat="1" ht="14.55" customHeight="1" x14ac:dyDescent="0.3">
      <c r="A107" s="42" t="s">
        <v>4108</v>
      </c>
      <c r="B107" s="42" t="s">
        <v>4128</v>
      </c>
      <c r="C107" s="42" t="s">
        <v>4129</v>
      </c>
      <c r="D107" s="42" t="s">
        <v>2910</v>
      </c>
      <c r="E107" s="42" t="s">
        <v>2911</v>
      </c>
      <c r="F107" s="42" t="s">
        <v>439</v>
      </c>
      <c r="G107" s="42" t="s">
        <v>404</v>
      </c>
      <c r="H107" s="43" t="s">
        <v>6930</v>
      </c>
      <c r="I107" s="44">
        <v>101</v>
      </c>
      <c r="J107" s="44">
        <v>10168</v>
      </c>
      <c r="K107" s="45">
        <v>4</v>
      </c>
      <c r="L107" s="42" t="s">
        <v>2912</v>
      </c>
      <c r="M107" s="42" t="s">
        <v>2913</v>
      </c>
      <c r="N107" s="42" t="s">
        <v>2912</v>
      </c>
      <c r="O107" s="42"/>
      <c r="P107" s="42" t="s">
        <v>2914</v>
      </c>
      <c r="Q107" s="42"/>
      <c r="R107" s="42"/>
      <c r="S107" s="42"/>
      <c r="T107" s="42"/>
      <c r="U107" s="42"/>
      <c r="V107" s="42"/>
      <c r="W107" s="42" t="s">
        <v>2915</v>
      </c>
      <c r="X107" s="42" t="s">
        <v>2916</v>
      </c>
      <c r="Y107" s="42" t="s">
        <v>2917</v>
      </c>
      <c r="Z107" s="42"/>
      <c r="AA107" s="42"/>
      <c r="AB107" s="42"/>
      <c r="AC107" s="42"/>
      <c r="AD107" s="42"/>
      <c r="AE107" s="45">
        <v>2</v>
      </c>
      <c r="AF107" s="45" t="s">
        <v>64</v>
      </c>
      <c r="AG107" s="46" t="s">
        <v>66</v>
      </c>
      <c r="AH107" s="47">
        <v>60099</v>
      </c>
      <c r="AI107" s="48" t="s">
        <v>66</v>
      </c>
      <c r="AJ107" s="49" t="s">
        <v>6938</v>
      </c>
      <c r="AK107" s="50" t="s">
        <v>67</v>
      </c>
      <c r="AL107" s="51">
        <v>45569</v>
      </c>
      <c r="AM107" s="52" t="s">
        <v>66</v>
      </c>
      <c r="AN107" s="42"/>
      <c r="AO107" s="42"/>
      <c r="AP107" s="42"/>
      <c r="AQ107" s="53">
        <f t="shared" si="6"/>
        <v>2</v>
      </c>
      <c r="AR107" s="54">
        <f t="shared" si="7"/>
        <v>0</v>
      </c>
      <c r="AS107" s="55">
        <f t="shared" si="8"/>
        <v>2</v>
      </c>
      <c r="AT107" s="96" t="s">
        <v>673</v>
      </c>
      <c r="AU107" s="96" t="s">
        <v>2250</v>
      </c>
      <c r="AV107" s="96">
        <v>0.14699999999999999</v>
      </c>
      <c r="AW107" s="97">
        <v>45569</v>
      </c>
      <c r="AX107" s="96">
        <v>0.14699999999999999</v>
      </c>
      <c r="AY107" s="98">
        <v>45602</v>
      </c>
      <c r="AZ107" s="96" t="s">
        <v>673</v>
      </c>
      <c r="BA107" s="96" t="s">
        <v>2250</v>
      </c>
      <c r="BB107" s="96">
        <v>0.67</v>
      </c>
      <c r="BC107" s="98">
        <v>45569</v>
      </c>
      <c r="BD107" s="96">
        <v>0.67</v>
      </c>
      <c r="BE107" s="98">
        <v>45602</v>
      </c>
      <c r="BF107" s="96"/>
      <c r="BG107" s="96" t="s">
        <v>1356</v>
      </c>
      <c r="BH107" s="96"/>
      <c r="BI107" s="98"/>
      <c r="BJ107" s="96"/>
      <c r="BK107" s="98"/>
      <c r="BL107" s="96"/>
      <c r="BM107" s="96" t="s">
        <v>1356</v>
      </c>
      <c r="BN107" s="96"/>
      <c r="BO107" s="98"/>
      <c r="BP107" s="96"/>
      <c r="BQ107" s="98"/>
      <c r="BR107" s="96"/>
      <c r="BS107" s="96" t="s">
        <v>1356</v>
      </c>
      <c r="BT107" s="96"/>
      <c r="BU107" s="98"/>
      <c r="BV107" s="96"/>
      <c r="BW107" s="98"/>
      <c r="BX107" s="117"/>
      <c r="BY107" s="117" t="s">
        <v>1356</v>
      </c>
      <c r="BZ107" s="117"/>
      <c r="CA107" s="118"/>
      <c r="CB107" s="117"/>
      <c r="CC107" s="118"/>
      <c r="CD107" s="117"/>
      <c r="CE107" s="117" t="s">
        <v>1356</v>
      </c>
      <c r="CF107" s="117"/>
      <c r="CG107" s="118"/>
      <c r="CH107" s="117"/>
      <c r="CI107" s="118"/>
      <c r="CJ107" s="117"/>
      <c r="CK107" s="117" t="s">
        <v>1356</v>
      </c>
      <c r="CL107" s="117"/>
      <c r="CM107" s="118"/>
      <c r="CN107" s="117"/>
      <c r="CO107" s="118"/>
      <c r="CP107" s="117"/>
      <c r="CQ107" s="117" t="s">
        <v>1356</v>
      </c>
      <c r="CR107" s="117"/>
      <c r="CS107" s="118"/>
      <c r="CT107" s="117"/>
      <c r="CU107" s="118"/>
      <c r="CV107" s="117"/>
      <c r="CW107" s="117" t="s">
        <v>1356</v>
      </c>
      <c r="CX107" s="117"/>
      <c r="CY107" s="118"/>
      <c r="CZ107" s="117"/>
      <c r="DA107" s="118"/>
      <c r="DB107" s="129" t="s">
        <v>6962</v>
      </c>
      <c r="DC107" s="130" t="s">
        <v>105</v>
      </c>
    </row>
    <row r="108" spans="1:107" s="40" customFormat="1" ht="14.55" customHeight="1" x14ac:dyDescent="0.3">
      <c r="A108" s="42" t="s">
        <v>4108</v>
      </c>
      <c r="B108" s="42" t="s">
        <v>4147</v>
      </c>
      <c r="C108" s="42" t="s">
        <v>4148</v>
      </c>
      <c r="D108" s="42" t="s">
        <v>2990</v>
      </c>
      <c r="E108" s="42" t="s">
        <v>2991</v>
      </c>
      <c r="F108" s="42" t="s">
        <v>567</v>
      </c>
      <c r="G108" s="42" t="s">
        <v>404</v>
      </c>
      <c r="H108" s="43" t="s">
        <v>6930</v>
      </c>
      <c r="I108" s="44">
        <v>101</v>
      </c>
      <c r="J108" s="44">
        <v>10150</v>
      </c>
      <c r="K108" s="45">
        <v>4</v>
      </c>
      <c r="L108" s="42" t="s">
        <v>2992</v>
      </c>
      <c r="M108" s="42"/>
      <c r="N108" s="42" t="s">
        <v>2993</v>
      </c>
      <c r="O108" s="42"/>
      <c r="P108" s="42"/>
      <c r="Q108" s="42"/>
      <c r="R108" s="42"/>
      <c r="S108" s="42"/>
      <c r="T108" s="42"/>
      <c r="U108" s="42"/>
      <c r="V108" s="42"/>
      <c r="W108" s="42" t="s">
        <v>2994</v>
      </c>
      <c r="X108" s="42" t="s">
        <v>2995</v>
      </c>
      <c r="Y108" s="42" t="s">
        <v>2996</v>
      </c>
      <c r="Z108" s="42"/>
      <c r="AA108" s="42"/>
      <c r="AB108" s="42"/>
      <c r="AC108" s="42"/>
      <c r="AD108" s="42"/>
      <c r="AE108" s="45">
        <v>3</v>
      </c>
      <c r="AF108" s="45" t="s">
        <v>377</v>
      </c>
      <c r="AG108" s="46" t="s">
        <v>66</v>
      </c>
      <c r="AH108" s="47" t="s">
        <v>2997</v>
      </c>
      <c r="AI108" s="48" t="s">
        <v>66</v>
      </c>
      <c r="AJ108" s="49" t="s">
        <v>6938</v>
      </c>
      <c r="AK108" s="50" t="s">
        <v>67</v>
      </c>
      <c r="AL108" s="51">
        <v>45569</v>
      </c>
      <c r="AM108" s="52" t="s">
        <v>66</v>
      </c>
      <c r="AN108" s="42"/>
      <c r="AO108" s="42"/>
      <c r="AP108" s="42"/>
      <c r="AQ108" s="53">
        <f t="shared" si="6"/>
        <v>1</v>
      </c>
      <c r="AR108" s="54">
        <f t="shared" si="7"/>
        <v>0</v>
      </c>
      <c r="AS108" s="55">
        <f t="shared" si="8"/>
        <v>1</v>
      </c>
      <c r="AT108" s="96" t="s">
        <v>575</v>
      </c>
      <c r="AU108" s="96" t="s">
        <v>2635</v>
      </c>
      <c r="AV108" s="96">
        <v>11.49</v>
      </c>
      <c r="AW108" s="97" t="s">
        <v>2998</v>
      </c>
      <c r="AX108" s="96">
        <v>11.49</v>
      </c>
      <c r="AY108" s="98">
        <v>45602</v>
      </c>
      <c r="AZ108" s="96"/>
      <c r="BA108" s="96" t="s">
        <v>1356</v>
      </c>
      <c r="BB108" s="96"/>
      <c r="BC108" s="98"/>
      <c r="BD108" s="96"/>
      <c r="BE108" s="98"/>
      <c r="BF108" s="96"/>
      <c r="BG108" s="96" t="s">
        <v>1356</v>
      </c>
      <c r="BH108" s="96"/>
      <c r="BI108" s="98"/>
      <c r="BJ108" s="96"/>
      <c r="BK108" s="98"/>
      <c r="BL108" s="96"/>
      <c r="BM108" s="96" t="s">
        <v>1356</v>
      </c>
      <c r="BN108" s="96"/>
      <c r="BO108" s="98"/>
      <c r="BP108" s="96"/>
      <c r="BQ108" s="98"/>
      <c r="BR108" s="96"/>
      <c r="BS108" s="96" t="s">
        <v>1356</v>
      </c>
      <c r="BT108" s="96"/>
      <c r="BU108" s="98"/>
      <c r="BV108" s="96"/>
      <c r="BW108" s="98"/>
      <c r="BX108" s="117"/>
      <c r="BY108" s="117" t="s">
        <v>1356</v>
      </c>
      <c r="BZ108" s="117"/>
      <c r="CA108" s="118"/>
      <c r="CB108" s="117"/>
      <c r="CC108" s="118"/>
      <c r="CD108" s="117"/>
      <c r="CE108" s="117" t="s">
        <v>1356</v>
      </c>
      <c r="CF108" s="117"/>
      <c r="CG108" s="118"/>
      <c r="CH108" s="117"/>
      <c r="CI108" s="118"/>
      <c r="CJ108" s="117"/>
      <c r="CK108" s="117" t="s">
        <v>1356</v>
      </c>
      <c r="CL108" s="117"/>
      <c r="CM108" s="118"/>
      <c r="CN108" s="117"/>
      <c r="CO108" s="118"/>
      <c r="CP108" s="117"/>
      <c r="CQ108" s="117" t="s">
        <v>1356</v>
      </c>
      <c r="CR108" s="117"/>
      <c r="CS108" s="118"/>
      <c r="CT108" s="117"/>
      <c r="CU108" s="118"/>
      <c r="CV108" s="117"/>
      <c r="CW108" s="117" t="s">
        <v>1356</v>
      </c>
      <c r="CX108" s="117"/>
      <c r="CY108" s="118"/>
      <c r="CZ108" s="117"/>
      <c r="DA108" s="118"/>
      <c r="DB108" s="129" t="s">
        <v>6962</v>
      </c>
      <c r="DC108" s="130" t="s">
        <v>105</v>
      </c>
    </row>
    <row r="109" spans="1:107" s="40" customFormat="1" ht="14.55" customHeight="1" x14ac:dyDescent="0.3">
      <c r="A109" s="42" t="s">
        <v>4108</v>
      </c>
      <c r="B109" s="42" t="s">
        <v>4207</v>
      </c>
      <c r="C109" s="42" t="s">
        <v>4208</v>
      </c>
      <c r="D109" s="42" t="s">
        <v>3243</v>
      </c>
      <c r="E109" s="42" t="s">
        <v>3244</v>
      </c>
      <c r="F109" s="42" t="s">
        <v>108</v>
      </c>
      <c r="G109" s="42" t="s">
        <v>404</v>
      </c>
      <c r="H109" s="43" t="s">
        <v>6930</v>
      </c>
      <c r="I109" s="44">
        <v>101</v>
      </c>
      <c r="J109" s="44">
        <v>10150</v>
      </c>
      <c r="K109" s="45">
        <v>4</v>
      </c>
      <c r="L109" s="42" t="s">
        <v>2301</v>
      </c>
      <c r="M109" s="42"/>
      <c r="N109" s="42" t="s">
        <v>810</v>
      </c>
      <c r="O109" s="42" t="s">
        <v>60</v>
      </c>
      <c r="P109" s="42"/>
      <c r="Q109" s="42" t="s">
        <v>3245</v>
      </c>
      <c r="R109" s="42" t="s">
        <v>60</v>
      </c>
      <c r="S109" s="42"/>
      <c r="T109" s="42"/>
      <c r="U109" s="42"/>
      <c r="V109" s="42"/>
      <c r="W109" s="42" t="s">
        <v>3246</v>
      </c>
      <c r="X109" s="42" t="s">
        <v>3247</v>
      </c>
      <c r="Y109" s="42" t="s">
        <v>3248</v>
      </c>
      <c r="Z109" s="42"/>
      <c r="AA109" s="42"/>
      <c r="AB109" s="42">
        <v>10150121</v>
      </c>
      <c r="AC109" s="42">
        <v>10150121007</v>
      </c>
      <c r="AD109" s="42">
        <v>10150121007005</v>
      </c>
      <c r="AE109" s="45">
        <v>5</v>
      </c>
      <c r="AF109" s="45" t="s">
        <v>772</v>
      </c>
      <c r="AG109" s="46" t="s">
        <v>66</v>
      </c>
      <c r="AH109" s="47" t="s">
        <v>3249</v>
      </c>
      <c r="AI109" s="48" t="s">
        <v>66</v>
      </c>
      <c r="AJ109" s="49" t="s">
        <v>6938</v>
      </c>
      <c r="AK109" s="50" t="s">
        <v>67</v>
      </c>
      <c r="AL109" s="51">
        <v>45569</v>
      </c>
      <c r="AM109" s="52" t="s">
        <v>66</v>
      </c>
      <c r="AN109" s="42"/>
      <c r="AO109" s="42"/>
      <c r="AP109" s="42"/>
      <c r="AQ109" s="53">
        <f t="shared" si="6"/>
        <v>5</v>
      </c>
      <c r="AR109" s="54">
        <f t="shared" si="7"/>
        <v>0</v>
      </c>
      <c r="AS109" s="55">
        <f t="shared" si="8"/>
        <v>5</v>
      </c>
      <c r="AT109" s="96" t="s">
        <v>528</v>
      </c>
      <c r="AU109" s="96" t="s">
        <v>3363</v>
      </c>
      <c r="AV109" s="96">
        <v>0.85580000000000001</v>
      </c>
      <c r="AW109" s="97">
        <v>45569</v>
      </c>
      <c r="AX109" s="96">
        <v>0.85580000000000001</v>
      </c>
      <c r="AY109" s="98">
        <v>45602</v>
      </c>
      <c r="AZ109" s="96" t="s">
        <v>1199</v>
      </c>
      <c r="BA109" s="96" t="s">
        <v>3364</v>
      </c>
      <c r="BB109" s="96">
        <v>0.66</v>
      </c>
      <c r="BC109" s="98">
        <v>45569</v>
      </c>
      <c r="BD109" s="96">
        <v>0.66</v>
      </c>
      <c r="BE109" s="98">
        <v>45602</v>
      </c>
      <c r="BF109" s="96" t="s">
        <v>1434</v>
      </c>
      <c r="BG109" s="96" t="s">
        <v>1435</v>
      </c>
      <c r="BH109" s="96">
        <v>2.0017999999999998</v>
      </c>
      <c r="BI109" s="98">
        <v>45569</v>
      </c>
      <c r="BJ109" s="96">
        <v>2.0017999999999998</v>
      </c>
      <c r="BK109" s="98">
        <v>45602</v>
      </c>
      <c r="BL109" s="96" t="s">
        <v>1200</v>
      </c>
      <c r="BM109" s="96" t="s">
        <v>3365</v>
      </c>
      <c r="BN109" s="96">
        <v>0.40910000000000002</v>
      </c>
      <c r="BO109" s="98">
        <v>45569</v>
      </c>
      <c r="BP109" s="96">
        <v>0.40910000000000002</v>
      </c>
      <c r="BQ109" s="98">
        <v>45602</v>
      </c>
      <c r="BR109" s="96" t="s">
        <v>3250</v>
      </c>
      <c r="BS109" s="96" t="s">
        <v>3366</v>
      </c>
      <c r="BT109" s="96">
        <v>0.77280000000000004</v>
      </c>
      <c r="BU109" s="98">
        <v>45569</v>
      </c>
      <c r="BV109" s="96">
        <v>0.77280000000000004</v>
      </c>
      <c r="BW109" s="98">
        <v>45602</v>
      </c>
      <c r="BX109" s="117"/>
      <c r="BY109" s="117" t="s">
        <v>1356</v>
      </c>
      <c r="BZ109" s="117"/>
      <c r="CA109" s="118"/>
      <c r="CB109" s="117"/>
      <c r="CC109" s="118"/>
      <c r="CD109" s="117"/>
      <c r="CE109" s="117" t="s">
        <v>1356</v>
      </c>
      <c r="CF109" s="117"/>
      <c r="CG109" s="118"/>
      <c r="CH109" s="117"/>
      <c r="CI109" s="118"/>
      <c r="CJ109" s="117"/>
      <c r="CK109" s="117" t="s">
        <v>1356</v>
      </c>
      <c r="CL109" s="117"/>
      <c r="CM109" s="118"/>
      <c r="CN109" s="117"/>
      <c r="CO109" s="118"/>
      <c r="CP109" s="117"/>
      <c r="CQ109" s="117" t="s">
        <v>1356</v>
      </c>
      <c r="CR109" s="117"/>
      <c r="CS109" s="118"/>
      <c r="CT109" s="117"/>
      <c r="CU109" s="118"/>
      <c r="CV109" s="117"/>
      <c r="CW109" s="117" t="s">
        <v>1356</v>
      </c>
      <c r="CX109" s="117"/>
      <c r="CY109" s="118"/>
      <c r="CZ109" s="117"/>
      <c r="DA109" s="118"/>
      <c r="DB109" s="129" t="s">
        <v>6962</v>
      </c>
      <c r="DC109" s="130" t="s">
        <v>105</v>
      </c>
    </row>
    <row r="110" spans="1:107" s="40" customFormat="1" ht="14.55" customHeight="1" x14ac:dyDescent="0.3">
      <c r="A110" s="42" t="s">
        <v>4219</v>
      </c>
      <c r="B110" s="42" t="s">
        <v>5475</v>
      </c>
      <c r="C110" s="42" t="s">
        <v>5476</v>
      </c>
      <c r="D110" s="42" t="s">
        <v>5477</v>
      </c>
      <c r="E110" s="42" t="s">
        <v>5477</v>
      </c>
      <c r="F110" s="42" t="s">
        <v>734</v>
      </c>
      <c r="G110" s="42" t="s">
        <v>4237</v>
      </c>
      <c r="H110" s="43" t="s">
        <v>686</v>
      </c>
      <c r="I110" s="44">
        <v>907</v>
      </c>
      <c r="J110" s="44">
        <v>90750</v>
      </c>
      <c r="K110" s="45">
        <v>4</v>
      </c>
      <c r="L110" s="42" t="s">
        <v>5118</v>
      </c>
      <c r="M110" s="42"/>
      <c r="N110" s="42" t="s">
        <v>5478</v>
      </c>
      <c r="O110" s="42" t="s">
        <v>1526</v>
      </c>
      <c r="P110" s="42"/>
      <c r="Q110" s="42" t="s">
        <v>5479</v>
      </c>
      <c r="R110" s="42" t="s">
        <v>60</v>
      </c>
      <c r="S110" s="42"/>
      <c r="T110" s="42"/>
      <c r="U110" s="42"/>
      <c r="V110" s="42"/>
      <c r="W110" s="42" t="s">
        <v>5480</v>
      </c>
      <c r="X110" s="42" t="s">
        <v>5481</v>
      </c>
      <c r="Y110" s="42" t="s">
        <v>5482</v>
      </c>
      <c r="Z110" s="42">
        <v>-79.829137000000003</v>
      </c>
      <c r="AA110" s="42">
        <v>-2.190391</v>
      </c>
      <c r="AB110" s="42">
        <v>90750011</v>
      </c>
      <c r="AC110" s="42">
        <v>90750011008</v>
      </c>
      <c r="AD110" s="42">
        <v>90750011008001</v>
      </c>
      <c r="AE110" s="45">
        <v>4</v>
      </c>
      <c r="AF110" s="45" t="s">
        <v>499</v>
      </c>
      <c r="AG110" s="46" t="s">
        <v>66</v>
      </c>
      <c r="AH110" s="47" t="s">
        <v>5483</v>
      </c>
      <c r="AI110" s="48" t="s">
        <v>66</v>
      </c>
      <c r="AJ110" s="49" t="s">
        <v>6938</v>
      </c>
      <c r="AK110" s="50" t="s">
        <v>67</v>
      </c>
      <c r="AL110" s="34">
        <v>45569</v>
      </c>
      <c r="AM110" s="52" t="s">
        <v>66</v>
      </c>
      <c r="AN110" s="42"/>
      <c r="AO110" s="42"/>
      <c r="AP110" s="42"/>
      <c r="AQ110" s="53">
        <f t="shared" si="6"/>
        <v>1</v>
      </c>
      <c r="AR110" s="54">
        <f t="shared" si="7"/>
        <v>0</v>
      </c>
      <c r="AS110" s="55">
        <f t="shared" si="8"/>
        <v>1</v>
      </c>
      <c r="AT110" s="96" t="s">
        <v>6781</v>
      </c>
      <c r="AU110" s="96" t="s">
        <v>6782</v>
      </c>
      <c r="AV110" s="96" t="s">
        <v>6783</v>
      </c>
      <c r="AW110" s="97" t="s">
        <v>6784</v>
      </c>
      <c r="AX110" s="96" t="s">
        <v>6783</v>
      </c>
      <c r="AY110" s="98" t="s">
        <v>6784</v>
      </c>
      <c r="AZ110" s="96"/>
      <c r="BA110" s="96" t="s">
        <v>1356</v>
      </c>
      <c r="BB110" s="96"/>
      <c r="BC110" s="98"/>
      <c r="BD110" s="96"/>
      <c r="BE110" s="98"/>
      <c r="BF110" s="96"/>
      <c r="BG110" s="96" t="s">
        <v>1356</v>
      </c>
      <c r="BH110" s="96"/>
      <c r="BI110" s="98"/>
      <c r="BJ110" s="96"/>
      <c r="BK110" s="98"/>
      <c r="BL110" s="96"/>
      <c r="BM110" s="96" t="s">
        <v>1356</v>
      </c>
      <c r="BN110" s="96"/>
      <c r="BO110" s="98"/>
      <c r="BP110" s="96"/>
      <c r="BQ110" s="98"/>
      <c r="BR110" s="96"/>
      <c r="BS110" s="96" t="s">
        <v>1356</v>
      </c>
      <c r="BT110" s="96"/>
      <c r="BU110" s="98"/>
      <c r="BV110" s="96"/>
      <c r="BW110" s="98"/>
      <c r="BX110" s="117"/>
      <c r="BY110" s="117" t="s">
        <v>1356</v>
      </c>
      <c r="BZ110" s="117"/>
      <c r="CA110" s="118"/>
      <c r="CB110" s="117"/>
      <c r="CC110" s="118"/>
      <c r="CD110" s="117"/>
      <c r="CE110" s="117" t="s">
        <v>1356</v>
      </c>
      <c r="CF110" s="117"/>
      <c r="CG110" s="118"/>
      <c r="CH110" s="117"/>
      <c r="CI110" s="118"/>
      <c r="CJ110" s="117"/>
      <c r="CK110" s="117" t="s">
        <v>1356</v>
      </c>
      <c r="CL110" s="117"/>
      <c r="CM110" s="118"/>
      <c r="CN110" s="117"/>
      <c r="CO110" s="118"/>
      <c r="CP110" s="117"/>
      <c r="CQ110" s="117" t="s">
        <v>1356</v>
      </c>
      <c r="CR110" s="117"/>
      <c r="CS110" s="118"/>
      <c r="CT110" s="117"/>
      <c r="CU110" s="118"/>
      <c r="CV110" s="117"/>
      <c r="CW110" s="117" t="s">
        <v>1356</v>
      </c>
      <c r="CX110" s="117"/>
      <c r="CY110" s="118"/>
      <c r="CZ110" s="117"/>
      <c r="DA110" s="118"/>
      <c r="DB110" s="129" t="s">
        <v>6962</v>
      </c>
      <c r="DC110" s="130" t="s">
        <v>105</v>
      </c>
    </row>
    <row r="111" spans="1:107" s="40" customFormat="1" ht="14.55" customHeight="1" x14ac:dyDescent="0.3">
      <c r="A111" s="25" t="s">
        <v>3500</v>
      </c>
      <c r="B111" s="25" t="s">
        <v>3705</v>
      </c>
      <c r="C111" s="25" t="s">
        <v>3706</v>
      </c>
      <c r="D111" s="25" t="s">
        <v>1162</v>
      </c>
      <c r="E111" s="25" t="s">
        <v>70</v>
      </c>
      <c r="F111" s="25" t="s">
        <v>81</v>
      </c>
      <c r="G111" s="26" t="s">
        <v>57</v>
      </c>
      <c r="H111" s="27" t="s">
        <v>6922</v>
      </c>
      <c r="I111" s="26">
        <v>804</v>
      </c>
      <c r="J111" s="26">
        <v>80450</v>
      </c>
      <c r="K111" s="28">
        <v>4</v>
      </c>
      <c r="L111" s="25" t="s">
        <v>1163</v>
      </c>
      <c r="M111" s="25" t="s">
        <v>258</v>
      </c>
      <c r="N111" s="25" t="s">
        <v>1164</v>
      </c>
      <c r="O111" s="25" t="s">
        <v>811</v>
      </c>
      <c r="P111" s="25"/>
      <c r="Q111" s="25" t="s">
        <v>1165</v>
      </c>
      <c r="R111" s="25" t="s">
        <v>60</v>
      </c>
      <c r="S111" s="25"/>
      <c r="T111" s="25"/>
      <c r="U111" s="25" t="s">
        <v>1166</v>
      </c>
      <c r="V111" s="25"/>
      <c r="W111" s="25" t="s">
        <v>1167</v>
      </c>
      <c r="X111" s="25" t="s">
        <v>1168</v>
      </c>
      <c r="Y111" s="25" t="s">
        <v>1169</v>
      </c>
      <c r="Z111" s="25">
        <v>-79.274642</v>
      </c>
      <c r="AA111" s="25">
        <v>0.32692199999999999</v>
      </c>
      <c r="AB111" s="25">
        <v>80450999</v>
      </c>
      <c r="AC111" s="25">
        <v>80450999039</v>
      </c>
      <c r="AD111" s="25"/>
      <c r="AE111" s="28">
        <v>5</v>
      </c>
      <c r="AF111" s="28" t="s">
        <v>772</v>
      </c>
      <c r="AG111" s="29" t="s">
        <v>65</v>
      </c>
      <c r="AH111" s="61"/>
      <c r="AI111" s="31" t="s">
        <v>66</v>
      </c>
      <c r="AJ111" s="32" t="s">
        <v>6938</v>
      </c>
      <c r="AK111" s="33" t="s">
        <v>67</v>
      </c>
      <c r="AL111" s="34">
        <v>45546</v>
      </c>
      <c r="AM111" s="35" t="s">
        <v>66</v>
      </c>
      <c r="AN111" s="36"/>
      <c r="AO111" s="36"/>
      <c r="AP111" s="36"/>
      <c r="AQ111" s="37">
        <f t="shared" si="6"/>
        <v>0</v>
      </c>
      <c r="AR111" s="38">
        <f t="shared" si="7"/>
        <v>0</v>
      </c>
      <c r="AS111" s="39">
        <f t="shared" si="8"/>
        <v>0</v>
      </c>
      <c r="AT111" s="91"/>
      <c r="AU111" s="92" t="s">
        <v>1356</v>
      </c>
      <c r="AV111" s="93"/>
      <c r="AW111" s="94"/>
      <c r="AX111" s="93"/>
      <c r="AY111" s="95"/>
      <c r="AZ111" s="91"/>
      <c r="BA111" s="92" t="s">
        <v>1356</v>
      </c>
      <c r="BB111" s="93"/>
      <c r="BC111" s="95"/>
      <c r="BD111" s="93"/>
      <c r="BE111" s="95"/>
      <c r="BF111" s="91"/>
      <c r="BG111" s="92" t="s">
        <v>1356</v>
      </c>
      <c r="BH111" s="93"/>
      <c r="BI111" s="95"/>
      <c r="BJ111" s="93"/>
      <c r="BK111" s="95"/>
      <c r="BL111" s="91"/>
      <c r="BM111" s="92" t="s">
        <v>1356</v>
      </c>
      <c r="BN111" s="93"/>
      <c r="BO111" s="95"/>
      <c r="BP111" s="93"/>
      <c r="BQ111" s="95"/>
      <c r="BR111" s="91"/>
      <c r="BS111" s="92" t="s">
        <v>1356</v>
      </c>
      <c r="BT111" s="93"/>
      <c r="BU111" s="95"/>
      <c r="BV111" s="93"/>
      <c r="BW111" s="95"/>
      <c r="BX111" s="113"/>
      <c r="BY111" s="114" t="s">
        <v>1356</v>
      </c>
      <c r="BZ111" s="115"/>
      <c r="CA111" s="116"/>
      <c r="CB111" s="115"/>
      <c r="CC111" s="116"/>
      <c r="CD111" s="113"/>
      <c r="CE111" s="114" t="s">
        <v>1356</v>
      </c>
      <c r="CF111" s="115"/>
      <c r="CG111" s="116"/>
      <c r="CH111" s="115"/>
      <c r="CI111" s="116"/>
      <c r="CJ111" s="113"/>
      <c r="CK111" s="114" t="s">
        <v>1356</v>
      </c>
      <c r="CL111" s="115"/>
      <c r="CM111" s="116"/>
      <c r="CN111" s="115"/>
      <c r="CO111" s="116"/>
      <c r="CP111" s="113"/>
      <c r="CQ111" s="114" t="s">
        <v>1356</v>
      </c>
      <c r="CR111" s="115"/>
      <c r="CS111" s="116"/>
      <c r="CT111" s="115"/>
      <c r="CU111" s="116"/>
      <c r="CV111" s="113"/>
      <c r="CW111" s="114" t="s">
        <v>1356</v>
      </c>
      <c r="CX111" s="115"/>
      <c r="CY111" s="116"/>
      <c r="CZ111" s="115"/>
      <c r="DA111" s="116"/>
      <c r="DB111" s="128" t="s">
        <v>7085</v>
      </c>
      <c r="DC111" s="128" t="s">
        <v>1170</v>
      </c>
    </row>
    <row r="112" spans="1:107" s="40" customFormat="1" ht="14.55" customHeight="1" x14ac:dyDescent="0.3">
      <c r="A112" s="42" t="s">
        <v>4219</v>
      </c>
      <c r="B112" s="42" t="s">
        <v>5509</v>
      </c>
      <c r="C112" s="42" t="s">
        <v>5510</v>
      </c>
      <c r="D112" s="42" t="s">
        <v>5511</v>
      </c>
      <c r="E112" s="42" t="s">
        <v>5512</v>
      </c>
      <c r="F112" s="42" t="s">
        <v>256</v>
      </c>
      <c r="G112" s="42" t="s">
        <v>4237</v>
      </c>
      <c r="H112" s="43" t="s">
        <v>686</v>
      </c>
      <c r="I112" s="44">
        <v>901</v>
      </c>
      <c r="J112" s="44">
        <v>90150</v>
      </c>
      <c r="K112" s="45">
        <v>4</v>
      </c>
      <c r="L112" s="42" t="s">
        <v>5014</v>
      </c>
      <c r="M112" s="42"/>
      <c r="N112" s="42" t="s">
        <v>5513</v>
      </c>
      <c r="O112" s="42" t="s">
        <v>5514</v>
      </c>
      <c r="P112" s="42" t="s">
        <v>5515</v>
      </c>
      <c r="Q112" s="42" t="s">
        <v>5516</v>
      </c>
      <c r="R112" s="42" t="s">
        <v>60</v>
      </c>
      <c r="S112" s="42"/>
      <c r="T112" s="42" t="s">
        <v>5515</v>
      </c>
      <c r="U112" s="42"/>
      <c r="V112" s="42"/>
      <c r="W112" s="42" t="s">
        <v>5517</v>
      </c>
      <c r="X112" s="42" t="s">
        <v>5518</v>
      </c>
      <c r="Y112" s="42" t="s">
        <v>5519</v>
      </c>
      <c r="Z112" s="42">
        <v>-79.922735000000003</v>
      </c>
      <c r="AA112" s="42">
        <v>-2.1658559999999998</v>
      </c>
      <c r="AB112" s="42">
        <v>90150308</v>
      </c>
      <c r="AC112" s="42">
        <v>90150308006</v>
      </c>
      <c r="AD112" s="42">
        <v>90150308006003</v>
      </c>
      <c r="AE112" s="45">
        <v>5</v>
      </c>
      <c r="AF112" s="45" t="s">
        <v>772</v>
      </c>
      <c r="AG112" s="46" t="s">
        <v>66</v>
      </c>
      <c r="AH112" s="47" t="s">
        <v>5520</v>
      </c>
      <c r="AI112" s="48" t="s">
        <v>66</v>
      </c>
      <c r="AJ112" s="49" t="s">
        <v>6938</v>
      </c>
      <c r="AK112" s="50" t="s">
        <v>67</v>
      </c>
      <c r="AL112" s="34">
        <v>45569</v>
      </c>
      <c r="AM112" s="52" t="s">
        <v>66</v>
      </c>
      <c r="AN112" s="42"/>
      <c r="AO112" s="42"/>
      <c r="AP112" s="42"/>
      <c r="AQ112" s="53">
        <f t="shared" si="6"/>
        <v>1</v>
      </c>
      <c r="AR112" s="54">
        <f t="shared" si="7"/>
        <v>0</v>
      </c>
      <c r="AS112" s="55">
        <f t="shared" si="8"/>
        <v>1</v>
      </c>
      <c r="AT112" s="96" t="s">
        <v>699</v>
      </c>
      <c r="AU112" s="96" t="s">
        <v>6730</v>
      </c>
      <c r="AV112" s="96" t="s">
        <v>6785</v>
      </c>
      <c r="AW112" s="97" t="s">
        <v>6786</v>
      </c>
      <c r="AX112" s="96" t="s">
        <v>6785</v>
      </c>
      <c r="AY112" s="98" t="s">
        <v>6787</v>
      </c>
      <c r="AZ112" s="96"/>
      <c r="BA112" s="96" t="s">
        <v>1356</v>
      </c>
      <c r="BB112" s="96"/>
      <c r="BC112" s="98"/>
      <c r="BD112" s="96"/>
      <c r="BE112" s="98"/>
      <c r="BF112" s="96"/>
      <c r="BG112" s="96" t="s">
        <v>1356</v>
      </c>
      <c r="BH112" s="96"/>
      <c r="BI112" s="98"/>
      <c r="BJ112" s="96"/>
      <c r="BK112" s="98"/>
      <c r="BL112" s="96"/>
      <c r="BM112" s="96" t="s">
        <v>1356</v>
      </c>
      <c r="BN112" s="96"/>
      <c r="BO112" s="98"/>
      <c r="BP112" s="96"/>
      <c r="BQ112" s="98"/>
      <c r="BR112" s="96"/>
      <c r="BS112" s="96" t="s">
        <v>1356</v>
      </c>
      <c r="BT112" s="96"/>
      <c r="BU112" s="98"/>
      <c r="BV112" s="96"/>
      <c r="BW112" s="98"/>
      <c r="BX112" s="117"/>
      <c r="BY112" s="117" t="s">
        <v>1356</v>
      </c>
      <c r="BZ112" s="117"/>
      <c r="CA112" s="118"/>
      <c r="CB112" s="117"/>
      <c r="CC112" s="118"/>
      <c r="CD112" s="117"/>
      <c r="CE112" s="117" t="s">
        <v>1356</v>
      </c>
      <c r="CF112" s="117"/>
      <c r="CG112" s="118"/>
      <c r="CH112" s="117"/>
      <c r="CI112" s="118"/>
      <c r="CJ112" s="117"/>
      <c r="CK112" s="117" t="s">
        <v>1356</v>
      </c>
      <c r="CL112" s="117"/>
      <c r="CM112" s="118"/>
      <c r="CN112" s="117"/>
      <c r="CO112" s="118"/>
      <c r="CP112" s="117"/>
      <c r="CQ112" s="117" t="s">
        <v>1356</v>
      </c>
      <c r="CR112" s="117"/>
      <c r="CS112" s="118"/>
      <c r="CT112" s="117"/>
      <c r="CU112" s="118"/>
      <c r="CV112" s="117"/>
      <c r="CW112" s="117" t="s">
        <v>1356</v>
      </c>
      <c r="CX112" s="117"/>
      <c r="CY112" s="118"/>
      <c r="CZ112" s="117"/>
      <c r="DA112" s="118"/>
      <c r="DB112" s="129" t="s">
        <v>6962</v>
      </c>
      <c r="DC112" s="130" t="s">
        <v>105</v>
      </c>
    </row>
    <row r="113" spans="1:107" s="40" customFormat="1" ht="14.55" customHeight="1" x14ac:dyDescent="0.3">
      <c r="A113" s="42" t="s">
        <v>4108</v>
      </c>
      <c r="B113" s="42" t="s">
        <v>4111</v>
      </c>
      <c r="C113" s="42" t="s">
        <v>4112</v>
      </c>
      <c r="D113" s="42" t="s">
        <v>3293</v>
      </c>
      <c r="E113" s="42" t="s">
        <v>3294</v>
      </c>
      <c r="F113" s="42" t="s">
        <v>95</v>
      </c>
      <c r="G113" s="42" t="s">
        <v>404</v>
      </c>
      <c r="H113" s="43" t="s">
        <v>6930</v>
      </c>
      <c r="I113" s="44">
        <v>101</v>
      </c>
      <c r="J113" s="44">
        <v>10165</v>
      </c>
      <c r="K113" s="45">
        <v>3</v>
      </c>
      <c r="L113" s="42" t="s">
        <v>3295</v>
      </c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 t="s">
        <v>3296</v>
      </c>
      <c r="X113" s="42" t="s">
        <v>3297</v>
      </c>
      <c r="Y113" s="42" t="s">
        <v>3298</v>
      </c>
      <c r="Z113" s="42"/>
      <c r="AA113" s="42"/>
      <c r="AB113" s="42"/>
      <c r="AC113" s="42"/>
      <c r="AD113" s="42"/>
      <c r="AE113" s="45">
        <v>2</v>
      </c>
      <c r="AF113" s="45" t="s">
        <v>64</v>
      </c>
      <c r="AG113" s="46" t="s">
        <v>66</v>
      </c>
      <c r="AH113" s="47" t="s">
        <v>3299</v>
      </c>
      <c r="AI113" s="48" t="s">
        <v>66</v>
      </c>
      <c r="AJ113" s="49" t="s">
        <v>6938</v>
      </c>
      <c r="AK113" s="50" t="s">
        <v>67</v>
      </c>
      <c r="AL113" s="51">
        <v>45572</v>
      </c>
      <c r="AM113" s="52" t="s">
        <v>66</v>
      </c>
      <c r="AN113" s="42"/>
      <c r="AO113" s="42"/>
      <c r="AP113" s="42"/>
      <c r="AQ113" s="53">
        <f t="shared" si="6"/>
        <v>3</v>
      </c>
      <c r="AR113" s="54">
        <f t="shared" si="7"/>
        <v>0</v>
      </c>
      <c r="AS113" s="55">
        <f t="shared" si="8"/>
        <v>3</v>
      </c>
      <c r="AT113" s="96" t="s">
        <v>3300</v>
      </c>
      <c r="AU113" s="96" t="s">
        <v>3341</v>
      </c>
      <c r="AV113" s="96">
        <v>1</v>
      </c>
      <c r="AW113" s="97">
        <v>45572</v>
      </c>
      <c r="AX113" s="96">
        <v>1</v>
      </c>
      <c r="AY113" s="98">
        <v>45604</v>
      </c>
      <c r="AZ113" s="96" t="s">
        <v>121</v>
      </c>
      <c r="BA113" s="96" t="s">
        <v>3342</v>
      </c>
      <c r="BB113" s="96">
        <v>22.8</v>
      </c>
      <c r="BC113" s="98">
        <v>45572</v>
      </c>
      <c r="BD113" s="96">
        <v>22.8</v>
      </c>
      <c r="BE113" s="98">
        <v>45604</v>
      </c>
      <c r="BF113" s="96" t="s">
        <v>119</v>
      </c>
      <c r="BG113" s="96" t="s">
        <v>3343</v>
      </c>
      <c r="BH113" s="96" t="s">
        <v>3301</v>
      </c>
      <c r="BI113" s="98">
        <v>45572</v>
      </c>
      <c r="BJ113" s="96" t="s">
        <v>3301</v>
      </c>
      <c r="BK113" s="98">
        <v>45604</v>
      </c>
      <c r="BL113" s="96"/>
      <c r="BM113" s="96" t="s">
        <v>1356</v>
      </c>
      <c r="BN113" s="96"/>
      <c r="BO113" s="98"/>
      <c r="BP113" s="96"/>
      <c r="BQ113" s="98"/>
      <c r="BR113" s="96"/>
      <c r="BS113" s="96" t="s">
        <v>1356</v>
      </c>
      <c r="BT113" s="96"/>
      <c r="BU113" s="98"/>
      <c r="BV113" s="96"/>
      <c r="BW113" s="98"/>
      <c r="BX113" s="117"/>
      <c r="BY113" s="117" t="s">
        <v>1356</v>
      </c>
      <c r="BZ113" s="117"/>
      <c r="CA113" s="118"/>
      <c r="CB113" s="117"/>
      <c r="CC113" s="118"/>
      <c r="CD113" s="117"/>
      <c r="CE113" s="117" t="s">
        <v>1356</v>
      </c>
      <c r="CF113" s="117"/>
      <c r="CG113" s="118"/>
      <c r="CH113" s="117"/>
      <c r="CI113" s="118"/>
      <c r="CJ113" s="117"/>
      <c r="CK113" s="117" t="s">
        <v>1356</v>
      </c>
      <c r="CL113" s="117"/>
      <c r="CM113" s="118"/>
      <c r="CN113" s="117"/>
      <c r="CO113" s="118"/>
      <c r="CP113" s="117"/>
      <c r="CQ113" s="117" t="s">
        <v>1356</v>
      </c>
      <c r="CR113" s="117"/>
      <c r="CS113" s="118"/>
      <c r="CT113" s="117"/>
      <c r="CU113" s="118"/>
      <c r="CV113" s="117"/>
      <c r="CW113" s="117" t="s">
        <v>1356</v>
      </c>
      <c r="CX113" s="117"/>
      <c r="CY113" s="118"/>
      <c r="CZ113" s="117"/>
      <c r="DA113" s="118"/>
      <c r="DB113" s="129" t="s">
        <v>6962</v>
      </c>
      <c r="DC113" s="130" t="s">
        <v>105</v>
      </c>
    </row>
    <row r="114" spans="1:107" s="40" customFormat="1" ht="14.55" customHeight="1" x14ac:dyDescent="0.3">
      <c r="A114" s="35" t="s">
        <v>4219</v>
      </c>
      <c r="B114" s="35" t="s">
        <v>6173</v>
      </c>
      <c r="C114" s="35" t="s">
        <v>6174</v>
      </c>
      <c r="D114" s="35" t="s">
        <v>6175</v>
      </c>
      <c r="E114" s="35" t="s">
        <v>6176</v>
      </c>
      <c r="F114" s="35" t="s">
        <v>420</v>
      </c>
      <c r="G114" s="35" t="s">
        <v>4237</v>
      </c>
      <c r="H114" s="27" t="s">
        <v>686</v>
      </c>
      <c r="I114" s="62">
        <v>907</v>
      </c>
      <c r="J114" s="62">
        <v>90750</v>
      </c>
      <c r="K114" s="63">
        <v>4</v>
      </c>
      <c r="L114" s="35" t="s">
        <v>5118</v>
      </c>
      <c r="M114" s="35" t="s">
        <v>6177</v>
      </c>
      <c r="N114" s="35" t="s">
        <v>810</v>
      </c>
      <c r="O114" s="35" t="s">
        <v>1081</v>
      </c>
      <c r="P114" s="35"/>
      <c r="Q114" s="35"/>
      <c r="R114" s="35" t="s">
        <v>60</v>
      </c>
      <c r="S114" s="35"/>
      <c r="T114" s="35"/>
      <c r="U114" s="35"/>
      <c r="V114" s="35"/>
      <c r="W114" s="35" t="s">
        <v>6178</v>
      </c>
      <c r="X114" s="35" t="s">
        <v>6179</v>
      </c>
      <c r="Y114" s="35" t="s">
        <v>6180</v>
      </c>
      <c r="Z114" s="35"/>
      <c r="AA114" s="35"/>
      <c r="AB114" s="35">
        <v>90750999</v>
      </c>
      <c r="AC114" s="35">
        <v>90750999011</v>
      </c>
      <c r="AD114" s="35"/>
      <c r="AE114" s="63">
        <v>5</v>
      </c>
      <c r="AF114" s="63" t="s">
        <v>772</v>
      </c>
      <c r="AG114" s="46" t="s">
        <v>66</v>
      </c>
      <c r="AH114" s="64">
        <v>80799</v>
      </c>
      <c r="AI114" s="65" t="s">
        <v>66</v>
      </c>
      <c r="AJ114" s="32" t="s">
        <v>6938</v>
      </c>
      <c r="AK114" s="33" t="s">
        <v>67</v>
      </c>
      <c r="AL114" s="34">
        <v>45572</v>
      </c>
      <c r="AM114" s="52" t="s">
        <v>66</v>
      </c>
      <c r="AN114" s="35"/>
      <c r="AO114" s="35"/>
      <c r="AP114" s="35"/>
      <c r="AQ114" s="37">
        <f t="shared" si="6"/>
        <v>5</v>
      </c>
      <c r="AR114" s="38">
        <f t="shared" si="7"/>
        <v>0</v>
      </c>
      <c r="AS114" s="39">
        <f t="shared" si="8"/>
        <v>5</v>
      </c>
      <c r="AT114" s="99" t="s">
        <v>7034</v>
      </c>
      <c r="AU114" s="99" t="s">
        <v>7035</v>
      </c>
      <c r="AV114" s="99" t="s">
        <v>7036</v>
      </c>
      <c r="AW114" s="100">
        <v>45235</v>
      </c>
      <c r="AX114" s="99"/>
      <c r="AY114" s="101"/>
      <c r="AZ114" s="99" t="s">
        <v>7037</v>
      </c>
      <c r="BA114" s="99" t="s">
        <v>7038</v>
      </c>
      <c r="BB114" s="99" t="s">
        <v>7039</v>
      </c>
      <c r="BC114" s="101">
        <v>45200</v>
      </c>
      <c r="BD114" s="99"/>
      <c r="BE114" s="101"/>
      <c r="BF114" s="99" t="s">
        <v>7040</v>
      </c>
      <c r="BG114" s="99" t="s">
        <v>1381</v>
      </c>
      <c r="BH114" s="99" t="s">
        <v>7036</v>
      </c>
      <c r="BI114" s="101">
        <v>45536</v>
      </c>
      <c r="BJ114" s="99"/>
      <c r="BK114" s="101"/>
      <c r="BL114" s="99" t="s">
        <v>7034</v>
      </c>
      <c r="BM114" s="99" t="s">
        <v>7035</v>
      </c>
      <c r="BN114" s="99" t="s">
        <v>7041</v>
      </c>
      <c r="BO114" s="101">
        <v>45601</v>
      </c>
      <c r="BP114" s="99"/>
      <c r="BQ114" s="101"/>
      <c r="BR114" s="99" t="s">
        <v>7037</v>
      </c>
      <c r="BS114" s="99" t="s">
        <v>7042</v>
      </c>
      <c r="BT114" s="99" t="s">
        <v>7043</v>
      </c>
      <c r="BU114" s="101">
        <v>45122</v>
      </c>
      <c r="BV114" s="99"/>
      <c r="BW114" s="101"/>
      <c r="BX114" s="119"/>
      <c r="BY114" s="119" t="s">
        <v>1356</v>
      </c>
      <c r="BZ114" s="119"/>
      <c r="CA114" s="120"/>
      <c r="CB114" s="119"/>
      <c r="CC114" s="120"/>
      <c r="CD114" s="119"/>
      <c r="CE114" s="119" t="s">
        <v>1356</v>
      </c>
      <c r="CF114" s="119"/>
      <c r="CG114" s="120"/>
      <c r="CH114" s="119"/>
      <c r="CI114" s="120"/>
      <c r="CJ114" s="119"/>
      <c r="CK114" s="119" t="s">
        <v>1356</v>
      </c>
      <c r="CL114" s="119"/>
      <c r="CM114" s="120"/>
      <c r="CN114" s="119"/>
      <c r="CO114" s="120"/>
      <c r="CP114" s="119"/>
      <c r="CQ114" s="119" t="s">
        <v>1356</v>
      </c>
      <c r="CR114" s="119"/>
      <c r="CS114" s="120"/>
      <c r="CT114" s="119"/>
      <c r="CU114" s="120"/>
      <c r="CV114" s="119"/>
      <c r="CW114" s="119" t="s">
        <v>1356</v>
      </c>
      <c r="CX114" s="119"/>
      <c r="CY114" s="120"/>
      <c r="CZ114" s="119"/>
      <c r="DA114" s="120"/>
      <c r="DB114" s="129" t="s">
        <v>6962</v>
      </c>
      <c r="DC114" s="131" t="s">
        <v>105</v>
      </c>
    </row>
    <row r="115" spans="1:107" s="40" customFormat="1" ht="14.55" customHeight="1" x14ac:dyDescent="0.3">
      <c r="A115" s="66" t="s">
        <v>3500</v>
      </c>
      <c r="B115" s="66" t="s">
        <v>3527</v>
      </c>
      <c r="C115" s="66" t="s">
        <v>3528</v>
      </c>
      <c r="D115" s="66" t="s">
        <v>188</v>
      </c>
      <c r="E115" s="66" t="s">
        <v>189</v>
      </c>
      <c r="F115" s="66" t="s">
        <v>190</v>
      </c>
      <c r="G115" s="68" t="s">
        <v>72</v>
      </c>
      <c r="H115" s="43" t="s">
        <v>251</v>
      </c>
      <c r="I115" s="68">
        <v>1701</v>
      </c>
      <c r="J115" s="68">
        <v>170184</v>
      </c>
      <c r="K115" s="69">
        <v>4</v>
      </c>
      <c r="L115" s="66" t="s">
        <v>191</v>
      </c>
      <c r="M115" s="66" t="s">
        <v>192</v>
      </c>
      <c r="N115" s="66" t="s">
        <v>193</v>
      </c>
      <c r="O115" s="66"/>
      <c r="P115" s="66"/>
      <c r="Q115" s="66"/>
      <c r="R115" s="66"/>
      <c r="S115" s="66"/>
      <c r="T115" s="66"/>
      <c r="U115" s="66"/>
      <c r="V115" s="66"/>
      <c r="W115" s="66"/>
      <c r="X115" s="66" t="s">
        <v>194</v>
      </c>
      <c r="Y115" s="66" t="s">
        <v>195</v>
      </c>
      <c r="Z115" s="66">
        <v>-78.374487310647964</v>
      </c>
      <c r="AA115" s="66">
        <v>-0.2028316706419</v>
      </c>
      <c r="AB115" s="66">
        <v>170184007</v>
      </c>
      <c r="AC115" s="66">
        <v>170184007003</v>
      </c>
      <c r="AD115" s="66">
        <v>170184007003003</v>
      </c>
      <c r="AE115" s="69">
        <v>2</v>
      </c>
      <c r="AF115" s="69" t="s">
        <v>64</v>
      </c>
      <c r="AG115" s="46" t="s">
        <v>66</v>
      </c>
      <c r="AH115" s="70" t="s">
        <v>196</v>
      </c>
      <c r="AI115" s="71" t="s">
        <v>66</v>
      </c>
      <c r="AJ115" s="49" t="s">
        <v>6938</v>
      </c>
      <c r="AK115" s="50" t="s">
        <v>67</v>
      </c>
      <c r="AL115" s="58">
        <v>45573</v>
      </c>
      <c r="AM115" s="52" t="s">
        <v>66</v>
      </c>
      <c r="AN115" s="52"/>
      <c r="AO115" s="52"/>
      <c r="AP115" s="52"/>
      <c r="AQ115" s="53">
        <f t="shared" si="6"/>
        <v>2</v>
      </c>
      <c r="AR115" s="54">
        <f t="shared" si="7"/>
        <v>0</v>
      </c>
      <c r="AS115" s="55">
        <f t="shared" si="8"/>
        <v>2</v>
      </c>
      <c r="AT115" s="102" t="s">
        <v>197</v>
      </c>
      <c r="AU115" s="103" t="s">
        <v>6742</v>
      </c>
      <c r="AV115" s="104">
        <v>10.28</v>
      </c>
      <c r="AW115" s="105">
        <v>45573</v>
      </c>
      <c r="AX115" s="104">
        <v>10.28</v>
      </c>
      <c r="AY115" s="106">
        <v>45603</v>
      </c>
      <c r="AZ115" s="102" t="s">
        <v>198</v>
      </c>
      <c r="BA115" s="103" t="s">
        <v>6743</v>
      </c>
      <c r="BB115" s="104"/>
      <c r="BC115" s="106"/>
      <c r="BD115" s="104"/>
      <c r="BE115" s="106"/>
      <c r="BF115" s="102"/>
      <c r="BG115" s="103" t="s">
        <v>1356</v>
      </c>
      <c r="BH115" s="104"/>
      <c r="BI115" s="106"/>
      <c r="BJ115" s="104"/>
      <c r="BK115" s="106"/>
      <c r="BL115" s="102"/>
      <c r="BM115" s="103" t="s">
        <v>1356</v>
      </c>
      <c r="BN115" s="104"/>
      <c r="BO115" s="106"/>
      <c r="BP115" s="104"/>
      <c r="BQ115" s="106"/>
      <c r="BR115" s="102"/>
      <c r="BS115" s="103" t="s">
        <v>1356</v>
      </c>
      <c r="BT115" s="104"/>
      <c r="BU115" s="106"/>
      <c r="BV115" s="104"/>
      <c r="BW115" s="106"/>
      <c r="BX115" s="121"/>
      <c r="BY115" s="122" t="s">
        <v>1356</v>
      </c>
      <c r="BZ115" s="123"/>
      <c r="CA115" s="124"/>
      <c r="CB115" s="123"/>
      <c r="CC115" s="124"/>
      <c r="CD115" s="121"/>
      <c r="CE115" s="122" t="s">
        <v>1356</v>
      </c>
      <c r="CF115" s="123"/>
      <c r="CG115" s="124"/>
      <c r="CH115" s="123"/>
      <c r="CI115" s="124"/>
      <c r="CJ115" s="121"/>
      <c r="CK115" s="122" t="s">
        <v>1356</v>
      </c>
      <c r="CL115" s="123"/>
      <c r="CM115" s="124"/>
      <c r="CN115" s="123"/>
      <c r="CO115" s="124"/>
      <c r="CP115" s="121"/>
      <c r="CQ115" s="122" t="s">
        <v>1356</v>
      </c>
      <c r="CR115" s="123"/>
      <c r="CS115" s="124"/>
      <c r="CT115" s="123"/>
      <c r="CU115" s="124"/>
      <c r="CV115" s="121"/>
      <c r="CW115" s="122" t="s">
        <v>1356</v>
      </c>
      <c r="CX115" s="123"/>
      <c r="CY115" s="124"/>
      <c r="CZ115" s="123"/>
      <c r="DA115" s="124"/>
      <c r="DB115" s="129" t="s">
        <v>6962</v>
      </c>
      <c r="DC115" s="129" t="s">
        <v>105</v>
      </c>
    </row>
    <row r="116" spans="1:107" s="40" customFormat="1" ht="14.55" customHeight="1" x14ac:dyDescent="0.3">
      <c r="A116" s="25" t="s">
        <v>3500</v>
      </c>
      <c r="B116" s="25" t="s">
        <v>3715</v>
      </c>
      <c r="C116" s="25" t="s">
        <v>3716</v>
      </c>
      <c r="D116" s="25" t="s">
        <v>1213</v>
      </c>
      <c r="E116" s="25" t="s">
        <v>1214</v>
      </c>
      <c r="F116" s="25" t="s">
        <v>95</v>
      </c>
      <c r="G116" s="26" t="s">
        <v>72</v>
      </c>
      <c r="H116" s="27" t="s">
        <v>251</v>
      </c>
      <c r="I116" s="26">
        <v>1701</v>
      </c>
      <c r="J116" s="26">
        <v>170150</v>
      </c>
      <c r="K116" s="28">
        <v>4</v>
      </c>
      <c r="L116" s="25" t="s">
        <v>1215</v>
      </c>
      <c r="M116" s="25" t="s">
        <v>1216</v>
      </c>
      <c r="N116" s="25" t="s">
        <v>1217</v>
      </c>
      <c r="O116" s="25"/>
      <c r="P116" s="25"/>
      <c r="Q116" s="25"/>
      <c r="R116" s="25" t="s">
        <v>60</v>
      </c>
      <c r="S116" s="25"/>
      <c r="T116" s="25"/>
      <c r="U116" s="25" t="s">
        <v>1218</v>
      </c>
      <c r="V116" s="25"/>
      <c r="W116" s="25" t="s">
        <v>1219</v>
      </c>
      <c r="X116" s="25" t="s">
        <v>1220</v>
      </c>
      <c r="Y116" s="25" t="s">
        <v>1221</v>
      </c>
      <c r="Z116" s="25"/>
      <c r="AA116" s="25"/>
      <c r="AB116" s="25">
        <v>170150279</v>
      </c>
      <c r="AC116" s="25">
        <v>170150279005</v>
      </c>
      <c r="AD116" s="25">
        <v>170150279005001</v>
      </c>
      <c r="AE116" s="28">
        <v>5</v>
      </c>
      <c r="AF116" s="28" t="s">
        <v>772</v>
      </c>
      <c r="AG116" s="29" t="s">
        <v>65</v>
      </c>
      <c r="AH116" s="61"/>
      <c r="AI116" s="31" t="s">
        <v>66</v>
      </c>
      <c r="AJ116" s="32" t="s">
        <v>6938</v>
      </c>
      <c r="AK116" s="33" t="s">
        <v>67</v>
      </c>
      <c r="AL116" s="34">
        <v>45586</v>
      </c>
      <c r="AM116" s="36" t="s">
        <v>66</v>
      </c>
      <c r="AN116" s="36"/>
      <c r="AO116" s="36"/>
      <c r="AP116" s="36"/>
      <c r="AQ116" s="37">
        <f t="shared" si="6"/>
        <v>0</v>
      </c>
      <c r="AR116" s="38">
        <f t="shared" si="7"/>
        <v>0</v>
      </c>
      <c r="AS116" s="39">
        <f t="shared" si="8"/>
        <v>0</v>
      </c>
      <c r="AT116" s="91"/>
      <c r="AU116" s="92" t="s">
        <v>1356</v>
      </c>
      <c r="AV116" s="93"/>
      <c r="AW116" s="94"/>
      <c r="AX116" s="93"/>
      <c r="AY116" s="95"/>
      <c r="AZ116" s="91"/>
      <c r="BA116" s="92" t="s">
        <v>1356</v>
      </c>
      <c r="BB116" s="93"/>
      <c r="BC116" s="95"/>
      <c r="BD116" s="93"/>
      <c r="BE116" s="95"/>
      <c r="BF116" s="91"/>
      <c r="BG116" s="92" t="s">
        <v>1356</v>
      </c>
      <c r="BH116" s="93"/>
      <c r="BI116" s="95"/>
      <c r="BJ116" s="93"/>
      <c r="BK116" s="95"/>
      <c r="BL116" s="91"/>
      <c r="BM116" s="92" t="s">
        <v>1356</v>
      </c>
      <c r="BN116" s="93"/>
      <c r="BO116" s="95"/>
      <c r="BP116" s="93"/>
      <c r="BQ116" s="95"/>
      <c r="BR116" s="91"/>
      <c r="BS116" s="92" t="s">
        <v>1356</v>
      </c>
      <c r="BT116" s="93"/>
      <c r="BU116" s="95"/>
      <c r="BV116" s="93"/>
      <c r="BW116" s="95"/>
      <c r="BX116" s="113"/>
      <c r="BY116" s="114" t="s">
        <v>1356</v>
      </c>
      <c r="BZ116" s="115"/>
      <c r="CA116" s="116"/>
      <c r="CB116" s="115"/>
      <c r="CC116" s="116"/>
      <c r="CD116" s="113"/>
      <c r="CE116" s="114" t="s">
        <v>1356</v>
      </c>
      <c r="CF116" s="115"/>
      <c r="CG116" s="116"/>
      <c r="CH116" s="115"/>
      <c r="CI116" s="116"/>
      <c r="CJ116" s="113"/>
      <c r="CK116" s="114" t="s">
        <v>1356</v>
      </c>
      <c r="CL116" s="115"/>
      <c r="CM116" s="116"/>
      <c r="CN116" s="115"/>
      <c r="CO116" s="116"/>
      <c r="CP116" s="113"/>
      <c r="CQ116" s="114" t="s">
        <v>1356</v>
      </c>
      <c r="CR116" s="115"/>
      <c r="CS116" s="116"/>
      <c r="CT116" s="115"/>
      <c r="CU116" s="116"/>
      <c r="CV116" s="113"/>
      <c r="CW116" s="114" t="s">
        <v>1356</v>
      </c>
      <c r="CX116" s="115"/>
      <c r="CY116" s="116"/>
      <c r="CZ116" s="115"/>
      <c r="DA116" s="116"/>
      <c r="DB116" s="128" t="s">
        <v>7085</v>
      </c>
      <c r="DC116" s="128" t="s">
        <v>105</v>
      </c>
    </row>
    <row r="117" spans="1:107" s="40" customFormat="1" ht="14.55" customHeight="1" x14ac:dyDescent="0.3">
      <c r="A117" s="66" t="s">
        <v>3500</v>
      </c>
      <c r="B117" s="66" t="s">
        <v>3545</v>
      </c>
      <c r="C117" s="66" t="s">
        <v>3546</v>
      </c>
      <c r="D117" s="66" t="s">
        <v>289</v>
      </c>
      <c r="E117" s="66" t="s">
        <v>290</v>
      </c>
      <c r="F117" s="66" t="s">
        <v>291</v>
      </c>
      <c r="G117" s="68" t="s">
        <v>72</v>
      </c>
      <c r="H117" s="43" t="s">
        <v>251</v>
      </c>
      <c r="I117" s="68">
        <v>1701</v>
      </c>
      <c r="J117" s="68">
        <v>170150</v>
      </c>
      <c r="K117" s="69">
        <v>4</v>
      </c>
      <c r="L117" s="66" t="s">
        <v>292</v>
      </c>
      <c r="M117" s="66" t="s">
        <v>293</v>
      </c>
      <c r="N117" s="66" t="s">
        <v>294</v>
      </c>
      <c r="O117" s="66"/>
      <c r="P117" s="66"/>
      <c r="Q117" s="66"/>
      <c r="R117" s="66" t="s">
        <v>113</v>
      </c>
      <c r="S117" s="66"/>
      <c r="T117" s="66"/>
      <c r="U117" s="66" t="s">
        <v>295</v>
      </c>
      <c r="V117" s="66"/>
      <c r="W117" s="66" t="s">
        <v>296</v>
      </c>
      <c r="X117" s="66" t="s">
        <v>297</v>
      </c>
      <c r="Y117" s="66" t="s">
        <v>298</v>
      </c>
      <c r="Z117" s="66">
        <v>-78.474740982055664</v>
      </c>
      <c r="AA117" s="66">
        <v>-9.9048565167718025E-2</v>
      </c>
      <c r="AB117" s="66">
        <v>170150043</v>
      </c>
      <c r="AC117" s="66">
        <v>170150043004</v>
      </c>
      <c r="AD117" s="66">
        <v>170150043004005</v>
      </c>
      <c r="AE117" s="69">
        <v>2</v>
      </c>
      <c r="AF117" s="69" t="s">
        <v>64</v>
      </c>
      <c r="AG117" s="46" t="s">
        <v>66</v>
      </c>
      <c r="AH117" s="70" t="s">
        <v>299</v>
      </c>
      <c r="AI117" s="71" t="s">
        <v>66</v>
      </c>
      <c r="AJ117" s="49" t="s">
        <v>6938</v>
      </c>
      <c r="AK117" s="50" t="s">
        <v>67</v>
      </c>
      <c r="AL117" s="58">
        <v>45573</v>
      </c>
      <c r="AM117" s="52" t="s">
        <v>66</v>
      </c>
      <c r="AN117" s="52"/>
      <c r="AO117" s="52"/>
      <c r="AP117" s="52"/>
      <c r="AQ117" s="53">
        <f t="shared" si="6"/>
        <v>1</v>
      </c>
      <c r="AR117" s="54">
        <f t="shared" si="7"/>
        <v>0</v>
      </c>
      <c r="AS117" s="55">
        <f t="shared" si="8"/>
        <v>1</v>
      </c>
      <c r="AT117" s="102" t="s">
        <v>300</v>
      </c>
      <c r="AU117" s="103" t="s">
        <v>2263</v>
      </c>
      <c r="AV117" s="104">
        <v>65.099999999999994</v>
      </c>
      <c r="AW117" s="105">
        <v>45573</v>
      </c>
      <c r="AX117" s="104">
        <v>65.099999999999994</v>
      </c>
      <c r="AY117" s="106">
        <v>45603</v>
      </c>
      <c r="AZ117" s="102"/>
      <c r="BA117" s="103" t="s">
        <v>1356</v>
      </c>
      <c r="BB117" s="104"/>
      <c r="BC117" s="106"/>
      <c r="BD117" s="104"/>
      <c r="BE117" s="106"/>
      <c r="BF117" s="102"/>
      <c r="BG117" s="103" t="s">
        <v>1356</v>
      </c>
      <c r="BH117" s="104"/>
      <c r="BI117" s="106"/>
      <c r="BJ117" s="104"/>
      <c r="BK117" s="106"/>
      <c r="BL117" s="102"/>
      <c r="BM117" s="103" t="s">
        <v>1356</v>
      </c>
      <c r="BN117" s="104"/>
      <c r="BO117" s="106"/>
      <c r="BP117" s="104"/>
      <c r="BQ117" s="106"/>
      <c r="BR117" s="102"/>
      <c r="BS117" s="103" t="s">
        <v>1356</v>
      </c>
      <c r="BT117" s="104"/>
      <c r="BU117" s="106"/>
      <c r="BV117" s="104"/>
      <c r="BW117" s="106"/>
      <c r="BX117" s="121"/>
      <c r="BY117" s="122" t="s">
        <v>1356</v>
      </c>
      <c r="BZ117" s="123"/>
      <c r="CA117" s="124"/>
      <c r="CB117" s="123"/>
      <c r="CC117" s="124"/>
      <c r="CD117" s="121"/>
      <c r="CE117" s="122" t="s">
        <v>1356</v>
      </c>
      <c r="CF117" s="123"/>
      <c r="CG117" s="124"/>
      <c r="CH117" s="123"/>
      <c r="CI117" s="124"/>
      <c r="CJ117" s="121"/>
      <c r="CK117" s="122" t="s">
        <v>1356</v>
      </c>
      <c r="CL117" s="123"/>
      <c r="CM117" s="124"/>
      <c r="CN117" s="123"/>
      <c r="CO117" s="124"/>
      <c r="CP117" s="121"/>
      <c r="CQ117" s="122" t="s">
        <v>1356</v>
      </c>
      <c r="CR117" s="123"/>
      <c r="CS117" s="124"/>
      <c r="CT117" s="123"/>
      <c r="CU117" s="124"/>
      <c r="CV117" s="121"/>
      <c r="CW117" s="122" t="s">
        <v>1356</v>
      </c>
      <c r="CX117" s="123"/>
      <c r="CY117" s="124"/>
      <c r="CZ117" s="123"/>
      <c r="DA117" s="124"/>
      <c r="DB117" s="129" t="s">
        <v>6962</v>
      </c>
      <c r="DC117" s="129" t="s">
        <v>105</v>
      </c>
    </row>
    <row r="118" spans="1:107" s="40" customFormat="1" ht="14.55" customHeight="1" x14ac:dyDescent="0.3">
      <c r="A118" s="66" t="s">
        <v>3500</v>
      </c>
      <c r="B118" s="66" t="s">
        <v>3576</v>
      </c>
      <c r="C118" s="66" t="s">
        <v>3577</v>
      </c>
      <c r="D118" s="66" t="s">
        <v>459</v>
      </c>
      <c r="E118" s="66" t="s">
        <v>70</v>
      </c>
      <c r="F118" s="66" t="s">
        <v>291</v>
      </c>
      <c r="G118" s="68" t="s">
        <v>72</v>
      </c>
      <c r="H118" s="43" t="s">
        <v>251</v>
      </c>
      <c r="I118" s="68">
        <v>1701</v>
      </c>
      <c r="J118" s="68">
        <v>170150</v>
      </c>
      <c r="K118" s="69">
        <v>4</v>
      </c>
      <c r="L118" s="66" t="s">
        <v>460</v>
      </c>
      <c r="M118" s="66" t="s">
        <v>461</v>
      </c>
      <c r="N118" s="66" t="s">
        <v>462</v>
      </c>
      <c r="O118" s="66"/>
      <c r="P118" s="66"/>
      <c r="Q118" s="66" t="s">
        <v>463</v>
      </c>
      <c r="R118" s="66"/>
      <c r="S118" s="66"/>
      <c r="T118" s="66"/>
      <c r="U118" s="66" t="s">
        <v>464</v>
      </c>
      <c r="V118" s="66"/>
      <c r="W118" s="66" t="s">
        <v>465</v>
      </c>
      <c r="X118" s="66" t="s">
        <v>466</v>
      </c>
      <c r="Y118" s="66" t="s">
        <v>467</v>
      </c>
      <c r="Z118" s="66"/>
      <c r="AA118" s="66"/>
      <c r="AB118" s="66"/>
      <c r="AC118" s="66"/>
      <c r="AD118" s="66"/>
      <c r="AE118" s="69">
        <v>3</v>
      </c>
      <c r="AF118" s="69" t="s">
        <v>377</v>
      </c>
      <c r="AG118" s="46" t="s">
        <v>66</v>
      </c>
      <c r="AH118" s="70" t="s">
        <v>468</v>
      </c>
      <c r="AI118" s="71" t="s">
        <v>66</v>
      </c>
      <c r="AJ118" s="49" t="s">
        <v>6938</v>
      </c>
      <c r="AK118" s="50" t="s">
        <v>67</v>
      </c>
      <c r="AL118" s="58">
        <v>45573</v>
      </c>
      <c r="AM118" s="52" t="s">
        <v>66</v>
      </c>
      <c r="AN118" s="52"/>
      <c r="AO118" s="52"/>
      <c r="AP118" s="52"/>
      <c r="AQ118" s="53">
        <f t="shared" si="6"/>
        <v>1</v>
      </c>
      <c r="AR118" s="54">
        <f t="shared" si="7"/>
        <v>0</v>
      </c>
      <c r="AS118" s="55">
        <f t="shared" si="8"/>
        <v>1</v>
      </c>
      <c r="AT118" s="102" t="s">
        <v>300</v>
      </c>
      <c r="AU118" s="103" t="s">
        <v>2263</v>
      </c>
      <c r="AV118" s="96">
        <v>55.35</v>
      </c>
      <c r="AW118" s="105">
        <v>45573</v>
      </c>
      <c r="AX118" s="96">
        <v>55.35</v>
      </c>
      <c r="AY118" s="106">
        <v>45603</v>
      </c>
      <c r="AZ118" s="102"/>
      <c r="BA118" s="103" t="s">
        <v>1356</v>
      </c>
      <c r="BB118" s="104"/>
      <c r="BC118" s="106"/>
      <c r="BD118" s="104"/>
      <c r="BE118" s="106"/>
      <c r="BF118" s="102"/>
      <c r="BG118" s="103" t="s">
        <v>1356</v>
      </c>
      <c r="BH118" s="104"/>
      <c r="BI118" s="106"/>
      <c r="BJ118" s="104"/>
      <c r="BK118" s="106"/>
      <c r="BL118" s="102"/>
      <c r="BM118" s="103" t="s">
        <v>1356</v>
      </c>
      <c r="BN118" s="104"/>
      <c r="BO118" s="106"/>
      <c r="BP118" s="104"/>
      <c r="BQ118" s="106"/>
      <c r="BR118" s="102"/>
      <c r="BS118" s="103" t="s">
        <v>1356</v>
      </c>
      <c r="BT118" s="104"/>
      <c r="BU118" s="106"/>
      <c r="BV118" s="104"/>
      <c r="BW118" s="106"/>
      <c r="BX118" s="121"/>
      <c r="BY118" s="122" t="s">
        <v>1356</v>
      </c>
      <c r="BZ118" s="123"/>
      <c r="CA118" s="124"/>
      <c r="CB118" s="123"/>
      <c r="CC118" s="124"/>
      <c r="CD118" s="121"/>
      <c r="CE118" s="122" t="s">
        <v>1356</v>
      </c>
      <c r="CF118" s="123"/>
      <c r="CG118" s="124"/>
      <c r="CH118" s="123"/>
      <c r="CI118" s="124"/>
      <c r="CJ118" s="121"/>
      <c r="CK118" s="122" t="s">
        <v>1356</v>
      </c>
      <c r="CL118" s="123"/>
      <c r="CM118" s="124"/>
      <c r="CN118" s="123"/>
      <c r="CO118" s="124"/>
      <c r="CP118" s="121"/>
      <c r="CQ118" s="122" t="s">
        <v>1356</v>
      </c>
      <c r="CR118" s="123"/>
      <c r="CS118" s="124"/>
      <c r="CT118" s="123"/>
      <c r="CU118" s="124"/>
      <c r="CV118" s="121"/>
      <c r="CW118" s="122" t="s">
        <v>1356</v>
      </c>
      <c r="CX118" s="123"/>
      <c r="CY118" s="124"/>
      <c r="CZ118" s="123"/>
      <c r="DA118" s="124"/>
      <c r="DB118" s="129" t="s">
        <v>6962</v>
      </c>
      <c r="DC118" s="129" t="s">
        <v>105</v>
      </c>
    </row>
    <row r="119" spans="1:107" s="40" customFormat="1" ht="14.55" customHeight="1" x14ac:dyDescent="0.3">
      <c r="A119" s="66" t="s">
        <v>3500</v>
      </c>
      <c r="B119" s="66" t="s">
        <v>3578</v>
      </c>
      <c r="C119" s="66" t="s">
        <v>3579</v>
      </c>
      <c r="D119" s="66" t="s">
        <v>469</v>
      </c>
      <c r="E119" s="66" t="s">
        <v>470</v>
      </c>
      <c r="F119" s="66" t="s">
        <v>327</v>
      </c>
      <c r="G119" s="68" t="s">
        <v>72</v>
      </c>
      <c r="H119" s="43" t="s">
        <v>251</v>
      </c>
      <c r="I119" s="68">
        <v>1701</v>
      </c>
      <c r="J119" s="68">
        <v>170150</v>
      </c>
      <c r="K119" s="69">
        <v>4</v>
      </c>
      <c r="L119" s="66" t="s">
        <v>471</v>
      </c>
      <c r="M119" s="66" t="s">
        <v>472</v>
      </c>
      <c r="N119" s="66" t="s">
        <v>473</v>
      </c>
      <c r="O119" s="66"/>
      <c r="P119" s="66"/>
      <c r="Q119" s="66"/>
      <c r="R119" s="66" t="s">
        <v>391</v>
      </c>
      <c r="S119" s="66"/>
      <c r="T119" s="66"/>
      <c r="U119" s="66" t="s">
        <v>474</v>
      </c>
      <c r="V119" s="66"/>
      <c r="W119" s="66" t="s">
        <v>475</v>
      </c>
      <c r="X119" s="66" t="s">
        <v>476</v>
      </c>
      <c r="Y119" s="66" t="s">
        <v>477</v>
      </c>
      <c r="Z119" s="66">
        <v>-78.495994806289673</v>
      </c>
      <c r="AA119" s="66">
        <v>-0.19315086973746179</v>
      </c>
      <c r="AB119" s="66">
        <v>170150168</v>
      </c>
      <c r="AC119" s="66">
        <v>170150168011</v>
      </c>
      <c r="AD119" s="66">
        <v>170150168011003</v>
      </c>
      <c r="AE119" s="69">
        <v>3</v>
      </c>
      <c r="AF119" s="69" t="s">
        <v>377</v>
      </c>
      <c r="AG119" s="46" t="s">
        <v>66</v>
      </c>
      <c r="AH119" s="70" t="s">
        <v>478</v>
      </c>
      <c r="AI119" s="71" t="s">
        <v>66</v>
      </c>
      <c r="AJ119" s="49" t="s">
        <v>6938</v>
      </c>
      <c r="AK119" s="50" t="s">
        <v>67</v>
      </c>
      <c r="AL119" s="58">
        <v>45573</v>
      </c>
      <c r="AM119" s="52" t="s">
        <v>66</v>
      </c>
      <c r="AN119" s="52"/>
      <c r="AO119" s="52"/>
      <c r="AP119" s="52"/>
      <c r="AQ119" s="53">
        <f t="shared" si="6"/>
        <v>1</v>
      </c>
      <c r="AR119" s="54">
        <f t="shared" si="7"/>
        <v>0</v>
      </c>
      <c r="AS119" s="55">
        <f t="shared" si="8"/>
        <v>1</v>
      </c>
      <c r="AT119" s="102" t="s">
        <v>479</v>
      </c>
      <c r="AU119" s="103" t="s">
        <v>6746</v>
      </c>
      <c r="AV119" s="104">
        <v>2.4</v>
      </c>
      <c r="AW119" s="105">
        <v>45573</v>
      </c>
      <c r="AX119" s="104">
        <v>2.4</v>
      </c>
      <c r="AY119" s="106">
        <v>45603</v>
      </c>
      <c r="AZ119" s="102"/>
      <c r="BA119" s="103" t="s">
        <v>1356</v>
      </c>
      <c r="BB119" s="104"/>
      <c r="BC119" s="106"/>
      <c r="BD119" s="104"/>
      <c r="BE119" s="106"/>
      <c r="BF119" s="102"/>
      <c r="BG119" s="103" t="s">
        <v>1356</v>
      </c>
      <c r="BH119" s="104"/>
      <c r="BI119" s="106"/>
      <c r="BJ119" s="104"/>
      <c r="BK119" s="106"/>
      <c r="BL119" s="102"/>
      <c r="BM119" s="103" t="s">
        <v>1356</v>
      </c>
      <c r="BN119" s="104"/>
      <c r="BO119" s="106"/>
      <c r="BP119" s="104"/>
      <c r="BQ119" s="106"/>
      <c r="BR119" s="102"/>
      <c r="BS119" s="103" t="s">
        <v>1356</v>
      </c>
      <c r="BT119" s="104"/>
      <c r="BU119" s="106"/>
      <c r="BV119" s="104"/>
      <c r="BW119" s="106"/>
      <c r="BX119" s="121"/>
      <c r="BY119" s="122" t="s">
        <v>1356</v>
      </c>
      <c r="BZ119" s="123"/>
      <c r="CA119" s="124"/>
      <c r="CB119" s="123"/>
      <c r="CC119" s="124"/>
      <c r="CD119" s="121"/>
      <c r="CE119" s="122" t="s">
        <v>1356</v>
      </c>
      <c r="CF119" s="123"/>
      <c r="CG119" s="124"/>
      <c r="CH119" s="123"/>
      <c r="CI119" s="124"/>
      <c r="CJ119" s="121"/>
      <c r="CK119" s="122" t="s">
        <v>1356</v>
      </c>
      <c r="CL119" s="123"/>
      <c r="CM119" s="124"/>
      <c r="CN119" s="123"/>
      <c r="CO119" s="124"/>
      <c r="CP119" s="121"/>
      <c r="CQ119" s="122" t="s">
        <v>1356</v>
      </c>
      <c r="CR119" s="123"/>
      <c r="CS119" s="124"/>
      <c r="CT119" s="123"/>
      <c r="CU119" s="124"/>
      <c r="CV119" s="121"/>
      <c r="CW119" s="122" t="s">
        <v>1356</v>
      </c>
      <c r="CX119" s="123"/>
      <c r="CY119" s="124"/>
      <c r="CZ119" s="123"/>
      <c r="DA119" s="124"/>
      <c r="DB119" s="129" t="s">
        <v>6962</v>
      </c>
      <c r="DC119" s="129" t="s">
        <v>105</v>
      </c>
    </row>
    <row r="120" spans="1:107" s="40" customFormat="1" ht="14.55" customHeight="1" x14ac:dyDescent="0.3">
      <c r="A120" s="25" t="s">
        <v>3500</v>
      </c>
      <c r="B120" s="25" t="s">
        <v>3723</v>
      </c>
      <c r="C120" s="41">
        <v>1792356423001</v>
      </c>
      <c r="D120" s="25" t="s">
        <v>1256</v>
      </c>
      <c r="E120" s="25" t="s">
        <v>70</v>
      </c>
      <c r="F120" s="25" t="s">
        <v>309</v>
      </c>
      <c r="G120" s="26" t="s">
        <v>72</v>
      </c>
      <c r="H120" s="27" t="s">
        <v>251</v>
      </c>
      <c r="I120" s="26">
        <v>1701</v>
      </c>
      <c r="J120" s="26">
        <v>170150</v>
      </c>
      <c r="K120" s="28">
        <v>4</v>
      </c>
      <c r="L120" s="25" t="s">
        <v>1257</v>
      </c>
      <c r="M120" s="25" t="s">
        <v>1258</v>
      </c>
      <c r="N120" s="25" t="s">
        <v>1259</v>
      </c>
      <c r="O120" s="25"/>
      <c r="P120" s="25"/>
      <c r="Q120" s="25" t="s">
        <v>1260</v>
      </c>
      <c r="R120" s="25" t="s">
        <v>403</v>
      </c>
      <c r="S120" s="25" t="s">
        <v>1261</v>
      </c>
      <c r="T120" s="25"/>
      <c r="U120" s="25" t="s">
        <v>1262</v>
      </c>
      <c r="V120" s="25"/>
      <c r="W120" s="25" t="s">
        <v>1263</v>
      </c>
      <c r="X120" s="25" t="s">
        <v>1264</v>
      </c>
      <c r="Y120" s="25" t="s">
        <v>1265</v>
      </c>
      <c r="Z120" s="25"/>
      <c r="AA120" s="25"/>
      <c r="AB120" s="25">
        <v>170150188</v>
      </c>
      <c r="AC120" s="25">
        <v>170150188001</v>
      </c>
      <c r="AD120" s="25">
        <v>170150188001001</v>
      </c>
      <c r="AE120" s="28">
        <v>5</v>
      </c>
      <c r="AF120" s="28" t="s">
        <v>772</v>
      </c>
      <c r="AG120" s="29" t="s">
        <v>65</v>
      </c>
      <c r="AH120" s="30"/>
      <c r="AI120" s="31" t="s">
        <v>65</v>
      </c>
      <c r="AJ120" s="32" t="s">
        <v>6938</v>
      </c>
      <c r="AK120" s="33" t="s">
        <v>92</v>
      </c>
      <c r="AL120" s="34">
        <v>45545</v>
      </c>
      <c r="AM120" s="36"/>
      <c r="AN120" s="36"/>
      <c r="AO120" s="36"/>
      <c r="AP120" s="36"/>
      <c r="AQ120" s="37">
        <f t="shared" si="6"/>
        <v>0</v>
      </c>
      <c r="AR120" s="38">
        <f t="shared" si="7"/>
        <v>0</v>
      </c>
      <c r="AS120" s="39">
        <f t="shared" si="8"/>
        <v>0</v>
      </c>
      <c r="AT120" s="91"/>
      <c r="AU120" s="92" t="s">
        <v>1356</v>
      </c>
      <c r="AV120" s="93"/>
      <c r="AW120" s="94"/>
      <c r="AX120" s="93"/>
      <c r="AY120" s="95"/>
      <c r="AZ120" s="91"/>
      <c r="BA120" s="92" t="s">
        <v>1356</v>
      </c>
      <c r="BB120" s="93"/>
      <c r="BC120" s="95"/>
      <c r="BD120" s="93"/>
      <c r="BE120" s="95"/>
      <c r="BF120" s="91"/>
      <c r="BG120" s="92" t="s">
        <v>1356</v>
      </c>
      <c r="BH120" s="93"/>
      <c r="BI120" s="95"/>
      <c r="BJ120" s="93"/>
      <c r="BK120" s="95"/>
      <c r="BL120" s="91"/>
      <c r="BM120" s="92" t="s">
        <v>1356</v>
      </c>
      <c r="BN120" s="93"/>
      <c r="BO120" s="95"/>
      <c r="BP120" s="93"/>
      <c r="BQ120" s="95"/>
      <c r="BR120" s="91"/>
      <c r="BS120" s="92" t="s">
        <v>1356</v>
      </c>
      <c r="BT120" s="93"/>
      <c r="BU120" s="95"/>
      <c r="BV120" s="93"/>
      <c r="BW120" s="95"/>
      <c r="BX120" s="113"/>
      <c r="BY120" s="114" t="s">
        <v>1356</v>
      </c>
      <c r="BZ120" s="115"/>
      <c r="CA120" s="116"/>
      <c r="CB120" s="115"/>
      <c r="CC120" s="116"/>
      <c r="CD120" s="113"/>
      <c r="CE120" s="114" t="s">
        <v>1356</v>
      </c>
      <c r="CF120" s="115"/>
      <c r="CG120" s="116"/>
      <c r="CH120" s="115"/>
      <c r="CI120" s="116"/>
      <c r="CJ120" s="113"/>
      <c r="CK120" s="114" t="s">
        <v>1356</v>
      </c>
      <c r="CL120" s="115"/>
      <c r="CM120" s="116"/>
      <c r="CN120" s="115"/>
      <c r="CO120" s="116"/>
      <c r="CP120" s="113"/>
      <c r="CQ120" s="114" t="s">
        <v>1356</v>
      </c>
      <c r="CR120" s="115"/>
      <c r="CS120" s="116"/>
      <c r="CT120" s="115"/>
      <c r="CU120" s="116"/>
      <c r="CV120" s="113"/>
      <c r="CW120" s="114" t="s">
        <v>1356</v>
      </c>
      <c r="CX120" s="115"/>
      <c r="CY120" s="116"/>
      <c r="CZ120" s="115"/>
      <c r="DA120" s="116"/>
      <c r="DB120" s="128" t="s">
        <v>7085</v>
      </c>
      <c r="DC120" s="128" t="s">
        <v>92</v>
      </c>
    </row>
    <row r="121" spans="1:107" s="40" customFormat="1" ht="14.55" customHeight="1" x14ac:dyDescent="0.3">
      <c r="A121" s="66" t="s">
        <v>3500</v>
      </c>
      <c r="B121" s="66" t="s">
        <v>3585</v>
      </c>
      <c r="C121" s="66" t="s">
        <v>3586</v>
      </c>
      <c r="D121" s="66" t="s">
        <v>508</v>
      </c>
      <c r="E121" s="66" t="s">
        <v>509</v>
      </c>
      <c r="F121" s="66" t="s">
        <v>89</v>
      </c>
      <c r="G121" s="68" t="s">
        <v>72</v>
      </c>
      <c r="H121" s="43" t="s">
        <v>251</v>
      </c>
      <c r="I121" s="68">
        <v>1701</v>
      </c>
      <c r="J121" s="68">
        <v>170151</v>
      </c>
      <c r="K121" s="69">
        <v>4</v>
      </c>
      <c r="L121" s="66" t="s">
        <v>510</v>
      </c>
      <c r="M121" s="66" t="s">
        <v>511</v>
      </c>
      <c r="N121" s="66" t="s">
        <v>512</v>
      </c>
      <c r="O121" s="66"/>
      <c r="P121" s="66"/>
      <c r="Q121" s="66"/>
      <c r="R121" s="66" t="s">
        <v>60</v>
      </c>
      <c r="S121" s="66"/>
      <c r="T121" s="66"/>
      <c r="U121" s="66"/>
      <c r="V121" s="66"/>
      <c r="W121" s="66" t="s">
        <v>513</v>
      </c>
      <c r="X121" s="66" t="s">
        <v>514</v>
      </c>
      <c r="Y121" s="66" t="s">
        <v>515</v>
      </c>
      <c r="Z121" s="66"/>
      <c r="AA121" s="66"/>
      <c r="AB121" s="66">
        <v>170151905</v>
      </c>
      <c r="AC121" s="66">
        <v>170151905006</v>
      </c>
      <c r="AD121" s="66">
        <v>170151905006002</v>
      </c>
      <c r="AE121" s="69">
        <v>4</v>
      </c>
      <c r="AF121" s="69" t="s">
        <v>499</v>
      </c>
      <c r="AG121" s="46" t="s">
        <v>66</v>
      </c>
      <c r="AH121" s="70" t="s">
        <v>516</v>
      </c>
      <c r="AI121" s="71" t="s">
        <v>66</v>
      </c>
      <c r="AJ121" s="49" t="s">
        <v>6938</v>
      </c>
      <c r="AK121" s="50" t="s">
        <v>67</v>
      </c>
      <c r="AL121" s="58">
        <v>45573</v>
      </c>
      <c r="AM121" s="52" t="s">
        <v>66</v>
      </c>
      <c r="AN121" s="52"/>
      <c r="AO121" s="52"/>
      <c r="AP121" s="52"/>
      <c r="AQ121" s="53">
        <f t="shared" si="6"/>
        <v>1</v>
      </c>
      <c r="AR121" s="54">
        <f t="shared" si="7"/>
        <v>0</v>
      </c>
      <c r="AS121" s="55">
        <f t="shared" si="8"/>
        <v>1</v>
      </c>
      <c r="AT121" s="102" t="s">
        <v>397</v>
      </c>
      <c r="AU121" s="103" t="s">
        <v>6744</v>
      </c>
      <c r="AV121" s="104">
        <v>2.13</v>
      </c>
      <c r="AW121" s="105">
        <v>45573</v>
      </c>
      <c r="AX121" s="104">
        <v>2.13</v>
      </c>
      <c r="AY121" s="106">
        <v>45603</v>
      </c>
      <c r="AZ121" s="102"/>
      <c r="BA121" s="103" t="s">
        <v>1356</v>
      </c>
      <c r="BB121" s="104"/>
      <c r="BC121" s="106"/>
      <c r="BD121" s="104"/>
      <c r="BE121" s="106"/>
      <c r="BF121" s="102"/>
      <c r="BG121" s="103" t="s">
        <v>1356</v>
      </c>
      <c r="BH121" s="104"/>
      <c r="BI121" s="106"/>
      <c r="BJ121" s="104"/>
      <c r="BK121" s="106"/>
      <c r="BL121" s="102"/>
      <c r="BM121" s="103" t="s">
        <v>1356</v>
      </c>
      <c r="BN121" s="104"/>
      <c r="BO121" s="106"/>
      <c r="BP121" s="104"/>
      <c r="BQ121" s="106"/>
      <c r="BR121" s="102"/>
      <c r="BS121" s="103" t="s">
        <v>1356</v>
      </c>
      <c r="BT121" s="104"/>
      <c r="BU121" s="106"/>
      <c r="BV121" s="104"/>
      <c r="BW121" s="106"/>
      <c r="BX121" s="121"/>
      <c r="BY121" s="122" t="s">
        <v>1356</v>
      </c>
      <c r="BZ121" s="123"/>
      <c r="CA121" s="124"/>
      <c r="CB121" s="123"/>
      <c r="CC121" s="124"/>
      <c r="CD121" s="121"/>
      <c r="CE121" s="122" t="s">
        <v>1356</v>
      </c>
      <c r="CF121" s="123"/>
      <c r="CG121" s="124"/>
      <c r="CH121" s="123"/>
      <c r="CI121" s="124"/>
      <c r="CJ121" s="121"/>
      <c r="CK121" s="122" t="s">
        <v>1356</v>
      </c>
      <c r="CL121" s="123"/>
      <c r="CM121" s="124"/>
      <c r="CN121" s="123"/>
      <c r="CO121" s="124"/>
      <c r="CP121" s="121"/>
      <c r="CQ121" s="122" t="s">
        <v>1356</v>
      </c>
      <c r="CR121" s="123"/>
      <c r="CS121" s="124"/>
      <c r="CT121" s="123"/>
      <c r="CU121" s="124"/>
      <c r="CV121" s="121"/>
      <c r="CW121" s="122" t="s">
        <v>1356</v>
      </c>
      <c r="CX121" s="123"/>
      <c r="CY121" s="124"/>
      <c r="CZ121" s="123"/>
      <c r="DA121" s="124"/>
      <c r="DB121" s="129" t="s">
        <v>6962</v>
      </c>
      <c r="DC121" s="129" t="s">
        <v>105</v>
      </c>
    </row>
    <row r="122" spans="1:107" s="40" customFormat="1" ht="14.55" customHeight="1" x14ac:dyDescent="0.3">
      <c r="A122" s="66" t="s">
        <v>3500</v>
      </c>
      <c r="B122" s="66" t="s">
        <v>3587</v>
      </c>
      <c r="C122" s="66" t="s">
        <v>3588</v>
      </c>
      <c r="D122" s="66" t="s">
        <v>517</v>
      </c>
      <c r="E122" s="66" t="s">
        <v>518</v>
      </c>
      <c r="F122" s="66" t="s">
        <v>108</v>
      </c>
      <c r="G122" s="68" t="s">
        <v>72</v>
      </c>
      <c r="H122" s="43" t="s">
        <v>251</v>
      </c>
      <c r="I122" s="68">
        <v>1701</v>
      </c>
      <c r="J122" s="68">
        <v>170155</v>
      </c>
      <c r="K122" s="69">
        <v>4</v>
      </c>
      <c r="L122" s="66" t="s">
        <v>519</v>
      </c>
      <c r="M122" s="66" t="s">
        <v>520</v>
      </c>
      <c r="N122" s="66" t="s">
        <v>521</v>
      </c>
      <c r="O122" s="66"/>
      <c r="P122" s="66"/>
      <c r="Q122" s="66" t="s">
        <v>522</v>
      </c>
      <c r="R122" s="66" t="s">
        <v>60</v>
      </c>
      <c r="S122" s="66"/>
      <c r="T122" s="66"/>
      <c r="U122" s="66" t="s">
        <v>523</v>
      </c>
      <c r="V122" s="66"/>
      <c r="W122" s="66" t="s">
        <v>524</v>
      </c>
      <c r="X122" s="66" t="s">
        <v>525</v>
      </c>
      <c r="Y122" s="66" t="s">
        <v>526</v>
      </c>
      <c r="Z122" s="66">
        <v>-78.445464134224494</v>
      </c>
      <c r="AA122" s="66">
        <v>-0.1158059047107845</v>
      </c>
      <c r="AB122" s="66">
        <v>170155046</v>
      </c>
      <c r="AC122" s="66">
        <v>170155046010</v>
      </c>
      <c r="AD122" s="66">
        <v>170155046010002</v>
      </c>
      <c r="AE122" s="69">
        <v>4</v>
      </c>
      <c r="AF122" s="69" t="s">
        <v>499</v>
      </c>
      <c r="AG122" s="46" t="s">
        <v>66</v>
      </c>
      <c r="AH122" s="70" t="s">
        <v>527</v>
      </c>
      <c r="AI122" s="71" t="s">
        <v>66</v>
      </c>
      <c r="AJ122" s="49" t="s">
        <v>6938</v>
      </c>
      <c r="AK122" s="50" t="s">
        <v>67</v>
      </c>
      <c r="AL122" s="58">
        <v>45573</v>
      </c>
      <c r="AM122" s="52" t="s">
        <v>66</v>
      </c>
      <c r="AN122" s="52"/>
      <c r="AO122" s="52"/>
      <c r="AP122" s="52"/>
      <c r="AQ122" s="53">
        <f t="shared" si="6"/>
        <v>2</v>
      </c>
      <c r="AR122" s="54">
        <f t="shared" si="7"/>
        <v>0</v>
      </c>
      <c r="AS122" s="55">
        <f t="shared" si="8"/>
        <v>2</v>
      </c>
      <c r="AT122" s="102" t="s">
        <v>528</v>
      </c>
      <c r="AU122" s="103" t="s">
        <v>3363</v>
      </c>
      <c r="AV122" s="104">
        <v>1.04</v>
      </c>
      <c r="AW122" s="105">
        <v>45573</v>
      </c>
      <c r="AX122" s="104">
        <v>1.04</v>
      </c>
      <c r="AY122" s="106">
        <v>45604</v>
      </c>
      <c r="AZ122" s="102" t="s">
        <v>121</v>
      </c>
      <c r="BA122" s="103" t="s">
        <v>3342</v>
      </c>
      <c r="BB122" s="104">
        <v>4.32</v>
      </c>
      <c r="BC122" s="106">
        <v>45573</v>
      </c>
      <c r="BD122" s="104">
        <v>4.32</v>
      </c>
      <c r="BE122" s="106">
        <v>45604</v>
      </c>
      <c r="BF122" s="102"/>
      <c r="BG122" s="103" t="s">
        <v>1356</v>
      </c>
      <c r="BH122" s="104"/>
      <c r="BI122" s="106"/>
      <c r="BJ122" s="104"/>
      <c r="BK122" s="106"/>
      <c r="BL122" s="102"/>
      <c r="BM122" s="103" t="s">
        <v>1356</v>
      </c>
      <c r="BN122" s="104"/>
      <c r="BO122" s="106"/>
      <c r="BP122" s="104"/>
      <c r="BQ122" s="106"/>
      <c r="BR122" s="102"/>
      <c r="BS122" s="103" t="s">
        <v>1356</v>
      </c>
      <c r="BT122" s="104"/>
      <c r="BU122" s="106"/>
      <c r="BV122" s="104"/>
      <c r="BW122" s="106"/>
      <c r="BX122" s="121"/>
      <c r="BY122" s="122" t="s">
        <v>1356</v>
      </c>
      <c r="BZ122" s="123"/>
      <c r="CA122" s="124"/>
      <c r="CB122" s="123"/>
      <c r="CC122" s="124"/>
      <c r="CD122" s="121"/>
      <c r="CE122" s="122" t="s">
        <v>1356</v>
      </c>
      <c r="CF122" s="123"/>
      <c r="CG122" s="124"/>
      <c r="CH122" s="123"/>
      <c r="CI122" s="124"/>
      <c r="CJ122" s="121"/>
      <c r="CK122" s="122" t="s">
        <v>1356</v>
      </c>
      <c r="CL122" s="123"/>
      <c r="CM122" s="124"/>
      <c r="CN122" s="123"/>
      <c r="CO122" s="124"/>
      <c r="CP122" s="121"/>
      <c r="CQ122" s="122" t="s">
        <v>1356</v>
      </c>
      <c r="CR122" s="123"/>
      <c r="CS122" s="124"/>
      <c r="CT122" s="123"/>
      <c r="CU122" s="124"/>
      <c r="CV122" s="121"/>
      <c r="CW122" s="122" t="s">
        <v>1356</v>
      </c>
      <c r="CX122" s="123"/>
      <c r="CY122" s="124"/>
      <c r="CZ122" s="123"/>
      <c r="DA122" s="124"/>
      <c r="DB122" s="129" t="s">
        <v>6962</v>
      </c>
      <c r="DC122" s="129" t="s">
        <v>105</v>
      </c>
    </row>
    <row r="123" spans="1:107" s="40" customFormat="1" ht="14.55" customHeight="1" x14ac:dyDescent="0.3">
      <c r="A123" s="66" t="s">
        <v>3500</v>
      </c>
      <c r="B123" s="66" t="s">
        <v>3589</v>
      </c>
      <c r="C123" s="66" t="s">
        <v>3590</v>
      </c>
      <c r="D123" s="66" t="s">
        <v>529</v>
      </c>
      <c r="E123" s="66" t="s">
        <v>530</v>
      </c>
      <c r="F123" s="66" t="s">
        <v>134</v>
      </c>
      <c r="G123" s="68" t="s">
        <v>72</v>
      </c>
      <c r="H123" s="43" t="s">
        <v>251</v>
      </c>
      <c r="I123" s="68">
        <v>1701</v>
      </c>
      <c r="J123" s="68">
        <v>170150</v>
      </c>
      <c r="K123" s="69">
        <v>4</v>
      </c>
      <c r="L123" s="66" t="s">
        <v>531</v>
      </c>
      <c r="M123" s="66" t="s">
        <v>532</v>
      </c>
      <c r="N123" s="66" t="s">
        <v>533</v>
      </c>
      <c r="O123" s="66"/>
      <c r="P123" s="66"/>
      <c r="Q123" s="66" t="s">
        <v>534</v>
      </c>
      <c r="R123" s="66" t="s">
        <v>535</v>
      </c>
      <c r="S123" s="66"/>
      <c r="T123" s="66"/>
      <c r="U123" s="66"/>
      <c r="V123" s="66"/>
      <c r="W123" s="66" t="s">
        <v>536</v>
      </c>
      <c r="X123" s="66" t="s">
        <v>537</v>
      </c>
      <c r="Y123" s="66" t="s">
        <v>538</v>
      </c>
      <c r="Z123" s="66"/>
      <c r="AA123" s="66"/>
      <c r="AB123" s="66">
        <v>170150043</v>
      </c>
      <c r="AC123" s="66">
        <v>170150043005</v>
      </c>
      <c r="AD123" s="66">
        <v>170150043005008</v>
      </c>
      <c r="AE123" s="69">
        <v>4</v>
      </c>
      <c r="AF123" s="69" t="s">
        <v>499</v>
      </c>
      <c r="AG123" s="46" t="s">
        <v>66</v>
      </c>
      <c r="AH123" s="70" t="s">
        <v>539</v>
      </c>
      <c r="AI123" s="71" t="s">
        <v>66</v>
      </c>
      <c r="AJ123" s="49" t="s">
        <v>6938</v>
      </c>
      <c r="AK123" s="50" t="s">
        <v>67</v>
      </c>
      <c r="AL123" s="58">
        <v>45573</v>
      </c>
      <c r="AM123" s="52" t="s">
        <v>66</v>
      </c>
      <c r="AN123" s="52"/>
      <c r="AO123" s="52"/>
      <c r="AP123" s="52"/>
      <c r="AQ123" s="53">
        <f t="shared" si="6"/>
        <v>2</v>
      </c>
      <c r="AR123" s="54">
        <f t="shared" si="7"/>
        <v>0</v>
      </c>
      <c r="AS123" s="55">
        <f t="shared" si="8"/>
        <v>2</v>
      </c>
      <c r="AT123" s="102" t="s">
        <v>540</v>
      </c>
      <c r="AU123" s="103" t="s">
        <v>2205</v>
      </c>
      <c r="AV123" s="104">
        <v>1.1299999999999999</v>
      </c>
      <c r="AW123" s="105">
        <v>45573</v>
      </c>
      <c r="AX123" s="104">
        <v>1.1299999999999999</v>
      </c>
      <c r="AY123" s="106">
        <v>45604</v>
      </c>
      <c r="AZ123" s="102" t="s">
        <v>541</v>
      </c>
      <c r="BA123" s="103" t="s">
        <v>6747</v>
      </c>
      <c r="BB123" s="104">
        <v>5.37</v>
      </c>
      <c r="BC123" s="106">
        <v>45573</v>
      </c>
      <c r="BD123" s="104">
        <v>5.37</v>
      </c>
      <c r="BE123" s="106">
        <v>45604</v>
      </c>
      <c r="BF123" s="102"/>
      <c r="BG123" s="103" t="s">
        <v>1356</v>
      </c>
      <c r="BH123" s="104"/>
      <c r="BI123" s="106"/>
      <c r="BJ123" s="104"/>
      <c r="BK123" s="106"/>
      <c r="BL123" s="102"/>
      <c r="BM123" s="103" t="s">
        <v>1356</v>
      </c>
      <c r="BN123" s="104"/>
      <c r="BO123" s="106"/>
      <c r="BP123" s="104"/>
      <c r="BQ123" s="106"/>
      <c r="BR123" s="102"/>
      <c r="BS123" s="103" t="s">
        <v>1356</v>
      </c>
      <c r="BT123" s="104"/>
      <c r="BU123" s="106"/>
      <c r="BV123" s="104"/>
      <c r="BW123" s="106"/>
      <c r="BX123" s="121"/>
      <c r="BY123" s="122" t="s">
        <v>1356</v>
      </c>
      <c r="BZ123" s="123"/>
      <c r="CA123" s="124"/>
      <c r="CB123" s="123"/>
      <c r="CC123" s="124"/>
      <c r="CD123" s="121"/>
      <c r="CE123" s="122" t="s">
        <v>1356</v>
      </c>
      <c r="CF123" s="123"/>
      <c r="CG123" s="124"/>
      <c r="CH123" s="123"/>
      <c r="CI123" s="124"/>
      <c r="CJ123" s="121"/>
      <c r="CK123" s="122" t="s">
        <v>1356</v>
      </c>
      <c r="CL123" s="123"/>
      <c r="CM123" s="124"/>
      <c r="CN123" s="123"/>
      <c r="CO123" s="124"/>
      <c r="CP123" s="121"/>
      <c r="CQ123" s="122" t="s">
        <v>1356</v>
      </c>
      <c r="CR123" s="123"/>
      <c r="CS123" s="124"/>
      <c r="CT123" s="123"/>
      <c r="CU123" s="124"/>
      <c r="CV123" s="121"/>
      <c r="CW123" s="122" t="s">
        <v>1356</v>
      </c>
      <c r="CX123" s="123"/>
      <c r="CY123" s="124"/>
      <c r="CZ123" s="123"/>
      <c r="DA123" s="124"/>
      <c r="DB123" s="129" t="s">
        <v>6962</v>
      </c>
      <c r="DC123" s="129" t="s">
        <v>105</v>
      </c>
    </row>
    <row r="124" spans="1:107" s="40" customFormat="1" ht="14.55" customHeight="1" x14ac:dyDescent="0.3">
      <c r="A124" s="66" t="s">
        <v>3500</v>
      </c>
      <c r="B124" s="66" t="s">
        <v>3591</v>
      </c>
      <c r="C124" s="66" t="s">
        <v>3592</v>
      </c>
      <c r="D124" s="66" t="s">
        <v>542</v>
      </c>
      <c r="E124" s="66" t="s">
        <v>543</v>
      </c>
      <c r="F124" s="66" t="s">
        <v>134</v>
      </c>
      <c r="G124" s="68" t="s">
        <v>72</v>
      </c>
      <c r="H124" s="43" t="s">
        <v>251</v>
      </c>
      <c r="I124" s="68">
        <v>1701</v>
      </c>
      <c r="J124" s="68">
        <v>170150</v>
      </c>
      <c r="K124" s="69">
        <v>4</v>
      </c>
      <c r="L124" s="66" t="s">
        <v>544</v>
      </c>
      <c r="M124" s="66" t="s">
        <v>545</v>
      </c>
      <c r="N124" s="66" t="s">
        <v>546</v>
      </c>
      <c r="O124" s="66"/>
      <c r="P124" s="66"/>
      <c r="Q124" s="66" t="s">
        <v>547</v>
      </c>
      <c r="R124" s="66" t="s">
        <v>403</v>
      </c>
      <c r="S124" s="66"/>
      <c r="T124" s="66" t="s">
        <v>548</v>
      </c>
      <c r="U124" s="66" t="s">
        <v>548</v>
      </c>
      <c r="V124" s="66"/>
      <c r="W124" s="66" t="s">
        <v>549</v>
      </c>
      <c r="X124" s="66" t="s">
        <v>550</v>
      </c>
      <c r="Y124" s="66" t="s">
        <v>551</v>
      </c>
      <c r="Z124" s="66"/>
      <c r="AA124" s="66"/>
      <c r="AB124" s="66">
        <v>170150131</v>
      </c>
      <c r="AC124" s="66">
        <v>170150131003</v>
      </c>
      <c r="AD124" s="66">
        <v>170150131003001</v>
      </c>
      <c r="AE124" s="69">
        <v>4</v>
      </c>
      <c r="AF124" s="69" t="s">
        <v>499</v>
      </c>
      <c r="AG124" s="46" t="s">
        <v>66</v>
      </c>
      <c r="AH124" s="70" t="s">
        <v>552</v>
      </c>
      <c r="AI124" s="71" t="s">
        <v>66</v>
      </c>
      <c r="AJ124" s="49" t="s">
        <v>6938</v>
      </c>
      <c r="AK124" s="50" t="s">
        <v>67</v>
      </c>
      <c r="AL124" s="58">
        <v>45573</v>
      </c>
      <c r="AM124" s="52" t="s">
        <v>66</v>
      </c>
      <c r="AN124" s="52"/>
      <c r="AO124" s="52"/>
      <c r="AP124" s="52"/>
      <c r="AQ124" s="53">
        <f t="shared" si="6"/>
        <v>2</v>
      </c>
      <c r="AR124" s="54">
        <f t="shared" si="7"/>
        <v>0</v>
      </c>
      <c r="AS124" s="55">
        <f t="shared" si="8"/>
        <v>2</v>
      </c>
      <c r="AT124" s="102" t="s">
        <v>553</v>
      </c>
      <c r="AU124" s="103" t="s">
        <v>6712</v>
      </c>
      <c r="AV124" s="104">
        <v>8.41</v>
      </c>
      <c r="AW124" s="105">
        <v>45573</v>
      </c>
      <c r="AX124" s="104">
        <v>8.41</v>
      </c>
      <c r="AY124" s="106">
        <v>45604</v>
      </c>
      <c r="AZ124" s="102" t="s">
        <v>553</v>
      </c>
      <c r="BA124" s="103" t="s">
        <v>6712</v>
      </c>
      <c r="BB124" s="104">
        <v>8.15</v>
      </c>
      <c r="BC124" s="106">
        <v>45573</v>
      </c>
      <c r="BD124" s="104">
        <v>8.15</v>
      </c>
      <c r="BE124" s="106">
        <v>45604</v>
      </c>
      <c r="BF124" s="102"/>
      <c r="BG124" s="103" t="s">
        <v>1356</v>
      </c>
      <c r="BH124" s="104"/>
      <c r="BI124" s="106"/>
      <c r="BJ124" s="104"/>
      <c r="BK124" s="106"/>
      <c r="BL124" s="102"/>
      <c r="BM124" s="103" t="s">
        <v>1356</v>
      </c>
      <c r="BN124" s="104"/>
      <c r="BO124" s="106"/>
      <c r="BP124" s="104"/>
      <c r="BQ124" s="106"/>
      <c r="BR124" s="102"/>
      <c r="BS124" s="103" t="s">
        <v>1356</v>
      </c>
      <c r="BT124" s="104"/>
      <c r="BU124" s="106"/>
      <c r="BV124" s="104"/>
      <c r="BW124" s="106"/>
      <c r="BX124" s="121"/>
      <c r="BY124" s="122" t="s">
        <v>1356</v>
      </c>
      <c r="BZ124" s="123"/>
      <c r="CA124" s="124"/>
      <c r="CB124" s="123"/>
      <c r="CC124" s="124"/>
      <c r="CD124" s="121"/>
      <c r="CE124" s="122" t="s">
        <v>1356</v>
      </c>
      <c r="CF124" s="123"/>
      <c r="CG124" s="124"/>
      <c r="CH124" s="123"/>
      <c r="CI124" s="124"/>
      <c r="CJ124" s="121"/>
      <c r="CK124" s="122" t="s">
        <v>1356</v>
      </c>
      <c r="CL124" s="123"/>
      <c r="CM124" s="124"/>
      <c r="CN124" s="123"/>
      <c r="CO124" s="124"/>
      <c r="CP124" s="121"/>
      <c r="CQ124" s="122" t="s">
        <v>1356</v>
      </c>
      <c r="CR124" s="123"/>
      <c r="CS124" s="124"/>
      <c r="CT124" s="123"/>
      <c r="CU124" s="124"/>
      <c r="CV124" s="121"/>
      <c r="CW124" s="122" t="s">
        <v>1356</v>
      </c>
      <c r="CX124" s="123"/>
      <c r="CY124" s="124"/>
      <c r="CZ124" s="123"/>
      <c r="DA124" s="124"/>
      <c r="DB124" s="129" t="s">
        <v>6962</v>
      </c>
      <c r="DC124" s="129" t="s">
        <v>105</v>
      </c>
    </row>
    <row r="125" spans="1:107" s="40" customFormat="1" ht="14.55" customHeight="1" x14ac:dyDescent="0.3">
      <c r="A125" s="42" t="s">
        <v>4219</v>
      </c>
      <c r="B125" s="42" t="s">
        <v>4650</v>
      </c>
      <c r="C125" s="42" t="s">
        <v>4651</v>
      </c>
      <c r="D125" s="42" t="s">
        <v>4652</v>
      </c>
      <c r="E125" s="42" t="s">
        <v>4653</v>
      </c>
      <c r="F125" s="42" t="s">
        <v>734</v>
      </c>
      <c r="G125" s="42" t="s">
        <v>4237</v>
      </c>
      <c r="H125" s="43" t="s">
        <v>686</v>
      </c>
      <c r="I125" s="44">
        <v>901</v>
      </c>
      <c r="J125" s="44">
        <v>90150</v>
      </c>
      <c r="K125" s="45">
        <v>4</v>
      </c>
      <c r="L125" s="42" t="s">
        <v>4654</v>
      </c>
      <c r="M125" s="42" t="s">
        <v>4655</v>
      </c>
      <c r="N125" s="42" t="s">
        <v>4656</v>
      </c>
      <c r="O125" s="42" t="s">
        <v>4655</v>
      </c>
      <c r="P125" s="42" t="s">
        <v>4657</v>
      </c>
      <c r="Q125" s="42" t="s">
        <v>4658</v>
      </c>
      <c r="R125" s="42"/>
      <c r="S125" s="42"/>
      <c r="T125" s="42" t="s">
        <v>4657</v>
      </c>
      <c r="U125" s="42" t="s">
        <v>4485</v>
      </c>
      <c r="V125" s="42" t="s">
        <v>4629</v>
      </c>
      <c r="W125" s="42" t="s">
        <v>4659</v>
      </c>
      <c r="X125" s="42"/>
      <c r="Y125" s="42" t="s">
        <v>4660</v>
      </c>
      <c r="Z125" s="42"/>
      <c r="AA125" s="42"/>
      <c r="AB125" s="42"/>
      <c r="AC125" s="42"/>
      <c r="AD125" s="42"/>
      <c r="AE125" s="45">
        <v>2</v>
      </c>
      <c r="AF125" s="45" t="s">
        <v>64</v>
      </c>
      <c r="AG125" s="46" t="s">
        <v>66</v>
      </c>
      <c r="AH125" s="47" t="s">
        <v>6951</v>
      </c>
      <c r="AI125" s="48" t="s">
        <v>66</v>
      </c>
      <c r="AJ125" s="49" t="s">
        <v>6938</v>
      </c>
      <c r="AK125" s="50" t="s">
        <v>67</v>
      </c>
      <c r="AL125" s="58">
        <v>45573</v>
      </c>
      <c r="AM125" s="52" t="s">
        <v>66</v>
      </c>
      <c r="AN125" s="42"/>
      <c r="AO125" s="42"/>
      <c r="AP125" s="42"/>
      <c r="AQ125" s="53">
        <f t="shared" si="6"/>
        <v>0</v>
      </c>
      <c r="AR125" s="54">
        <f t="shared" si="7"/>
        <v>3</v>
      </c>
      <c r="AS125" s="55">
        <f t="shared" si="8"/>
        <v>3</v>
      </c>
      <c r="AT125" s="96"/>
      <c r="AU125" s="96" t="s">
        <v>1356</v>
      </c>
      <c r="AV125" s="96"/>
      <c r="AW125" s="97"/>
      <c r="AX125" s="96"/>
      <c r="AY125" s="98"/>
      <c r="AZ125" s="96"/>
      <c r="BA125" s="96" t="s">
        <v>1356</v>
      </c>
      <c r="BB125" s="96"/>
      <c r="BC125" s="98"/>
      <c r="BD125" s="96"/>
      <c r="BE125" s="98"/>
      <c r="BF125" s="96"/>
      <c r="BG125" s="96" t="s">
        <v>1356</v>
      </c>
      <c r="BH125" s="96"/>
      <c r="BI125" s="98"/>
      <c r="BJ125" s="96"/>
      <c r="BK125" s="98"/>
      <c r="BL125" s="96"/>
      <c r="BM125" s="96" t="s">
        <v>1356</v>
      </c>
      <c r="BN125" s="96"/>
      <c r="BO125" s="98"/>
      <c r="BP125" s="96"/>
      <c r="BQ125" s="98"/>
      <c r="BR125" s="96"/>
      <c r="BS125" s="96" t="s">
        <v>1356</v>
      </c>
      <c r="BT125" s="96"/>
      <c r="BU125" s="98"/>
      <c r="BV125" s="96"/>
      <c r="BW125" s="98"/>
      <c r="BX125" s="117" t="s">
        <v>1326</v>
      </c>
      <c r="BY125" s="117" t="s">
        <v>4661</v>
      </c>
      <c r="BZ125" s="117">
        <v>148.21</v>
      </c>
      <c r="CA125" s="118">
        <v>45602</v>
      </c>
      <c r="CB125" s="117"/>
      <c r="CC125" s="118"/>
      <c r="CD125" s="117" t="s">
        <v>1326</v>
      </c>
      <c r="CE125" s="117" t="s">
        <v>4661</v>
      </c>
      <c r="CF125" s="117">
        <v>251.79</v>
      </c>
      <c r="CG125" s="118">
        <v>45602</v>
      </c>
      <c r="CH125" s="117"/>
      <c r="CI125" s="118"/>
      <c r="CJ125" s="117" t="s">
        <v>1326</v>
      </c>
      <c r="CK125" s="117" t="s">
        <v>4661</v>
      </c>
      <c r="CL125" s="117">
        <v>291.95999999999998</v>
      </c>
      <c r="CM125" s="118">
        <v>45602</v>
      </c>
      <c r="CN125" s="117"/>
      <c r="CO125" s="118"/>
      <c r="CP125" s="117"/>
      <c r="CQ125" s="117" t="s">
        <v>1356</v>
      </c>
      <c r="CR125" s="117"/>
      <c r="CS125" s="118"/>
      <c r="CT125" s="117"/>
      <c r="CU125" s="118"/>
      <c r="CV125" s="117"/>
      <c r="CW125" s="117" t="s">
        <v>1356</v>
      </c>
      <c r="CX125" s="117"/>
      <c r="CY125" s="118"/>
      <c r="CZ125" s="117"/>
      <c r="DA125" s="118"/>
      <c r="DB125" s="129" t="s">
        <v>6962</v>
      </c>
      <c r="DC125" s="130" t="s">
        <v>105</v>
      </c>
    </row>
    <row r="126" spans="1:107" s="40" customFormat="1" ht="14.55" customHeight="1" x14ac:dyDescent="0.3">
      <c r="A126" s="42" t="s">
        <v>4219</v>
      </c>
      <c r="B126" s="42" t="s">
        <v>4820</v>
      </c>
      <c r="C126" s="42" t="s">
        <v>4821</v>
      </c>
      <c r="D126" s="42" t="s">
        <v>4822</v>
      </c>
      <c r="E126" s="42"/>
      <c r="F126" s="42" t="s">
        <v>1453</v>
      </c>
      <c r="G126" s="42" t="s">
        <v>4230</v>
      </c>
      <c r="H126" s="43" t="s">
        <v>6934</v>
      </c>
      <c r="I126" s="44">
        <v>2403</v>
      </c>
      <c r="J126" s="44">
        <v>240350</v>
      </c>
      <c r="K126" s="45">
        <v>4</v>
      </c>
      <c r="L126" s="42" t="s">
        <v>4823</v>
      </c>
      <c r="M126" s="42"/>
      <c r="N126" s="42"/>
      <c r="O126" s="42" t="s">
        <v>403</v>
      </c>
      <c r="P126" s="42"/>
      <c r="Q126" s="42"/>
      <c r="R126" s="42" t="s">
        <v>60</v>
      </c>
      <c r="S126" s="42"/>
      <c r="T126" s="42" t="s">
        <v>4824</v>
      </c>
      <c r="U126" s="42"/>
      <c r="V126" s="42"/>
      <c r="W126" s="42" t="s">
        <v>4825</v>
      </c>
      <c r="X126" s="42" t="s">
        <v>4826</v>
      </c>
      <c r="Y126" s="42" t="s">
        <v>4827</v>
      </c>
      <c r="Z126" s="42">
        <v>-80.945420265197754</v>
      </c>
      <c r="AA126" s="42">
        <v>-2.232406139977877</v>
      </c>
      <c r="AB126" s="42"/>
      <c r="AC126" s="42"/>
      <c r="AD126" s="42"/>
      <c r="AE126" s="45">
        <v>3</v>
      </c>
      <c r="AF126" s="45" t="s">
        <v>377</v>
      </c>
      <c r="AG126" s="46" t="s">
        <v>66</v>
      </c>
      <c r="AH126" s="47" t="s">
        <v>6952</v>
      </c>
      <c r="AI126" s="48" t="s">
        <v>66</v>
      </c>
      <c r="AJ126" s="49" t="s">
        <v>6938</v>
      </c>
      <c r="AK126" s="50" t="s">
        <v>67</v>
      </c>
      <c r="AL126" s="34">
        <v>45573</v>
      </c>
      <c r="AM126" s="52" t="s">
        <v>66</v>
      </c>
      <c r="AN126" s="42"/>
      <c r="AO126" s="42"/>
      <c r="AP126" s="42"/>
      <c r="AQ126" s="53">
        <f t="shared" si="6"/>
        <v>0</v>
      </c>
      <c r="AR126" s="54">
        <f t="shared" si="7"/>
        <v>1</v>
      </c>
      <c r="AS126" s="55">
        <f t="shared" si="8"/>
        <v>1</v>
      </c>
      <c r="AT126" s="96"/>
      <c r="AU126" s="96" t="s">
        <v>1356</v>
      </c>
      <c r="AV126" s="96"/>
      <c r="AW126" s="97"/>
      <c r="AX126" s="96"/>
      <c r="AY126" s="98"/>
      <c r="AZ126" s="96"/>
      <c r="BA126" s="96" t="s">
        <v>1356</v>
      </c>
      <c r="BB126" s="96"/>
      <c r="BC126" s="98"/>
      <c r="BD126" s="96"/>
      <c r="BE126" s="98"/>
      <c r="BF126" s="96"/>
      <c r="BG126" s="96" t="s">
        <v>1356</v>
      </c>
      <c r="BH126" s="96"/>
      <c r="BI126" s="98"/>
      <c r="BJ126" s="96"/>
      <c r="BK126" s="98"/>
      <c r="BL126" s="96"/>
      <c r="BM126" s="96" t="s">
        <v>1356</v>
      </c>
      <c r="BN126" s="96"/>
      <c r="BO126" s="98"/>
      <c r="BP126" s="96"/>
      <c r="BQ126" s="98"/>
      <c r="BR126" s="96"/>
      <c r="BS126" s="96" t="s">
        <v>1356</v>
      </c>
      <c r="BT126" s="96"/>
      <c r="BU126" s="98"/>
      <c r="BV126" s="96"/>
      <c r="BW126" s="98"/>
      <c r="BX126" s="117" t="s">
        <v>4828</v>
      </c>
      <c r="BY126" s="117" t="s">
        <v>4829</v>
      </c>
      <c r="BZ126" s="117">
        <v>12</v>
      </c>
      <c r="CA126" s="118">
        <v>45597</v>
      </c>
      <c r="CB126" s="117"/>
      <c r="CC126" s="118"/>
      <c r="CD126" s="117"/>
      <c r="CE126" s="117" t="s">
        <v>1356</v>
      </c>
      <c r="CF126" s="117"/>
      <c r="CG126" s="118"/>
      <c r="CH126" s="117"/>
      <c r="CI126" s="118"/>
      <c r="CJ126" s="117"/>
      <c r="CK126" s="117" t="s">
        <v>1356</v>
      </c>
      <c r="CL126" s="117"/>
      <c r="CM126" s="118"/>
      <c r="CN126" s="117"/>
      <c r="CO126" s="118"/>
      <c r="CP126" s="117"/>
      <c r="CQ126" s="117" t="s">
        <v>1356</v>
      </c>
      <c r="CR126" s="117"/>
      <c r="CS126" s="118"/>
      <c r="CT126" s="117"/>
      <c r="CU126" s="118"/>
      <c r="CV126" s="117"/>
      <c r="CW126" s="117" t="s">
        <v>1356</v>
      </c>
      <c r="CX126" s="117"/>
      <c r="CY126" s="118"/>
      <c r="CZ126" s="117"/>
      <c r="DA126" s="118"/>
      <c r="DB126" s="129" t="s">
        <v>6962</v>
      </c>
      <c r="DC126" s="130" t="s">
        <v>105</v>
      </c>
    </row>
    <row r="127" spans="1:107" s="40" customFormat="1" ht="14.55" customHeight="1" x14ac:dyDescent="0.3">
      <c r="A127" s="42" t="s">
        <v>4219</v>
      </c>
      <c r="B127" s="42" t="s">
        <v>5539</v>
      </c>
      <c r="C127" s="42" t="s">
        <v>5540</v>
      </c>
      <c r="D127" s="42" t="s">
        <v>5541</v>
      </c>
      <c r="E127" s="42" t="s">
        <v>5542</v>
      </c>
      <c r="F127" s="42" t="s">
        <v>220</v>
      </c>
      <c r="G127" s="42" t="s">
        <v>4237</v>
      </c>
      <c r="H127" s="43" t="s">
        <v>686</v>
      </c>
      <c r="I127" s="44">
        <v>901</v>
      </c>
      <c r="J127" s="44">
        <v>90150</v>
      </c>
      <c r="K127" s="45">
        <v>4</v>
      </c>
      <c r="L127" s="42" t="s">
        <v>5543</v>
      </c>
      <c r="M127" s="42" t="s">
        <v>258</v>
      </c>
      <c r="N127" s="42" t="s">
        <v>5544</v>
      </c>
      <c r="O127" s="42"/>
      <c r="P127" s="42"/>
      <c r="Q127" s="42" t="s">
        <v>5545</v>
      </c>
      <c r="R127" s="42" t="s">
        <v>60</v>
      </c>
      <c r="S127" s="42"/>
      <c r="T127" s="42" t="s">
        <v>5546</v>
      </c>
      <c r="U127" s="42"/>
      <c r="V127" s="42"/>
      <c r="W127" s="42" t="s">
        <v>5547</v>
      </c>
      <c r="X127" s="42" t="s">
        <v>5548</v>
      </c>
      <c r="Y127" s="42" t="s">
        <v>5549</v>
      </c>
      <c r="Z127" s="42"/>
      <c r="AA127" s="42"/>
      <c r="AB127" s="42">
        <v>90150315</v>
      </c>
      <c r="AC127" s="42">
        <v>90150315010</v>
      </c>
      <c r="AD127" s="42">
        <v>90150315010009</v>
      </c>
      <c r="AE127" s="45">
        <v>5</v>
      </c>
      <c r="AF127" s="45" t="s">
        <v>772</v>
      </c>
      <c r="AG127" s="46" t="s">
        <v>66</v>
      </c>
      <c r="AH127" s="47" t="s">
        <v>5550</v>
      </c>
      <c r="AI127" s="48" t="s">
        <v>66</v>
      </c>
      <c r="AJ127" s="49" t="s">
        <v>6938</v>
      </c>
      <c r="AK127" s="50" t="s">
        <v>67</v>
      </c>
      <c r="AL127" s="34">
        <v>45573</v>
      </c>
      <c r="AM127" s="52" t="s">
        <v>66</v>
      </c>
      <c r="AN127" s="42"/>
      <c r="AO127" s="42"/>
      <c r="AP127" s="42"/>
      <c r="AQ127" s="53">
        <f t="shared" si="6"/>
        <v>2</v>
      </c>
      <c r="AR127" s="54">
        <f t="shared" si="7"/>
        <v>0</v>
      </c>
      <c r="AS127" s="55">
        <f t="shared" si="8"/>
        <v>2</v>
      </c>
      <c r="AT127" s="96" t="s">
        <v>6788</v>
      </c>
      <c r="AU127" s="96" t="s">
        <v>6789</v>
      </c>
      <c r="AV127" s="96" t="s">
        <v>6790</v>
      </c>
      <c r="AW127" s="97" t="s">
        <v>6791</v>
      </c>
      <c r="AX127" s="96" t="s">
        <v>6790</v>
      </c>
      <c r="AY127" s="98" t="s">
        <v>6792</v>
      </c>
      <c r="AZ127" s="96" t="s">
        <v>6788</v>
      </c>
      <c r="BA127" s="96" t="s">
        <v>6789</v>
      </c>
      <c r="BB127" s="96" t="s">
        <v>6793</v>
      </c>
      <c r="BC127" s="98" t="s">
        <v>6794</v>
      </c>
      <c r="BD127" s="96" t="s">
        <v>6793</v>
      </c>
      <c r="BE127" s="98" t="s">
        <v>6794</v>
      </c>
      <c r="BF127" s="96"/>
      <c r="BG127" s="96" t="s">
        <v>1356</v>
      </c>
      <c r="BH127" s="96"/>
      <c r="BI127" s="98"/>
      <c r="BJ127" s="96"/>
      <c r="BK127" s="98"/>
      <c r="BL127" s="96"/>
      <c r="BM127" s="96" t="s">
        <v>1356</v>
      </c>
      <c r="BN127" s="96"/>
      <c r="BO127" s="98"/>
      <c r="BP127" s="96"/>
      <c r="BQ127" s="98"/>
      <c r="BR127" s="96"/>
      <c r="BS127" s="96" t="s">
        <v>1356</v>
      </c>
      <c r="BT127" s="96"/>
      <c r="BU127" s="98"/>
      <c r="BV127" s="96"/>
      <c r="BW127" s="98"/>
      <c r="BX127" s="117"/>
      <c r="BY127" s="117" t="s">
        <v>1356</v>
      </c>
      <c r="BZ127" s="117"/>
      <c r="CA127" s="118"/>
      <c r="CB127" s="117"/>
      <c r="CC127" s="118"/>
      <c r="CD127" s="117"/>
      <c r="CE127" s="117" t="s">
        <v>1356</v>
      </c>
      <c r="CF127" s="117"/>
      <c r="CG127" s="118"/>
      <c r="CH127" s="117"/>
      <c r="CI127" s="118"/>
      <c r="CJ127" s="117"/>
      <c r="CK127" s="117" t="s">
        <v>1356</v>
      </c>
      <c r="CL127" s="117"/>
      <c r="CM127" s="118"/>
      <c r="CN127" s="117"/>
      <c r="CO127" s="118"/>
      <c r="CP127" s="117"/>
      <c r="CQ127" s="117" t="s">
        <v>1356</v>
      </c>
      <c r="CR127" s="117"/>
      <c r="CS127" s="118"/>
      <c r="CT127" s="117"/>
      <c r="CU127" s="118"/>
      <c r="CV127" s="117"/>
      <c r="CW127" s="117" t="s">
        <v>1356</v>
      </c>
      <c r="CX127" s="117"/>
      <c r="CY127" s="118"/>
      <c r="CZ127" s="117"/>
      <c r="DA127" s="118"/>
      <c r="DB127" s="129" t="s">
        <v>6962</v>
      </c>
      <c r="DC127" s="130" t="s">
        <v>105</v>
      </c>
    </row>
    <row r="128" spans="1:107" s="40" customFormat="1" ht="14.55" customHeight="1" x14ac:dyDescent="0.3">
      <c r="A128" s="42" t="s">
        <v>4219</v>
      </c>
      <c r="B128" s="42" t="s">
        <v>5713</v>
      </c>
      <c r="C128" s="42" t="s">
        <v>5714</v>
      </c>
      <c r="D128" s="42" t="s">
        <v>5715</v>
      </c>
      <c r="E128" s="42" t="s">
        <v>5716</v>
      </c>
      <c r="F128" s="42" t="s">
        <v>1103</v>
      </c>
      <c r="G128" s="42" t="s">
        <v>4237</v>
      </c>
      <c r="H128" s="43" t="s">
        <v>686</v>
      </c>
      <c r="I128" s="44">
        <v>901</v>
      </c>
      <c r="J128" s="44">
        <v>90150</v>
      </c>
      <c r="K128" s="45">
        <v>4</v>
      </c>
      <c r="L128" s="42" t="s">
        <v>5717</v>
      </c>
      <c r="M128" s="42" t="s">
        <v>5718</v>
      </c>
      <c r="N128" s="42" t="s">
        <v>258</v>
      </c>
      <c r="O128" s="42" t="s">
        <v>5439</v>
      </c>
      <c r="P128" s="42" t="s">
        <v>5503</v>
      </c>
      <c r="Q128" s="42" t="s">
        <v>5719</v>
      </c>
      <c r="R128" s="42" t="s">
        <v>60</v>
      </c>
      <c r="S128" s="42"/>
      <c r="T128" s="42"/>
      <c r="U128" s="42"/>
      <c r="V128" s="42" t="s">
        <v>2448</v>
      </c>
      <c r="W128" s="42" t="s">
        <v>5720</v>
      </c>
      <c r="X128" s="42" t="s">
        <v>5721</v>
      </c>
      <c r="Y128" s="42" t="s">
        <v>5722</v>
      </c>
      <c r="Z128" s="42"/>
      <c r="AA128" s="42"/>
      <c r="AB128" s="42">
        <v>90150517</v>
      </c>
      <c r="AC128" s="42">
        <v>90150517006</v>
      </c>
      <c r="AD128" s="42">
        <v>90150517006027</v>
      </c>
      <c r="AE128" s="45">
        <v>5</v>
      </c>
      <c r="AF128" s="45" t="s">
        <v>772</v>
      </c>
      <c r="AG128" s="46" t="s">
        <v>66</v>
      </c>
      <c r="AH128" s="47" t="s">
        <v>5723</v>
      </c>
      <c r="AI128" s="48" t="s">
        <v>66</v>
      </c>
      <c r="AJ128" s="49" t="s">
        <v>6938</v>
      </c>
      <c r="AK128" s="50" t="s">
        <v>67</v>
      </c>
      <c r="AL128" s="34">
        <v>45573</v>
      </c>
      <c r="AM128" s="52" t="s">
        <v>66</v>
      </c>
      <c r="AN128" s="42"/>
      <c r="AO128" s="42"/>
      <c r="AP128" s="42"/>
      <c r="AQ128" s="53">
        <f t="shared" si="6"/>
        <v>2</v>
      </c>
      <c r="AR128" s="54">
        <f t="shared" si="7"/>
        <v>0</v>
      </c>
      <c r="AS128" s="55">
        <f t="shared" si="8"/>
        <v>2</v>
      </c>
      <c r="AT128" s="96" t="s">
        <v>1111</v>
      </c>
      <c r="AU128" s="96" t="s">
        <v>6717</v>
      </c>
      <c r="AV128" s="96" t="s">
        <v>6799</v>
      </c>
      <c r="AW128" s="97" t="s">
        <v>6796</v>
      </c>
      <c r="AX128" s="96" t="s">
        <v>6799</v>
      </c>
      <c r="AY128" s="98" t="s">
        <v>6796</v>
      </c>
      <c r="AZ128" s="96" t="s">
        <v>6800</v>
      </c>
      <c r="BA128" s="96" t="s">
        <v>6801</v>
      </c>
      <c r="BB128" s="96" t="s">
        <v>6802</v>
      </c>
      <c r="BC128" s="98" t="s">
        <v>6796</v>
      </c>
      <c r="BD128" s="96" t="s">
        <v>6802</v>
      </c>
      <c r="BE128" s="98" t="s">
        <v>6796</v>
      </c>
      <c r="BF128" s="96"/>
      <c r="BG128" s="96" t="s">
        <v>1356</v>
      </c>
      <c r="BH128" s="96"/>
      <c r="BI128" s="98"/>
      <c r="BJ128" s="96"/>
      <c r="BK128" s="98"/>
      <c r="BL128" s="96"/>
      <c r="BM128" s="96" t="s">
        <v>1356</v>
      </c>
      <c r="BN128" s="96"/>
      <c r="BO128" s="98"/>
      <c r="BP128" s="96"/>
      <c r="BQ128" s="98"/>
      <c r="BR128" s="96"/>
      <c r="BS128" s="96" t="s">
        <v>1356</v>
      </c>
      <c r="BT128" s="96"/>
      <c r="BU128" s="98"/>
      <c r="BV128" s="96"/>
      <c r="BW128" s="98"/>
      <c r="BX128" s="117"/>
      <c r="BY128" s="117" t="s">
        <v>1356</v>
      </c>
      <c r="BZ128" s="117"/>
      <c r="CA128" s="118"/>
      <c r="CB128" s="117"/>
      <c r="CC128" s="118"/>
      <c r="CD128" s="117"/>
      <c r="CE128" s="117" t="s">
        <v>1356</v>
      </c>
      <c r="CF128" s="117"/>
      <c r="CG128" s="118"/>
      <c r="CH128" s="117"/>
      <c r="CI128" s="118"/>
      <c r="CJ128" s="117"/>
      <c r="CK128" s="117" t="s">
        <v>1356</v>
      </c>
      <c r="CL128" s="117"/>
      <c r="CM128" s="118"/>
      <c r="CN128" s="117"/>
      <c r="CO128" s="118"/>
      <c r="CP128" s="117"/>
      <c r="CQ128" s="117" t="s">
        <v>1356</v>
      </c>
      <c r="CR128" s="117"/>
      <c r="CS128" s="118"/>
      <c r="CT128" s="117"/>
      <c r="CU128" s="118"/>
      <c r="CV128" s="117"/>
      <c r="CW128" s="117" t="s">
        <v>1356</v>
      </c>
      <c r="CX128" s="117"/>
      <c r="CY128" s="118"/>
      <c r="CZ128" s="117"/>
      <c r="DA128" s="118"/>
      <c r="DB128" s="129" t="s">
        <v>6962</v>
      </c>
      <c r="DC128" s="130" t="s">
        <v>105</v>
      </c>
    </row>
    <row r="129" spans="1:107" s="40" customFormat="1" ht="14.55" customHeight="1" x14ac:dyDescent="0.3">
      <c r="A129" s="25" t="s">
        <v>3500</v>
      </c>
      <c r="B129" s="25" t="s">
        <v>3740</v>
      </c>
      <c r="C129" s="25" t="s">
        <v>3741</v>
      </c>
      <c r="D129" s="25" t="s">
        <v>1348</v>
      </c>
      <c r="E129" s="25" t="s">
        <v>1349</v>
      </c>
      <c r="F129" s="25" t="s">
        <v>95</v>
      </c>
      <c r="G129" s="26" t="s">
        <v>72</v>
      </c>
      <c r="H129" s="27" t="s">
        <v>251</v>
      </c>
      <c r="I129" s="26">
        <v>1701</v>
      </c>
      <c r="J129" s="26">
        <v>170159</v>
      </c>
      <c r="K129" s="28">
        <v>4</v>
      </c>
      <c r="L129" s="25" t="s">
        <v>1350</v>
      </c>
      <c r="M129" s="25" t="s">
        <v>587</v>
      </c>
      <c r="N129" s="25" t="s">
        <v>1351</v>
      </c>
      <c r="O129" s="25"/>
      <c r="P129" s="25"/>
      <c r="Q129" s="25"/>
      <c r="R129" s="25"/>
      <c r="S129" s="25"/>
      <c r="T129" s="25"/>
      <c r="U129" s="25" t="s">
        <v>1352</v>
      </c>
      <c r="V129" s="25"/>
      <c r="W129" s="25" t="s">
        <v>1353</v>
      </c>
      <c r="X129" s="25" t="s">
        <v>1354</v>
      </c>
      <c r="Y129" s="25" t="s">
        <v>1355</v>
      </c>
      <c r="Z129" s="25">
        <v>-78.311620831473192</v>
      </c>
      <c r="AA129" s="25">
        <v>-0.1322499531223981</v>
      </c>
      <c r="AB129" s="25">
        <v>170159002</v>
      </c>
      <c r="AC129" s="25">
        <v>170159002007</v>
      </c>
      <c r="AD129" s="25">
        <v>170159002007006</v>
      </c>
      <c r="AE129" s="28">
        <v>3</v>
      </c>
      <c r="AF129" s="28" t="s">
        <v>377</v>
      </c>
      <c r="AG129" s="29" t="s">
        <v>65</v>
      </c>
      <c r="AH129" s="30"/>
      <c r="AI129" s="31" t="s">
        <v>66</v>
      </c>
      <c r="AJ129" s="32" t="s">
        <v>6938</v>
      </c>
      <c r="AK129" s="33" t="s">
        <v>67</v>
      </c>
      <c r="AL129" s="34">
        <v>45569</v>
      </c>
      <c r="AM129" s="36" t="s">
        <v>66</v>
      </c>
      <c r="AN129" s="36"/>
      <c r="AO129" s="36"/>
      <c r="AP129" s="36"/>
      <c r="AQ129" s="37">
        <f t="shared" si="6"/>
        <v>0</v>
      </c>
      <c r="AR129" s="38">
        <f t="shared" si="7"/>
        <v>0</v>
      </c>
      <c r="AS129" s="39">
        <f t="shared" si="8"/>
        <v>0</v>
      </c>
      <c r="AT129" s="91"/>
      <c r="AU129" s="92" t="s">
        <v>1356</v>
      </c>
      <c r="AV129" s="93"/>
      <c r="AW129" s="94"/>
      <c r="AX129" s="93"/>
      <c r="AY129" s="95"/>
      <c r="AZ129" s="91"/>
      <c r="BA129" s="92" t="s">
        <v>1356</v>
      </c>
      <c r="BB129" s="93"/>
      <c r="BC129" s="95"/>
      <c r="BD129" s="93"/>
      <c r="BE129" s="95"/>
      <c r="BF129" s="91"/>
      <c r="BG129" s="92" t="s">
        <v>1356</v>
      </c>
      <c r="BH129" s="93"/>
      <c r="BI129" s="95"/>
      <c r="BJ129" s="93"/>
      <c r="BK129" s="95"/>
      <c r="BL129" s="91"/>
      <c r="BM129" s="92" t="s">
        <v>1356</v>
      </c>
      <c r="BN129" s="93"/>
      <c r="BO129" s="95"/>
      <c r="BP129" s="93"/>
      <c r="BQ129" s="95"/>
      <c r="BR129" s="91"/>
      <c r="BS129" s="92" t="s">
        <v>1356</v>
      </c>
      <c r="BT129" s="93"/>
      <c r="BU129" s="95"/>
      <c r="BV129" s="93"/>
      <c r="BW129" s="95"/>
      <c r="BX129" s="113"/>
      <c r="BY129" s="114" t="s">
        <v>1356</v>
      </c>
      <c r="BZ129" s="115"/>
      <c r="CA129" s="116"/>
      <c r="CB129" s="115"/>
      <c r="CC129" s="116"/>
      <c r="CD129" s="113"/>
      <c r="CE129" s="114" t="s">
        <v>1356</v>
      </c>
      <c r="CF129" s="115"/>
      <c r="CG129" s="116"/>
      <c r="CH129" s="115"/>
      <c r="CI129" s="116"/>
      <c r="CJ129" s="113"/>
      <c r="CK129" s="114" t="s">
        <v>1356</v>
      </c>
      <c r="CL129" s="115"/>
      <c r="CM129" s="116"/>
      <c r="CN129" s="115"/>
      <c r="CO129" s="116"/>
      <c r="CP129" s="113"/>
      <c r="CQ129" s="114" t="s">
        <v>1356</v>
      </c>
      <c r="CR129" s="115"/>
      <c r="CS129" s="116"/>
      <c r="CT129" s="115"/>
      <c r="CU129" s="116"/>
      <c r="CV129" s="113"/>
      <c r="CW129" s="114" t="s">
        <v>1356</v>
      </c>
      <c r="CX129" s="115"/>
      <c r="CY129" s="116"/>
      <c r="CZ129" s="115"/>
      <c r="DA129" s="116"/>
      <c r="DB129" s="128" t="s">
        <v>7085</v>
      </c>
      <c r="DC129" s="128" t="s">
        <v>105</v>
      </c>
    </row>
    <row r="130" spans="1:107" s="40" customFormat="1" ht="14.55" customHeight="1" x14ac:dyDescent="0.3">
      <c r="A130" s="35" t="s">
        <v>4219</v>
      </c>
      <c r="B130" s="35" t="s">
        <v>6083</v>
      </c>
      <c r="C130" s="35" t="s">
        <v>6084</v>
      </c>
      <c r="D130" s="35" t="s">
        <v>6085</v>
      </c>
      <c r="E130" s="35" t="s">
        <v>6086</v>
      </c>
      <c r="F130" s="35" t="s">
        <v>1103</v>
      </c>
      <c r="G130" s="35" t="s">
        <v>4237</v>
      </c>
      <c r="H130" s="27" t="s">
        <v>686</v>
      </c>
      <c r="I130" s="62">
        <v>901</v>
      </c>
      <c r="J130" s="62">
        <v>90150</v>
      </c>
      <c r="K130" s="63">
        <v>4</v>
      </c>
      <c r="L130" s="35" t="s">
        <v>4483</v>
      </c>
      <c r="M130" s="35" t="s">
        <v>258</v>
      </c>
      <c r="N130" s="35" t="s">
        <v>258</v>
      </c>
      <c r="O130" s="35" t="s">
        <v>5728</v>
      </c>
      <c r="P130" s="35"/>
      <c r="Q130" s="35"/>
      <c r="R130" s="35" t="s">
        <v>60</v>
      </c>
      <c r="S130" s="35"/>
      <c r="T130" s="35"/>
      <c r="U130" s="35" t="s">
        <v>5914</v>
      </c>
      <c r="V130" s="35"/>
      <c r="W130" s="35" t="s">
        <v>6087</v>
      </c>
      <c r="X130" s="35" t="s">
        <v>6088</v>
      </c>
      <c r="Y130" s="35" t="s">
        <v>6089</v>
      </c>
      <c r="Z130" s="35"/>
      <c r="AA130" s="35"/>
      <c r="AB130" s="35">
        <v>90150517</v>
      </c>
      <c r="AC130" s="35">
        <v>90150517006</v>
      </c>
      <c r="AD130" s="35">
        <v>90150517006017</v>
      </c>
      <c r="AE130" s="63">
        <v>5</v>
      </c>
      <c r="AF130" s="63" t="s">
        <v>772</v>
      </c>
      <c r="AG130" s="46" t="s">
        <v>66</v>
      </c>
      <c r="AH130" s="64">
        <v>80167</v>
      </c>
      <c r="AI130" s="65" t="s">
        <v>66</v>
      </c>
      <c r="AJ130" s="32" t="s">
        <v>6938</v>
      </c>
      <c r="AK130" s="33" t="s">
        <v>67</v>
      </c>
      <c r="AL130" s="34">
        <v>45573</v>
      </c>
      <c r="AM130" s="52" t="s">
        <v>66</v>
      </c>
      <c r="AN130" s="35"/>
      <c r="AO130" s="35"/>
      <c r="AP130" s="35"/>
      <c r="AQ130" s="37">
        <f t="shared" si="6"/>
        <v>2</v>
      </c>
      <c r="AR130" s="38">
        <f t="shared" si="7"/>
        <v>0</v>
      </c>
      <c r="AS130" s="39">
        <f t="shared" si="8"/>
        <v>2</v>
      </c>
      <c r="AT130" s="99" t="s">
        <v>1111</v>
      </c>
      <c r="AU130" s="99" t="s">
        <v>6717</v>
      </c>
      <c r="AV130" s="99" t="s">
        <v>7049</v>
      </c>
      <c r="AW130" s="100">
        <v>45474</v>
      </c>
      <c r="AX130" s="99"/>
      <c r="AY130" s="101"/>
      <c r="AZ130" s="99" t="s">
        <v>6800</v>
      </c>
      <c r="BA130" s="99" t="s">
        <v>6801</v>
      </c>
      <c r="BB130" s="99" t="s">
        <v>7050</v>
      </c>
      <c r="BC130" s="101">
        <v>45474</v>
      </c>
      <c r="BD130" s="99"/>
      <c r="BE130" s="101"/>
      <c r="BF130" s="99"/>
      <c r="BG130" s="99" t="s">
        <v>1356</v>
      </c>
      <c r="BH130" s="99"/>
      <c r="BI130" s="101"/>
      <c r="BJ130" s="99"/>
      <c r="BK130" s="101"/>
      <c r="BL130" s="99"/>
      <c r="BM130" s="99" t="s">
        <v>1356</v>
      </c>
      <c r="BN130" s="99"/>
      <c r="BO130" s="101"/>
      <c r="BP130" s="99"/>
      <c r="BQ130" s="101"/>
      <c r="BR130" s="99"/>
      <c r="BS130" s="99" t="s">
        <v>1356</v>
      </c>
      <c r="BT130" s="99"/>
      <c r="BU130" s="101"/>
      <c r="BV130" s="99"/>
      <c r="BW130" s="101"/>
      <c r="BX130" s="119"/>
      <c r="BY130" s="119" t="s">
        <v>1356</v>
      </c>
      <c r="BZ130" s="119"/>
      <c r="CA130" s="120"/>
      <c r="CB130" s="119"/>
      <c r="CC130" s="120"/>
      <c r="CD130" s="119"/>
      <c r="CE130" s="119" t="s">
        <v>1356</v>
      </c>
      <c r="CF130" s="119"/>
      <c r="CG130" s="120"/>
      <c r="CH130" s="119"/>
      <c r="CI130" s="120"/>
      <c r="CJ130" s="119"/>
      <c r="CK130" s="119" t="s">
        <v>1356</v>
      </c>
      <c r="CL130" s="119"/>
      <c r="CM130" s="120"/>
      <c r="CN130" s="119"/>
      <c r="CO130" s="120"/>
      <c r="CP130" s="119"/>
      <c r="CQ130" s="119" t="s">
        <v>1356</v>
      </c>
      <c r="CR130" s="119"/>
      <c r="CS130" s="120"/>
      <c r="CT130" s="119"/>
      <c r="CU130" s="120"/>
      <c r="CV130" s="119"/>
      <c r="CW130" s="119" t="s">
        <v>1356</v>
      </c>
      <c r="CX130" s="119"/>
      <c r="CY130" s="120"/>
      <c r="CZ130" s="119"/>
      <c r="DA130" s="120"/>
      <c r="DB130" s="129" t="s">
        <v>6962</v>
      </c>
      <c r="DC130" s="131" t="s">
        <v>105</v>
      </c>
    </row>
    <row r="131" spans="1:107" s="40" customFormat="1" ht="14.55" customHeight="1" x14ac:dyDescent="0.3">
      <c r="A131" s="25" t="s">
        <v>3500</v>
      </c>
      <c r="B131" s="25" t="s">
        <v>3744</v>
      </c>
      <c r="C131" s="25" t="s">
        <v>3745</v>
      </c>
      <c r="D131" s="25" t="s">
        <v>1366</v>
      </c>
      <c r="E131" s="25" t="s">
        <v>1367</v>
      </c>
      <c r="F131" s="25" t="s">
        <v>175</v>
      </c>
      <c r="G131" s="26" t="s">
        <v>72</v>
      </c>
      <c r="H131" s="27" t="s">
        <v>251</v>
      </c>
      <c r="I131" s="26">
        <v>1701</v>
      </c>
      <c r="J131" s="26">
        <v>170156</v>
      </c>
      <c r="K131" s="28">
        <v>4</v>
      </c>
      <c r="L131" s="25" t="s">
        <v>1368</v>
      </c>
      <c r="M131" s="25" t="s">
        <v>1369</v>
      </c>
      <c r="N131" s="25" t="s">
        <v>1370</v>
      </c>
      <c r="O131" s="25"/>
      <c r="P131" s="25"/>
      <c r="Q131" s="25"/>
      <c r="R131" s="25"/>
      <c r="S131" s="25"/>
      <c r="T131" s="25"/>
      <c r="U131" s="25"/>
      <c r="V131" s="25"/>
      <c r="W131" s="25"/>
      <c r="X131" s="25" t="s">
        <v>1371</v>
      </c>
      <c r="Y131" s="25" t="s">
        <v>1372</v>
      </c>
      <c r="Z131" s="25"/>
      <c r="AA131" s="25"/>
      <c r="AB131" s="25">
        <v>170156013</v>
      </c>
      <c r="AC131" s="25">
        <v>170156013006</v>
      </c>
      <c r="AD131" s="25">
        <v>170156013006001</v>
      </c>
      <c r="AE131" s="28">
        <v>2</v>
      </c>
      <c r="AF131" s="28" t="s">
        <v>64</v>
      </c>
      <c r="AG131" s="29" t="s">
        <v>65</v>
      </c>
      <c r="AH131" s="30"/>
      <c r="AI131" s="31" t="s">
        <v>66</v>
      </c>
      <c r="AJ131" s="32" t="s">
        <v>6938</v>
      </c>
      <c r="AK131" s="33" t="s">
        <v>67</v>
      </c>
      <c r="AL131" s="34">
        <v>45561</v>
      </c>
      <c r="AM131" s="36" t="s">
        <v>66</v>
      </c>
      <c r="AN131" s="36"/>
      <c r="AO131" s="36"/>
      <c r="AP131" s="36"/>
      <c r="AQ131" s="37">
        <f t="shared" si="6"/>
        <v>0</v>
      </c>
      <c r="AR131" s="38">
        <f t="shared" si="7"/>
        <v>0</v>
      </c>
      <c r="AS131" s="39">
        <f t="shared" si="8"/>
        <v>0</v>
      </c>
      <c r="AT131" s="91"/>
      <c r="AU131" s="92" t="s">
        <v>1356</v>
      </c>
      <c r="AV131" s="93"/>
      <c r="AW131" s="94"/>
      <c r="AX131" s="93"/>
      <c r="AY131" s="95"/>
      <c r="AZ131" s="91"/>
      <c r="BA131" s="92" t="s">
        <v>1356</v>
      </c>
      <c r="BB131" s="93"/>
      <c r="BC131" s="95"/>
      <c r="BD131" s="93"/>
      <c r="BE131" s="95"/>
      <c r="BF131" s="91"/>
      <c r="BG131" s="92" t="s">
        <v>1356</v>
      </c>
      <c r="BH131" s="93"/>
      <c r="BI131" s="95"/>
      <c r="BJ131" s="93"/>
      <c r="BK131" s="95"/>
      <c r="BL131" s="91"/>
      <c r="BM131" s="92" t="s">
        <v>1356</v>
      </c>
      <c r="BN131" s="93"/>
      <c r="BO131" s="95"/>
      <c r="BP131" s="93"/>
      <c r="BQ131" s="95"/>
      <c r="BR131" s="91"/>
      <c r="BS131" s="92" t="s">
        <v>1356</v>
      </c>
      <c r="BT131" s="93"/>
      <c r="BU131" s="95"/>
      <c r="BV131" s="93"/>
      <c r="BW131" s="95"/>
      <c r="BX131" s="113"/>
      <c r="BY131" s="114" t="s">
        <v>1356</v>
      </c>
      <c r="BZ131" s="115"/>
      <c r="CA131" s="116"/>
      <c r="CB131" s="115"/>
      <c r="CC131" s="116"/>
      <c r="CD131" s="113"/>
      <c r="CE131" s="114" t="s">
        <v>1356</v>
      </c>
      <c r="CF131" s="115"/>
      <c r="CG131" s="116"/>
      <c r="CH131" s="115"/>
      <c r="CI131" s="116"/>
      <c r="CJ131" s="113"/>
      <c r="CK131" s="114" t="s">
        <v>1356</v>
      </c>
      <c r="CL131" s="115"/>
      <c r="CM131" s="116"/>
      <c r="CN131" s="115"/>
      <c r="CO131" s="116"/>
      <c r="CP131" s="113"/>
      <c r="CQ131" s="114" t="s">
        <v>1356</v>
      </c>
      <c r="CR131" s="115"/>
      <c r="CS131" s="116"/>
      <c r="CT131" s="115"/>
      <c r="CU131" s="116"/>
      <c r="CV131" s="113"/>
      <c r="CW131" s="114" t="s">
        <v>1356</v>
      </c>
      <c r="CX131" s="115"/>
      <c r="CY131" s="116"/>
      <c r="CZ131" s="115"/>
      <c r="DA131" s="116"/>
      <c r="DB131" s="128" t="s">
        <v>7085</v>
      </c>
      <c r="DC131" s="128" t="s">
        <v>105</v>
      </c>
    </row>
    <row r="132" spans="1:107" s="40" customFormat="1" ht="14.55" customHeight="1" x14ac:dyDescent="0.3">
      <c r="A132" s="42" t="s">
        <v>4219</v>
      </c>
      <c r="B132" s="42" t="s">
        <v>6090</v>
      </c>
      <c r="C132" s="42" t="s">
        <v>6091</v>
      </c>
      <c r="D132" s="42" t="s">
        <v>6092</v>
      </c>
      <c r="E132" s="42" t="s">
        <v>6093</v>
      </c>
      <c r="F132" s="42" t="s">
        <v>256</v>
      </c>
      <c r="G132" s="42" t="s">
        <v>4237</v>
      </c>
      <c r="H132" s="43" t="s">
        <v>686</v>
      </c>
      <c r="I132" s="44">
        <v>901</v>
      </c>
      <c r="J132" s="44">
        <v>90150</v>
      </c>
      <c r="K132" s="45">
        <v>4</v>
      </c>
      <c r="L132" s="42" t="s">
        <v>5024</v>
      </c>
      <c r="M132" s="42"/>
      <c r="N132" s="42" t="s">
        <v>6094</v>
      </c>
      <c r="O132" s="42" t="s">
        <v>4945</v>
      </c>
      <c r="P132" s="42"/>
      <c r="Q132" s="42" t="s">
        <v>6095</v>
      </c>
      <c r="R132" s="42" t="s">
        <v>60</v>
      </c>
      <c r="S132" s="42"/>
      <c r="T132" s="42" t="s">
        <v>5128</v>
      </c>
      <c r="U132" s="42"/>
      <c r="V132" s="42"/>
      <c r="W132" s="42" t="s">
        <v>6096</v>
      </c>
      <c r="X132" s="42" t="s">
        <v>6097</v>
      </c>
      <c r="Y132" s="42" t="s">
        <v>6098</v>
      </c>
      <c r="Z132" s="42">
        <v>-79.935888000000006</v>
      </c>
      <c r="AA132" s="42">
        <v>-2.1010759999999999</v>
      </c>
      <c r="AB132" s="42">
        <v>90150481</v>
      </c>
      <c r="AC132" s="42">
        <v>90150481004</v>
      </c>
      <c r="AD132" s="42">
        <v>90150481004002</v>
      </c>
      <c r="AE132" s="45">
        <v>5</v>
      </c>
      <c r="AF132" s="45" t="s">
        <v>772</v>
      </c>
      <c r="AG132" s="46" t="s">
        <v>66</v>
      </c>
      <c r="AH132" s="47" t="s">
        <v>6099</v>
      </c>
      <c r="AI132" s="48" t="s">
        <v>66</v>
      </c>
      <c r="AJ132" s="49" t="s">
        <v>6938</v>
      </c>
      <c r="AK132" s="50" t="s">
        <v>67</v>
      </c>
      <c r="AL132" s="58">
        <v>45573</v>
      </c>
      <c r="AM132" s="52" t="s">
        <v>66</v>
      </c>
      <c r="AN132" s="42"/>
      <c r="AO132" s="42"/>
      <c r="AP132" s="42"/>
      <c r="AQ132" s="53">
        <f t="shared" si="6"/>
        <v>1</v>
      </c>
      <c r="AR132" s="54">
        <f t="shared" si="7"/>
        <v>0</v>
      </c>
      <c r="AS132" s="55">
        <f t="shared" si="8"/>
        <v>1</v>
      </c>
      <c r="AT132" s="96" t="s">
        <v>6833</v>
      </c>
      <c r="AU132" s="96" t="s">
        <v>6834</v>
      </c>
      <c r="AV132" s="96" t="s">
        <v>6835</v>
      </c>
      <c r="AW132" s="97" t="s">
        <v>6836</v>
      </c>
      <c r="AX132" s="96" t="s">
        <v>6835</v>
      </c>
      <c r="AY132" s="98" t="s">
        <v>6836</v>
      </c>
      <c r="AZ132" s="96"/>
      <c r="BA132" s="96" t="s">
        <v>1356</v>
      </c>
      <c r="BB132" s="96"/>
      <c r="BC132" s="98"/>
      <c r="BD132" s="96"/>
      <c r="BE132" s="98"/>
      <c r="BF132" s="96"/>
      <c r="BG132" s="96" t="s">
        <v>1356</v>
      </c>
      <c r="BH132" s="96"/>
      <c r="BI132" s="98"/>
      <c r="BJ132" s="96"/>
      <c r="BK132" s="98"/>
      <c r="BL132" s="96"/>
      <c r="BM132" s="96" t="s">
        <v>1356</v>
      </c>
      <c r="BN132" s="96"/>
      <c r="BO132" s="98"/>
      <c r="BP132" s="96"/>
      <c r="BQ132" s="98"/>
      <c r="BR132" s="96"/>
      <c r="BS132" s="96" t="s">
        <v>1356</v>
      </c>
      <c r="BT132" s="96"/>
      <c r="BU132" s="98"/>
      <c r="BV132" s="96"/>
      <c r="BW132" s="98"/>
      <c r="BX132" s="117"/>
      <c r="BY132" s="117" t="s">
        <v>1356</v>
      </c>
      <c r="BZ132" s="117"/>
      <c r="CA132" s="118"/>
      <c r="CB132" s="117"/>
      <c r="CC132" s="118"/>
      <c r="CD132" s="117"/>
      <c r="CE132" s="117" t="s">
        <v>1356</v>
      </c>
      <c r="CF132" s="117"/>
      <c r="CG132" s="118"/>
      <c r="CH132" s="117"/>
      <c r="CI132" s="118"/>
      <c r="CJ132" s="117"/>
      <c r="CK132" s="117" t="s">
        <v>1356</v>
      </c>
      <c r="CL132" s="117"/>
      <c r="CM132" s="118"/>
      <c r="CN132" s="117"/>
      <c r="CO132" s="118"/>
      <c r="CP132" s="117"/>
      <c r="CQ132" s="117" t="s">
        <v>1356</v>
      </c>
      <c r="CR132" s="117"/>
      <c r="CS132" s="118"/>
      <c r="CT132" s="117"/>
      <c r="CU132" s="118"/>
      <c r="CV132" s="117"/>
      <c r="CW132" s="117" t="s">
        <v>1356</v>
      </c>
      <c r="CX132" s="117"/>
      <c r="CY132" s="118"/>
      <c r="CZ132" s="117"/>
      <c r="DA132" s="118"/>
      <c r="DB132" s="129" t="s">
        <v>6962</v>
      </c>
      <c r="DC132" s="130" t="s">
        <v>105</v>
      </c>
    </row>
    <row r="133" spans="1:107" s="40" customFormat="1" ht="14.55" customHeight="1" x14ac:dyDescent="0.3">
      <c r="A133" s="25" t="s">
        <v>3500</v>
      </c>
      <c r="B133" s="25" t="s">
        <v>3748</v>
      </c>
      <c r="C133" s="25" t="s">
        <v>3749</v>
      </c>
      <c r="D133" s="25" t="s">
        <v>1383</v>
      </c>
      <c r="E133" s="25" t="s">
        <v>1384</v>
      </c>
      <c r="F133" s="25" t="s">
        <v>651</v>
      </c>
      <c r="G133" s="26" t="s">
        <v>72</v>
      </c>
      <c r="H133" s="27" t="s">
        <v>251</v>
      </c>
      <c r="I133" s="26">
        <v>1701</v>
      </c>
      <c r="J133" s="26">
        <v>170156</v>
      </c>
      <c r="K133" s="28">
        <v>4</v>
      </c>
      <c r="L133" s="25" t="s">
        <v>1385</v>
      </c>
      <c r="M133" s="25" t="s">
        <v>1386</v>
      </c>
      <c r="N133" s="25" t="s">
        <v>1387</v>
      </c>
      <c r="O133" s="25"/>
      <c r="P133" s="25"/>
      <c r="Q133" s="25"/>
      <c r="R133" s="25"/>
      <c r="S133" s="25"/>
      <c r="T133" s="25"/>
      <c r="U133" s="25"/>
      <c r="V133" s="25" t="s">
        <v>404</v>
      </c>
      <c r="W133" s="25" t="s">
        <v>1388</v>
      </c>
      <c r="X133" s="25" t="s">
        <v>1389</v>
      </c>
      <c r="Y133" s="25" t="s">
        <v>1390</v>
      </c>
      <c r="Z133" s="25">
        <v>-78.453017986000006</v>
      </c>
      <c r="AA133" s="25">
        <v>-0.26934587700000001</v>
      </c>
      <c r="AB133" s="25">
        <v>170156008</v>
      </c>
      <c r="AC133" s="25">
        <v>170156008005</v>
      </c>
      <c r="AD133" s="25">
        <v>170156008005001</v>
      </c>
      <c r="AE133" s="28">
        <v>2</v>
      </c>
      <c r="AF133" s="28" t="s">
        <v>64</v>
      </c>
      <c r="AG133" s="29" t="s">
        <v>65</v>
      </c>
      <c r="AH133" s="30"/>
      <c r="AI133" s="31" t="s">
        <v>66</v>
      </c>
      <c r="AJ133" s="32" t="s">
        <v>6938</v>
      </c>
      <c r="AK133" s="33" t="s">
        <v>67</v>
      </c>
      <c r="AL133" s="34">
        <v>45562</v>
      </c>
      <c r="AM133" s="36" t="s">
        <v>66</v>
      </c>
      <c r="AN133" s="36"/>
      <c r="AO133" s="36"/>
      <c r="AP133" s="36"/>
      <c r="AQ133" s="37">
        <f t="shared" si="6"/>
        <v>0</v>
      </c>
      <c r="AR133" s="38">
        <f t="shared" si="7"/>
        <v>0</v>
      </c>
      <c r="AS133" s="39">
        <f t="shared" si="8"/>
        <v>0</v>
      </c>
      <c r="AT133" s="91"/>
      <c r="AU133" s="92" t="s">
        <v>1356</v>
      </c>
      <c r="AV133" s="93"/>
      <c r="AW133" s="94"/>
      <c r="AX133" s="93"/>
      <c r="AY133" s="95"/>
      <c r="AZ133" s="91"/>
      <c r="BA133" s="92" t="s">
        <v>1356</v>
      </c>
      <c r="BB133" s="93"/>
      <c r="BC133" s="95"/>
      <c r="BD133" s="93"/>
      <c r="BE133" s="95"/>
      <c r="BF133" s="91"/>
      <c r="BG133" s="92" t="s">
        <v>1356</v>
      </c>
      <c r="BH133" s="93"/>
      <c r="BI133" s="95"/>
      <c r="BJ133" s="93"/>
      <c r="BK133" s="95"/>
      <c r="BL133" s="91"/>
      <c r="BM133" s="92" t="s">
        <v>1356</v>
      </c>
      <c r="BN133" s="93"/>
      <c r="BO133" s="95"/>
      <c r="BP133" s="93"/>
      <c r="BQ133" s="95"/>
      <c r="BR133" s="91"/>
      <c r="BS133" s="92" t="s">
        <v>1356</v>
      </c>
      <c r="BT133" s="93"/>
      <c r="BU133" s="95"/>
      <c r="BV133" s="93"/>
      <c r="BW133" s="95"/>
      <c r="BX133" s="126"/>
      <c r="BY133" s="114" t="s">
        <v>1356</v>
      </c>
      <c r="BZ133" s="115"/>
      <c r="CA133" s="116"/>
      <c r="CB133" s="115"/>
      <c r="CC133" s="116"/>
      <c r="CD133" s="113"/>
      <c r="CE133" s="114" t="s">
        <v>1356</v>
      </c>
      <c r="CF133" s="115"/>
      <c r="CG133" s="116"/>
      <c r="CH133" s="115"/>
      <c r="CI133" s="116"/>
      <c r="CJ133" s="113"/>
      <c r="CK133" s="114" t="s">
        <v>1356</v>
      </c>
      <c r="CL133" s="115"/>
      <c r="CM133" s="116"/>
      <c r="CN133" s="115"/>
      <c r="CO133" s="116"/>
      <c r="CP133" s="113"/>
      <c r="CQ133" s="114" t="s">
        <v>1356</v>
      </c>
      <c r="CR133" s="115"/>
      <c r="CS133" s="116"/>
      <c r="CT133" s="115"/>
      <c r="CU133" s="116"/>
      <c r="CV133" s="113"/>
      <c r="CW133" s="114" t="s">
        <v>1356</v>
      </c>
      <c r="CX133" s="115"/>
      <c r="CY133" s="116"/>
      <c r="CZ133" s="115"/>
      <c r="DA133" s="116"/>
      <c r="DB133" s="128" t="s">
        <v>7085</v>
      </c>
      <c r="DC133" s="128" t="s">
        <v>105</v>
      </c>
    </row>
    <row r="134" spans="1:107" s="40" customFormat="1" ht="14.55" customHeight="1" x14ac:dyDescent="0.3">
      <c r="A134" s="25" t="s">
        <v>3500</v>
      </c>
      <c r="B134" s="25" t="s">
        <v>3750</v>
      </c>
      <c r="C134" s="25" t="s">
        <v>3751</v>
      </c>
      <c r="D134" s="25" t="s">
        <v>1391</v>
      </c>
      <c r="E134" s="25"/>
      <c r="F134" s="25" t="s">
        <v>256</v>
      </c>
      <c r="G134" s="26" t="s">
        <v>72</v>
      </c>
      <c r="H134" s="27" t="s">
        <v>251</v>
      </c>
      <c r="I134" s="26">
        <v>1701</v>
      </c>
      <c r="J134" s="26">
        <v>170156</v>
      </c>
      <c r="K134" s="28">
        <v>4</v>
      </c>
      <c r="L134" s="25" t="s">
        <v>1392</v>
      </c>
      <c r="M134" s="25" t="s">
        <v>1393</v>
      </c>
      <c r="N134" s="25" t="s">
        <v>1394</v>
      </c>
      <c r="O134" s="25"/>
      <c r="P134" s="25"/>
      <c r="Q134" s="25"/>
      <c r="R134" s="25"/>
      <c r="S134" s="25"/>
      <c r="T134" s="25"/>
      <c r="U134" s="25"/>
      <c r="V134" s="25"/>
      <c r="W134" s="25" t="s">
        <v>1395</v>
      </c>
      <c r="X134" s="25" t="s">
        <v>1396</v>
      </c>
      <c r="Y134" s="25" t="s">
        <v>1397</v>
      </c>
      <c r="Z134" s="25"/>
      <c r="AA134" s="25"/>
      <c r="AB134" s="25"/>
      <c r="AC134" s="25"/>
      <c r="AD134" s="25"/>
      <c r="AE134" s="28">
        <v>2</v>
      </c>
      <c r="AF134" s="28" t="s">
        <v>64</v>
      </c>
      <c r="AG134" s="29" t="s">
        <v>65</v>
      </c>
      <c r="AH134" s="30"/>
      <c r="AI134" s="31" t="s">
        <v>65</v>
      </c>
      <c r="AJ134" s="32" t="s">
        <v>6938</v>
      </c>
      <c r="AK134" s="33" t="s">
        <v>92</v>
      </c>
      <c r="AL134" s="34">
        <v>45562</v>
      </c>
      <c r="AM134" s="36"/>
      <c r="AN134" s="36"/>
      <c r="AO134" s="36"/>
      <c r="AP134" s="36"/>
      <c r="AQ134" s="37">
        <f t="shared" ref="AQ134:AQ197" si="9">+COUNTA(AT134,AZ134,BF134,BL134,BR134)</f>
        <v>0</v>
      </c>
      <c r="AR134" s="38">
        <f t="shared" ref="AR134:AR197" si="10">+COUNTA(BX134,CD134,CJ134,CP134,CV134)</f>
        <v>0</v>
      </c>
      <c r="AS134" s="39">
        <f t="shared" ref="AS134:AS197" si="11">+AQ134+AR134</f>
        <v>0</v>
      </c>
      <c r="AT134" s="91"/>
      <c r="AU134" s="92" t="s">
        <v>1356</v>
      </c>
      <c r="AV134" s="93"/>
      <c r="AW134" s="94"/>
      <c r="AX134" s="93"/>
      <c r="AY134" s="95"/>
      <c r="AZ134" s="91"/>
      <c r="BA134" s="92" t="s">
        <v>1356</v>
      </c>
      <c r="BB134" s="93"/>
      <c r="BC134" s="95"/>
      <c r="BD134" s="93"/>
      <c r="BE134" s="95"/>
      <c r="BF134" s="91"/>
      <c r="BG134" s="92" t="s">
        <v>1356</v>
      </c>
      <c r="BH134" s="93"/>
      <c r="BI134" s="95"/>
      <c r="BJ134" s="93"/>
      <c r="BK134" s="95"/>
      <c r="BL134" s="91"/>
      <c r="BM134" s="92" t="s">
        <v>1356</v>
      </c>
      <c r="BN134" s="93"/>
      <c r="BO134" s="95"/>
      <c r="BP134" s="93"/>
      <c r="BQ134" s="95"/>
      <c r="BR134" s="91"/>
      <c r="BS134" s="92" t="s">
        <v>1356</v>
      </c>
      <c r="BT134" s="93"/>
      <c r="BU134" s="95"/>
      <c r="BV134" s="93"/>
      <c r="BW134" s="95"/>
      <c r="BX134" s="113"/>
      <c r="BY134" s="114" t="s">
        <v>1356</v>
      </c>
      <c r="BZ134" s="115"/>
      <c r="CA134" s="116"/>
      <c r="CB134" s="115"/>
      <c r="CC134" s="116"/>
      <c r="CD134" s="113"/>
      <c r="CE134" s="114" t="s">
        <v>1356</v>
      </c>
      <c r="CF134" s="115"/>
      <c r="CG134" s="116"/>
      <c r="CH134" s="115"/>
      <c r="CI134" s="116"/>
      <c r="CJ134" s="113"/>
      <c r="CK134" s="114" t="s">
        <v>1356</v>
      </c>
      <c r="CL134" s="115"/>
      <c r="CM134" s="116"/>
      <c r="CN134" s="115"/>
      <c r="CO134" s="116"/>
      <c r="CP134" s="113"/>
      <c r="CQ134" s="114" t="s">
        <v>1356</v>
      </c>
      <c r="CR134" s="115"/>
      <c r="CS134" s="116"/>
      <c r="CT134" s="115"/>
      <c r="CU134" s="116"/>
      <c r="CV134" s="113"/>
      <c r="CW134" s="114" t="s">
        <v>1356</v>
      </c>
      <c r="CX134" s="115"/>
      <c r="CY134" s="116"/>
      <c r="CZ134" s="115"/>
      <c r="DA134" s="116"/>
      <c r="DB134" s="128" t="s">
        <v>7085</v>
      </c>
      <c r="DC134" s="128" t="s">
        <v>92</v>
      </c>
    </row>
    <row r="135" spans="1:107" s="40" customFormat="1" ht="14.55" customHeight="1" x14ac:dyDescent="0.3">
      <c r="A135" s="25" t="s">
        <v>3500</v>
      </c>
      <c r="B135" s="25" t="s">
        <v>3752</v>
      </c>
      <c r="C135" s="25" t="s">
        <v>3753</v>
      </c>
      <c r="D135" s="25" t="s">
        <v>1398</v>
      </c>
      <c r="E135" s="25" t="s">
        <v>70</v>
      </c>
      <c r="F135" s="25" t="s">
        <v>825</v>
      </c>
      <c r="G135" s="26" t="s">
        <v>72</v>
      </c>
      <c r="H135" s="27" t="s">
        <v>251</v>
      </c>
      <c r="I135" s="26">
        <v>1701</v>
      </c>
      <c r="J135" s="26">
        <v>170156</v>
      </c>
      <c r="K135" s="28">
        <v>4</v>
      </c>
      <c r="L135" s="25" t="s">
        <v>1399</v>
      </c>
      <c r="M135" s="25" t="s">
        <v>1400</v>
      </c>
      <c r="N135" s="25"/>
      <c r="O135" s="25"/>
      <c r="P135" s="25"/>
      <c r="Q135" s="25"/>
      <c r="R135" s="25"/>
      <c r="S135" s="25"/>
      <c r="T135" s="25" t="s">
        <v>1401</v>
      </c>
      <c r="U135" s="25" t="s">
        <v>1401</v>
      </c>
      <c r="V135" s="25"/>
      <c r="W135" s="25" t="s">
        <v>1402</v>
      </c>
      <c r="X135" s="25" t="s">
        <v>1403</v>
      </c>
      <c r="Y135" s="25" t="s">
        <v>1404</v>
      </c>
      <c r="Z135" s="25">
        <v>-78.448443045999994</v>
      </c>
      <c r="AA135" s="25">
        <v>-0.30507370900000003</v>
      </c>
      <c r="AB135" s="25"/>
      <c r="AC135" s="25"/>
      <c r="AD135" s="25"/>
      <c r="AE135" s="28">
        <v>2</v>
      </c>
      <c r="AF135" s="28" t="s">
        <v>64</v>
      </c>
      <c r="AG135" s="29" t="s">
        <v>65</v>
      </c>
      <c r="AH135" s="30"/>
      <c r="AI135" s="31" t="s">
        <v>65</v>
      </c>
      <c r="AJ135" s="32" t="s">
        <v>6938</v>
      </c>
      <c r="AK135" s="33" t="s">
        <v>92</v>
      </c>
      <c r="AL135" s="34">
        <v>45562</v>
      </c>
      <c r="AM135" s="36"/>
      <c r="AN135" s="36"/>
      <c r="AO135" s="36"/>
      <c r="AP135" s="36"/>
      <c r="AQ135" s="37">
        <f t="shared" si="9"/>
        <v>0</v>
      </c>
      <c r="AR135" s="38">
        <f t="shared" si="10"/>
        <v>0</v>
      </c>
      <c r="AS135" s="39">
        <f t="shared" si="11"/>
        <v>0</v>
      </c>
      <c r="AT135" s="91"/>
      <c r="AU135" s="92" t="s">
        <v>1356</v>
      </c>
      <c r="AV135" s="93"/>
      <c r="AW135" s="94"/>
      <c r="AX135" s="93"/>
      <c r="AY135" s="95"/>
      <c r="AZ135" s="91"/>
      <c r="BA135" s="92" t="s">
        <v>1356</v>
      </c>
      <c r="BB135" s="93"/>
      <c r="BC135" s="95"/>
      <c r="BD135" s="93"/>
      <c r="BE135" s="95"/>
      <c r="BF135" s="91"/>
      <c r="BG135" s="92" t="s">
        <v>1356</v>
      </c>
      <c r="BH135" s="93"/>
      <c r="BI135" s="95"/>
      <c r="BJ135" s="93"/>
      <c r="BK135" s="95"/>
      <c r="BL135" s="91"/>
      <c r="BM135" s="92" t="s">
        <v>1356</v>
      </c>
      <c r="BN135" s="93"/>
      <c r="BO135" s="95"/>
      <c r="BP135" s="93"/>
      <c r="BQ135" s="95"/>
      <c r="BR135" s="91"/>
      <c r="BS135" s="92" t="s">
        <v>1356</v>
      </c>
      <c r="BT135" s="93"/>
      <c r="BU135" s="95"/>
      <c r="BV135" s="93"/>
      <c r="BW135" s="95"/>
      <c r="BX135" s="113"/>
      <c r="BY135" s="114" t="s">
        <v>1356</v>
      </c>
      <c r="BZ135" s="115"/>
      <c r="CA135" s="116"/>
      <c r="CB135" s="115"/>
      <c r="CC135" s="116"/>
      <c r="CD135" s="113"/>
      <c r="CE135" s="114" t="s">
        <v>1356</v>
      </c>
      <c r="CF135" s="115"/>
      <c r="CG135" s="116"/>
      <c r="CH135" s="115"/>
      <c r="CI135" s="116"/>
      <c r="CJ135" s="113"/>
      <c r="CK135" s="114" t="s">
        <v>1356</v>
      </c>
      <c r="CL135" s="115"/>
      <c r="CM135" s="116"/>
      <c r="CN135" s="115"/>
      <c r="CO135" s="116"/>
      <c r="CP135" s="113"/>
      <c r="CQ135" s="114" t="s">
        <v>1356</v>
      </c>
      <c r="CR135" s="115"/>
      <c r="CS135" s="116"/>
      <c r="CT135" s="115"/>
      <c r="CU135" s="116"/>
      <c r="CV135" s="113"/>
      <c r="CW135" s="114" t="s">
        <v>1356</v>
      </c>
      <c r="CX135" s="115"/>
      <c r="CY135" s="116"/>
      <c r="CZ135" s="115"/>
      <c r="DA135" s="116"/>
      <c r="DB135" s="128" t="s">
        <v>7085</v>
      </c>
      <c r="DC135" s="128" t="s">
        <v>92</v>
      </c>
    </row>
    <row r="136" spans="1:107" s="40" customFormat="1" ht="14.55" customHeight="1" x14ac:dyDescent="0.3">
      <c r="A136" s="25" t="s">
        <v>3500</v>
      </c>
      <c r="B136" s="25" t="s">
        <v>3754</v>
      </c>
      <c r="C136" s="25" t="s">
        <v>3755</v>
      </c>
      <c r="D136" s="25" t="s">
        <v>1405</v>
      </c>
      <c r="E136" s="25" t="s">
        <v>70</v>
      </c>
      <c r="F136" s="25" t="s">
        <v>291</v>
      </c>
      <c r="G136" s="26" t="s">
        <v>72</v>
      </c>
      <c r="H136" s="27" t="s">
        <v>251</v>
      </c>
      <c r="I136" s="26">
        <v>1701</v>
      </c>
      <c r="J136" s="26">
        <v>170150</v>
      </c>
      <c r="K136" s="28">
        <v>4</v>
      </c>
      <c r="L136" s="25" t="s">
        <v>1406</v>
      </c>
      <c r="M136" s="25"/>
      <c r="N136" s="25" t="s">
        <v>1407</v>
      </c>
      <c r="O136" s="25"/>
      <c r="P136" s="25"/>
      <c r="Q136" s="25"/>
      <c r="R136" s="25"/>
      <c r="S136" s="25"/>
      <c r="T136" s="25"/>
      <c r="U136" s="25" t="s">
        <v>1408</v>
      </c>
      <c r="V136" s="25"/>
      <c r="W136" s="25" t="s">
        <v>1409</v>
      </c>
      <c r="X136" s="25"/>
      <c r="Y136" s="25"/>
      <c r="Z136" s="25"/>
      <c r="AA136" s="25"/>
      <c r="AB136" s="25"/>
      <c r="AC136" s="25"/>
      <c r="AD136" s="25"/>
      <c r="AE136" s="28">
        <v>2</v>
      </c>
      <c r="AF136" s="28" t="s">
        <v>64</v>
      </c>
      <c r="AG136" s="29" t="s">
        <v>65</v>
      </c>
      <c r="AH136" s="30"/>
      <c r="AI136" s="31" t="s">
        <v>66</v>
      </c>
      <c r="AJ136" s="32" t="s">
        <v>6938</v>
      </c>
      <c r="AK136" s="33" t="s">
        <v>67</v>
      </c>
      <c r="AL136" s="34">
        <v>45562</v>
      </c>
      <c r="AM136" s="36" t="s">
        <v>66</v>
      </c>
      <c r="AN136" s="36"/>
      <c r="AO136" s="36"/>
      <c r="AP136" s="36"/>
      <c r="AQ136" s="37">
        <f t="shared" si="9"/>
        <v>0</v>
      </c>
      <c r="AR136" s="38">
        <f t="shared" si="10"/>
        <v>0</v>
      </c>
      <c r="AS136" s="39">
        <f t="shared" si="11"/>
        <v>0</v>
      </c>
      <c r="AT136" s="91"/>
      <c r="AU136" s="92" t="s">
        <v>1356</v>
      </c>
      <c r="AV136" s="93"/>
      <c r="AW136" s="94"/>
      <c r="AX136" s="93"/>
      <c r="AY136" s="95"/>
      <c r="AZ136" s="91"/>
      <c r="BA136" s="92" t="s">
        <v>1356</v>
      </c>
      <c r="BB136" s="93"/>
      <c r="BC136" s="95"/>
      <c r="BD136" s="93"/>
      <c r="BE136" s="95"/>
      <c r="BF136" s="91"/>
      <c r="BG136" s="92" t="s">
        <v>1356</v>
      </c>
      <c r="BH136" s="93"/>
      <c r="BI136" s="95"/>
      <c r="BJ136" s="93"/>
      <c r="BK136" s="95"/>
      <c r="BL136" s="91"/>
      <c r="BM136" s="92" t="s">
        <v>1356</v>
      </c>
      <c r="BN136" s="93"/>
      <c r="BO136" s="95"/>
      <c r="BP136" s="93"/>
      <c r="BQ136" s="95"/>
      <c r="BR136" s="91"/>
      <c r="BS136" s="92" t="s">
        <v>1356</v>
      </c>
      <c r="BT136" s="93"/>
      <c r="BU136" s="95"/>
      <c r="BV136" s="93"/>
      <c r="BW136" s="95"/>
      <c r="BX136" s="113"/>
      <c r="BY136" s="114"/>
      <c r="BZ136" s="115"/>
      <c r="CA136" s="116"/>
      <c r="CB136" s="115"/>
      <c r="CC136" s="116"/>
      <c r="CD136" s="113"/>
      <c r="CE136" s="114" t="s">
        <v>1356</v>
      </c>
      <c r="CF136" s="115"/>
      <c r="CG136" s="116"/>
      <c r="CH136" s="115"/>
      <c r="CI136" s="116"/>
      <c r="CJ136" s="113"/>
      <c r="CK136" s="114" t="s">
        <v>1356</v>
      </c>
      <c r="CL136" s="115"/>
      <c r="CM136" s="116"/>
      <c r="CN136" s="115"/>
      <c r="CO136" s="116"/>
      <c r="CP136" s="113"/>
      <c r="CQ136" s="114" t="s">
        <v>1356</v>
      </c>
      <c r="CR136" s="115"/>
      <c r="CS136" s="116"/>
      <c r="CT136" s="115"/>
      <c r="CU136" s="116"/>
      <c r="CV136" s="113"/>
      <c r="CW136" s="114" t="s">
        <v>1356</v>
      </c>
      <c r="CX136" s="115"/>
      <c r="CY136" s="116"/>
      <c r="CZ136" s="115"/>
      <c r="DA136" s="116"/>
      <c r="DB136" s="128" t="s">
        <v>7085</v>
      </c>
      <c r="DC136" s="128" t="s">
        <v>105</v>
      </c>
    </row>
    <row r="137" spans="1:107" s="40" customFormat="1" ht="14.55" customHeight="1" x14ac:dyDescent="0.3">
      <c r="A137" s="42" t="s">
        <v>4219</v>
      </c>
      <c r="B137" s="42" t="s">
        <v>6202</v>
      </c>
      <c r="C137" s="42" t="s">
        <v>6203</v>
      </c>
      <c r="D137" s="42" t="s">
        <v>6204</v>
      </c>
      <c r="E137" s="42" t="s">
        <v>70</v>
      </c>
      <c r="F137" s="42" t="s">
        <v>233</v>
      </c>
      <c r="G137" s="42" t="s">
        <v>4237</v>
      </c>
      <c r="H137" s="43" t="s">
        <v>686</v>
      </c>
      <c r="I137" s="44">
        <v>901</v>
      </c>
      <c r="J137" s="44">
        <v>90150</v>
      </c>
      <c r="K137" s="45">
        <v>4</v>
      </c>
      <c r="L137" s="42" t="s">
        <v>4483</v>
      </c>
      <c r="M137" s="42"/>
      <c r="N137" s="42" t="s">
        <v>6205</v>
      </c>
      <c r="O137" s="42" t="s">
        <v>4655</v>
      </c>
      <c r="P137" s="42"/>
      <c r="Q137" s="42"/>
      <c r="R137" s="42" t="s">
        <v>60</v>
      </c>
      <c r="S137" s="42"/>
      <c r="T137" s="42"/>
      <c r="U137" s="42"/>
      <c r="V137" s="42"/>
      <c r="W137" s="42" t="s">
        <v>6206</v>
      </c>
      <c r="X137" s="42" t="s">
        <v>6207</v>
      </c>
      <c r="Y137" s="42" t="s">
        <v>6208</v>
      </c>
      <c r="Z137" s="42"/>
      <c r="AA137" s="42"/>
      <c r="AB137" s="42">
        <v>90150481</v>
      </c>
      <c r="AC137" s="42">
        <v>90150481004</v>
      </c>
      <c r="AD137" s="42">
        <v>90150481004002</v>
      </c>
      <c r="AE137" s="45">
        <v>5</v>
      </c>
      <c r="AF137" s="45" t="s">
        <v>772</v>
      </c>
      <c r="AG137" s="46" t="s">
        <v>66</v>
      </c>
      <c r="AH137" s="47" t="s">
        <v>6209</v>
      </c>
      <c r="AI137" s="48" t="s">
        <v>66</v>
      </c>
      <c r="AJ137" s="49" t="s">
        <v>6938</v>
      </c>
      <c r="AK137" s="50" t="s">
        <v>67</v>
      </c>
      <c r="AL137" s="34">
        <v>45573</v>
      </c>
      <c r="AM137" s="52" t="s">
        <v>66</v>
      </c>
      <c r="AN137" s="42"/>
      <c r="AO137" s="42"/>
      <c r="AP137" s="42"/>
      <c r="AQ137" s="53">
        <f t="shared" si="9"/>
        <v>2</v>
      </c>
      <c r="AR137" s="54">
        <f t="shared" si="10"/>
        <v>0</v>
      </c>
      <c r="AS137" s="55">
        <f t="shared" si="11"/>
        <v>2</v>
      </c>
      <c r="AT137" s="96" t="s">
        <v>1088</v>
      </c>
      <c r="AU137" s="96" t="s">
        <v>6714</v>
      </c>
      <c r="AV137" s="96" t="s">
        <v>6857</v>
      </c>
      <c r="AW137" s="97" t="s">
        <v>6796</v>
      </c>
      <c r="AX137" s="96" t="s">
        <v>6857</v>
      </c>
      <c r="AY137" s="98" t="s">
        <v>6796</v>
      </c>
      <c r="AZ137" s="96" t="s">
        <v>674</v>
      </c>
      <c r="BA137" s="96" t="s">
        <v>2533</v>
      </c>
      <c r="BB137" s="96" t="s">
        <v>6858</v>
      </c>
      <c r="BC137" s="98" t="s">
        <v>6796</v>
      </c>
      <c r="BD137" s="96" t="s">
        <v>6858</v>
      </c>
      <c r="BE137" s="98" t="s">
        <v>6796</v>
      </c>
      <c r="BF137" s="96"/>
      <c r="BG137" s="96" t="s">
        <v>1356</v>
      </c>
      <c r="BH137" s="96"/>
      <c r="BI137" s="98"/>
      <c r="BJ137" s="96"/>
      <c r="BK137" s="98"/>
      <c r="BL137" s="96"/>
      <c r="BM137" s="96" t="s">
        <v>1356</v>
      </c>
      <c r="BN137" s="96"/>
      <c r="BO137" s="98"/>
      <c r="BP137" s="96"/>
      <c r="BQ137" s="98"/>
      <c r="BR137" s="96"/>
      <c r="BS137" s="96" t="s">
        <v>1356</v>
      </c>
      <c r="BT137" s="96"/>
      <c r="BU137" s="98"/>
      <c r="BV137" s="96"/>
      <c r="BW137" s="98"/>
      <c r="BX137" s="117"/>
      <c r="BY137" s="117" t="s">
        <v>1356</v>
      </c>
      <c r="BZ137" s="117"/>
      <c r="CA137" s="118"/>
      <c r="CB137" s="117"/>
      <c r="CC137" s="118"/>
      <c r="CD137" s="117"/>
      <c r="CE137" s="117" t="s">
        <v>1356</v>
      </c>
      <c r="CF137" s="117"/>
      <c r="CG137" s="118"/>
      <c r="CH137" s="117"/>
      <c r="CI137" s="118"/>
      <c r="CJ137" s="117"/>
      <c r="CK137" s="117" t="s">
        <v>1356</v>
      </c>
      <c r="CL137" s="117"/>
      <c r="CM137" s="118"/>
      <c r="CN137" s="117"/>
      <c r="CO137" s="118"/>
      <c r="CP137" s="117"/>
      <c r="CQ137" s="117" t="s">
        <v>1356</v>
      </c>
      <c r="CR137" s="117"/>
      <c r="CS137" s="118"/>
      <c r="CT137" s="117"/>
      <c r="CU137" s="118"/>
      <c r="CV137" s="117"/>
      <c r="CW137" s="117" t="s">
        <v>1356</v>
      </c>
      <c r="CX137" s="117"/>
      <c r="CY137" s="118"/>
      <c r="CZ137" s="117"/>
      <c r="DA137" s="118"/>
      <c r="DB137" s="129" t="s">
        <v>6962</v>
      </c>
      <c r="DC137" s="130" t="s">
        <v>105</v>
      </c>
    </row>
    <row r="138" spans="1:107" s="40" customFormat="1" ht="14.55" customHeight="1" x14ac:dyDescent="0.3">
      <c r="A138" s="35" t="s">
        <v>4219</v>
      </c>
      <c r="B138" s="35" t="s">
        <v>6234</v>
      </c>
      <c r="C138" s="35" t="s">
        <v>6235</v>
      </c>
      <c r="D138" s="35" t="s">
        <v>6236</v>
      </c>
      <c r="E138" s="35" t="s">
        <v>6237</v>
      </c>
      <c r="F138" s="35" t="s">
        <v>81</v>
      </c>
      <c r="G138" s="35" t="s">
        <v>4484</v>
      </c>
      <c r="H138" s="27" t="s">
        <v>6936</v>
      </c>
      <c r="I138" s="62">
        <v>1210</v>
      </c>
      <c r="J138" s="62">
        <v>121051</v>
      </c>
      <c r="K138" s="63">
        <v>4</v>
      </c>
      <c r="L138" s="35" t="s">
        <v>6238</v>
      </c>
      <c r="M138" s="35" t="s">
        <v>258</v>
      </c>
      <c r="N138" s="35" t="s">
        <v>258</v>
      </c>
      <c r="O138" s="35" t="s">
        <v>2171</v>
      </c>
      <c r="P138" s="35"/>
      <c r="Q138" s="35"/>
      <c r="R138" s="35" t="s">
        <v>60</v>
      </c>
      <c r="S138" s="35"/>
      <c r="T138" s="35"/>
      <c r="U138" s="35"/>
      <c r="V138" s="35"/>
      <c r="W138" s="35" t="s">
        <v>6239</v>
      </c>
      <c r="X138" s="35" t="s">
        <v>1061</v>
      </c>
      <c r="Y138" s="35" t="s">
        <v>1062</v>
      </c>
      <c r="Z138" s="35"/>
      <c r="AA138" s="35"/>
      <c r="AB138" s="35">
        <v>121051912</v>
      </c>
      <c r="AC138" s="35">
        <v>121051912001</v>
      </c>
      <c r="AD138" s="35">
        <v>121051912001009</v>
      </c>
      <c r="AE138" s="63">
        <v>5</v>
      </c>
      <c r="AF138" s="63" t="s">
        <v>772</v>
      </c>
      <c r="AG138" s="46" t="s">
        <v>66</v>
      </c>
      <c r="AH138" s="64">
        <v>80138</v>
      </c>
      <c r="AI138" s="65" t="s">
        <v>66</v>
      </c>
      <c r="AJ138" s="32" t="s">
        <v>6938</v>
      </c>
      <c r="AK138" s="33" t="s">
        <v>67</v>
      </c>
      <c r="AL138" s="34">
        <v>45573</v>
      </c>
      <c r="AM138" s="52" t="s">
        <v>66</v>
      </c>
      <c r="AN138" s="35"/>
      <c r="AO138" s="35"/>
      <c r="AP138" s="35"/>
      <c r="AQ138" s="37">
        <f t="shared" si="9"/>
        <v>2</v>
      </c>
      <c r="AR138" s="38">
        <f t="shared" si="10"/>
        <v>0</v>
      </c>
      <c r="AS138" s="39">
        <f t="shared" si="11"/>
        <v>2</v>
      </c>
      <c r="AT138" s="99" t="s">
        <v>7030</v>
      </c>
      <c r="AU138" s="99" t="s">
        <v>5215</v>
      </c>
      <c r="AV138" s="99">
        <v>1140</v>
      </c>
      <c r="AW138" s="100">
        <v>45635</v>
      </c>
      <c r="AX138" s="99"/>
      <c r="AY138" s="101"/>
      <c r="AZ138" s="99" t="s">
        <v>7031</v>
      </c>
      <c r="BA138" s="99" t="s">
        <v>6415</v>
      </c>
      <c r="BB138" s="99">
        <v>2100</v>
      </c>
      <c r="BC138" s="101">
        <v>45635</v>
      </c>
      <c r="BD138" s="99"/>
      <c r="BE138" s="101"/>
      <c r="BF138" s="99"/>
      <c r="BG138" s="99" t="s">
        <v>1356</v>
      </c>
      <c r="BH138" s="99"/>
      <c r="BI138" s="101"/>
      <c r="BJ138" s="99"/>
      <c r="BK138" s="101"/>
      <c r="BL138" s="99"/>
      <c r="BM138" s="99" t="s">
        <v>1356</v>
      </c>
      <c r="BN138" s="99"/>
      <c r="BO138" s="101"/>
      <c r="BP138" s="99"/>
      <c r="BQ138" s="101"/>
      <c r="BR138" s="99"/>
      <c r="BS138" s="99" t="s">
        <v>1356</v>
      </c>
      <c r="BT138" s="99"/>
      <c r="BU138" s="101"/>
      <c r="BV138" s="99"/>
      <c r="BW138" s="101"/>
      <c r="BX138" s="119"/>
      <c r="BY138" s="119" t="s">
        <v>1356</v>
      </c>
      <c r="BZ138" s="119"/>
      <c r="CA138" s="120"/>
      <c r="CB138" s="119"/>
      <c r="CC138" s="120"/>
      <c r="CD138" s="119"/>
      <c r="CE138" s="119" t="s">
        <v>1356</v>
      </c>
      <c r="CF138" s="119"/>
      <c r="CG138" s="120"/>
      <c r="CH138" s="119"/>
      <c r="CI138" s="120"/>
      <c r="CJ138" s="119"/>
      <c r="CK138" s="119" t="s">
        <v>1356</v>
      </c>
      <c r="CL138" s="119"/>
      <c r="CM138" s="120"/>
      <c r="CN138" s="119"/>
      <c r="CO138" s="120"/>
      <c r="CP138" s="119"/>
      <c r="CQ138" s="119" t="s">
        <v>1356</v>
      </c>
      <c r="CR138" s="119"/>
      <c r="CS138" s="120"/>
      <c r="CT138" s="119"/>
      <c r="CU138" s="120"/>
      <c r="CV138" s="119"/>
      <c r="CW138" s="119" t="s">
        <v>1356</v>
      </c>
      <c r="CX138" s="119"/>
      <c r="CY138" s="120"/>
      <c r="CZ138" s="119"/>
      <c r="DA138" s="120"/>
      <c r="DB138" s="129" t="s">
        <v>6962</v>
      </c>
      <c r="DC138" s="131" t="s">
        <v>105</v>
      </c>
    </row>
    <row r="139" spans="1:107" s="40" customFormat="1" ht="14.55" customHeight="1" x14ac:dyDescent="0.3">
      <c r="A139" s="25" t="s">
        <v>3500</v>
      </c>
      <c r="B139" s="25" t="s">
        <v>3760</v>
      </c>
      <c r="C139" s="25" t="s">
        <v>3761</v>
      </c>
      <c r="D139" s="25" t="s">
        <v>1440</v>
      </c>
      <c r="E139" s="25" t="s">
        <v>1441</v>
      </c>
      <c r="F139" s="25" t="s">
        <v>567</v>
      </c>
      <c r="G139" s="26" t="s">
        <v>72</v>
      </c>
      <c r="H139" s="27" t="s">
        <v>251</v>
      </c>
      <c r="I139" s="26">
        <v>1701</v>
      </c>
      <c r="J139" s="26">
        <v>170156</v>
      </c>
      <c r="K139" s="28">
        <v>3</v>
      </c>
      <c r="L139" s="25" t="s">
        <v>442</v>
      </c>
      <c r="M139" s="25" t="s">
        <v>1442</v>
      </c>
      <c r="N139" s="25" t="s">
        <v>1443</v>
      </c>
      <c r="O139" s="25"/>
      <c r="P139" s="25"/>
      <c r="Q139" s="25" t="s">
        <v>1441</v>
      </c>
      <c r="R139" s="25" t="s">
        <v>113</v>
      </c>
      <c r="S139" s="25" t="s">
        <v>60</v>
      </c>
      <c r="T139" s="25"/>
      <c r="U139" s="25" t="s">
        <v>1444</v>
      </c>
      <c r="V139" s="25" t="s">
        <v>404</v>
      </c>
      <c r="W139" s="25" t="s">
        <v>1445</v>
      </c>
      <c r="X139" s="25" t="s">
        <v>1446</v>
      </c>
      <c r="Y139" s="25" t="s">
        <v>1440</v>
      </c>
      <c r="Z139" s="25">
        <v>-78.477345407009125</v>
      </c>
      <c r="AA139" s="25">
        <v>-0.29745564354671128</v>
      </c>
      <c r="AB139" s="25">
        <v>170156022</v>
      </c>
      <c r="AC139" s="25">
        <v>170156022011</v>
      </c>
      <c r="AD139" s="25">
        <v>170156022011001</v>
      </c>
      <c r="AE139" s="28">
        <v>3</v>
      </c>
      <c r="AF139" s="28" t="s">
        <v>377</v>
      </c>
      <c r="AG139" s="29" t="s">
        <v>65</v>
      </c>
      <c r="AH139" s="30"/>
      <c r="AI139" s="31" t="s">
        <v>66</v>
      </c>
      <c r="AJ139" s="32" t="s">
        <v>6938</v>
      </c>
      <c r="AK139" s="33" t="s">
        <v>67</v>
      </c>
      <c r="AL139" s="34">
        <v>45561</v>
      </c>
      <c r="AM139" s="36" t="s">
        <v>66</v>
      </c>
      <c r="AN139" s="36"/>
      <c r="AO139" s="36"/>
      <c r="AP139" s="36"/>
      <c r="AQ139" s="37">
        <f t="shared" si="9"/>
        <v>0</v>
      </c>
      <c r="AR139" s="38">
        <f t="shared" si="10"/>
        <v>0</v>
      </c>
      <c r="AS139" s="39">
        <f t="shared" si="11"/>
        <v>0</v>
      </c>
      <c r="AT139" s="91"/>
      <c r="AU139" s="92" t="s">
        <v>1356</v>
      </c>
      <c r="AV139" s="93"/>
      <c r="AW139" s="94"/>
      <c r="AX139" s="93"/>
      <c r="AY139" s="95"/>
      <c r="AZ139" s="91"/>
      <c r="BA139" s="92" t="s">
        <v>1356</v>
      </c>
      <c r="BB139" s="93"/>
      <c r="BC139" s="95"/>
      <c r="BD139" s="93"/>
      <c r="BE139" s="95"/>
      <c r="BF139" s="91"/>
      <c r="BG139" s="92" t="s">
        <v>1356</v>
      </c>
      <c r="BH139" s="93"/>
      <c r="BI139" s="95"/>
      <c r="BJ139" s="93"/>
      <c r="BK139" s="95"/>
      <c r="BL139" s="91"/>
      <c r="BM139" s="92" t="s">
        <v>1356</v>
      </c>
      <c r="BN139" s="93"/>
      <c r="BO139" s="95"/>
      <c r="BP139" s="93"/>
      <c r="BQ139" s="95"/>
      <c r="BR139" s="91"/>
      <c r="BS139" s="92" t="s">
        <v>1356</v>
      </c>
      <c r="BT139" s="93"/>
      <c r="BU139" s="95"/>
      <c r="BV139" s="93"/>
      <c r="BW139" s="95"/>
      <c r="BX139" s="113"/>
      <c r="BY139" s="114" t="s">
        <v>1356</v>
      </c>
      <c r="BZ139" s="115"/>
      <c r="CA139" s="116"/>
      <c r="CB139" s="115"/>
      <c r="CC139" s="116"/>
      <c r="CD139" s="113"/>
      <c r="CE139" s="114" t="s">
        <v>1356</v>
      </c>
      <c r="CF139" s="115"/>
      <c r="CG139" s="116"/>
      <c r="CH139" s="115"/>
      <c r="CI139" s="116"/>
      <c r="CJ139" s="113"/>
      <c r="CK139" s="114" t="s">
        <v>1356</v>
      </c>
      <c r="CL139" s="115"/>
      <c r="CM139" s="116"/>
      <c r="CN139" s="115"/>
      <c r="CO139" s="116"/>
      <c r="CP139" s="113"/>
      <c r="CQ139" s="114" t="s">
        <v>1356</v>
      </c>
      <c r="CR139" s="115"/>
      <c r="CS139" s="116"/>
      <c r="CT139" s="115"/>
      <c r="CU139" s="116"/>
      <c r="CV139" s="113"/>
      <c r="CW139" s="114" t="s">
        <v>1356</v>
      </c>
      <c r="CX139" s="115"/>
      <c r="CY139" s="116"/>
      <c r="CZ139" s="115"/>
      <c r="DA139" s="116"/>
      <c r="DB139" s="128" t="s">
        <v>7085</v>
      </c>
      <c r="DC139" s="128" t="s">
        <v>78</v>
      </c>
    </row>
    <row r="140" spans="1:107" s="40" customFormat="1" ht="14.55" customHeight="1" x14ac:dyDescent="0.3">
      <c r="A140" s="25" t="s">
        <v>3500</v>
      </c>
      <c r="B140" s="25" t="s">
        <v>3762</v>
      </c>
      <c r="C140" s="25" t="s">
        <v>3763</v>
      </c>
      <c r="D140" s="25" t="s">
        <v>1447</v>
      </c>
      <c r="E140" s="25" t="s">
        <v>1448</v>
      </c>
      <c r="F140" s="25" t="s">
        <v>233</v>
      </c>
      <c r="G140" s="26" t="s">
        <v>72</v>
      </c>
      <c r="H140" s="27" t="s">
        <v>251</v>
      </c>
      <c r="I140" s="26">
        <v>1701</v>
      </c>
      <c r="J140" s="26">
        <v>170156</v>
      </c>
      <c r="K140" s="28">
        <v>3</v>
      </c>
      <c r="L140" s="25" t="s">
        <v>1449</v>
      </c>
      <c r="M140" s="25"/>
      <c r="N140" s="25" t="s">
        <v>1450</v>
      </c>
      <c r="O140" s="25"/>
      <c r="P140" s="25"/>
      <c r="Q140" s="25"/>
      <c r="R140" s="25"/>
      <c r="S140" s="25"/>
      <c r="T140" s="25"/>
      <c r="U140" s="25"/>
      <c r="V140" s="25"/>
      <c r="W140" s="25" t="s">
        <v>1451</v>
      </c>
      <c r="X140" s="25"/>
      <c r="Y140" s="25" t="s">
        <v>1447</v>
      </c>
      <c r="Z140" s="25"/>
      <c r="AA140" s="25"/>
      <c r="AB140" s="25"/>
      <c r="AC140" s="25"/>
      <c r="AD140" s="25"/>
      <c r="AE140" s="28">
        <v>3</v>
      </c>
      <c r="AF140" s="28" t="s">
        <v>377</v>
      </c>
      <c r="AG140" s="29" t="s">
        <v>65</v>
      </c>
      <c r="AH140" s="30"/>
      <c r="AI140" s="74" t="s">
        <v>65</v>
      </c>
      <c r="AJ140" s="32" t="s">
        <v>6938</v>
      </c>
      <c r="AK140" s="33" t="s">
        <v>92</v>
      </c>
      <c r="AL140" s="34">
        <v>45561</v>
      </c>
      <c r="AM140" s="35" t="s">
        <v>65</v>
      </c>
      <c r="AN140" s="36" t="s">
        <v>6940</v>
      </c>
      <c r="AO140" s="36" t="s">
        <v>6760</v>
      </c>
      <c r="AP140" s="36" t="s">
        <v>6760</v>
      </c>
      <c r="AQ140" s="37">
        <f t="shared" si="9"/>
        <v>0</v>
      </c>
      <c r="AR140" s="38">
        <f t="shared" si="10"/>
        <v>0</v>
      </c>
      <c r="AS140" s="39">
        <f t="shared" si="11"/>
        <v>0</v>
      </c>
      <c r="AT140" s="91"/>
      <c r="AU140" s="92" t="s">
        <v>1356</v>
      </c>
      <c r="AV140" s="93"/>
      <c r="AW140" s="94"/>
      <c r="AX140" s="93"/>
      <c r="AY140" s="95"/>
      <c r="AZ140" s="91"/>
      <c r="BA140" s="92" t="s">
        <v>1356</v>
      </c>
      <c r="BB140" s="93"/>
      <c r="BC140" s="95"/>
      <c r="BD140" s="93"/>
      <c r="BE140" s="95"/>
      <c r="BF140" s="91"/>
      <c r="BG140" s="92" t="s">
        <v>1356</v>
      </c>
      <c r="BH140" s="93"/>
      <c r="BI140" s="95"/>
      <c r="BJ140" s="93"/>
      <c r="BK140" s="95"/>
      <c r="BL140" s="91"/>
      <c r="BM140" s="92" t="s">
        <v>1356</v>
      </c>
      <c r="BN140" s="93"/>
      <c r="BO140" s="95"/>
      <c r="BP140" s="93"/>
      <c r="BQ140" s="95"/>
      <c r="BR140" s="91"/>
      <c r="BS140" s="92" t="s">
        <v>1356</v>
      </c>
      <c r="BT140" s="93"/>
      <c r="BU140" s="95"/>
      <c r="BV140" s="93"/>
      <c r="BW140" s="95"/>
      <c r="BX140" s="113"/>
      <c r="BY140" s="114" t="s">
        <v>1356</v>
      </c>
      <c r="BZ140" s="115"/>
      <c r="CA140" s="116"/>
      <c r="CB140" s="115"/>
      <c r="CC140" s="116"/>
      <c r="CD140" s="113"/>
      <c r="CE140" s="114" t="s">
        <v>1356</v>
      </c>
      <c r="CF140" s="115"/>
      <c r="CG140" s="116"/>
      <c r="CH140" s="115"/>
      <c r="CI140" s="116"/>
      <c r="CJ140" s="113"/>
      <c r="CK140" s="114" t="s">
        <v>1356</v>
      </c>
      <c r="CL140" s="115"/>
      <c r="CM140" s="116"/>
      <c r="CN140" s="115"/>
      <c r="CO140" s="116"/>
      <c r="CP140" s="113"/>
      <c r="CQ140" s="114" t="s">
        <v>1356</v>
      </c>
      <c r="CR140" s="115"/>
      <c r="CS140" s="116"/>
      <c r="CT140" s="115"/>
      <c r="CU140" s="116"/>
      <c r="CV140" s="113"/>
      <c r="CW140" s="114" t="s">
        <v>1356</v>
      </c>
      <c r="CX140" s="115"/>
      <c r="CY140" s="116"/>
      <c r="CZ140" s="115"/>
      <c r="DA140" s="116"/>
      <c r="DB140" s="128" t="s">
        <v>7085</v>
      </c>
      <c r="DC140" s="128" t="s">
        <v>92</v>
      </c>
    </row>
    <row r="141" spans="1:107" s="40" customFormat="1" ht="14.55" customHeight="1" x14ac:dyDescent="0.3">
      <c r="A141" s="25" t="s">
        <v>3500</v>
      </c>
      <c r="B141" s="25" t="s">
        <v>3764</v>
      </c>
      <c r="C141" s="25" t="s">
        <v>3765</v>
      </c>
      <c r="D141" s="25" t="s">
        <v>1452</v>
      </c>
      <c r="E141" s="25" t="s">
        <v>70</v>
      </c>
      <c r="F141" s="25" t="s">
        <v>1453</v>
      </c>
      <c r="G141" s="26" t="s">
        <v>72</v>
      </c>
      <c r="H141" s="27" t="s">
        <v>251</v>
      </c>
      <c r="I141" s="26">
        <v>1701</v>
      </c>
      <c r="J141" s="26">
        <v>170156</v>
      </c>
      <c r="K141" s="28">
        <v>4</v>
      </c>
      <c r="L141" s="25" t="s">
        <v>1454</v>
      </c>
      <c r="M141" s="25"/>
      <c r="N141" s="25" t="s">
        <v>1455</v>
      </c>
      <c r="O141" s="25"/>
      <c r="P141" s="25"/>
      <c r="Q141" s="25"/>
      <c r="R141" s="25"/>
      <c r="S141" s="25"/>
      <c r="T141" s="25"/>
      <c r="U141" s="25" t="s">
        <v>1456</v>
      </c>
      <c r="V141" s="25"/>
      <c r="W141" s="25" t="s">
        <v>1457</v>
      </c>
      <c r="X141" s="25" t="s">
        <v>1458</v>
      </c>
      <c r="Y141" s="25"/>
      <c r="Z141" s="25"/>
      <c r="AA141" s="25"/>
      <c r="AB141" s="25"/>
      <c r="AC141" s="25"/>
      <c r="AD141" s="25"/>
      <c r="AE141" s="28">
        <v>4</v>
      </c>
      <c r="AF141" s="28" t="s">
        <v>499</v>
      </c>
      <c r="AG141" s="29" t="s">
        <v>65</v>
      </c>
      <c r="AH141" s="30"/>
      <c r="AI141" s="31" t="s">
        <v>66</v>
      </c>
      <c r="AJ141" s="32" t="s">
        <v>6938</v>
      </c>
      <c r="AK141" s="33" t="s">
        <v>67</v>
      </c>
      <c r="AL141" s="34">
        <v>45562</v>
      </c>
      <c r="AM141" s="36" t="s">
        <v>66</v>
      </c>
      <c r="AN141" s="36"/>
      <c r="AO141" s="36"/>
      <c r="AP141" s="36"/>
      <c r="AQ141" s="37">
        <f t="shared" si="9"/>
        <v>0</v>
      </c>
      <c r="AR141" s="38">
        <f t="shared" si="10"/>
        <v>0</v>
      </c>
      <c r="AS141" s="39">
        <f t="shared" si="11"/>
        <v>0</v>
      </c>
      <c r="AT141" s="91"/>
      <c r="AU141" s="92" t="s">
        <v>1356</v>
      </c>
      <c r="AV141" s="93"/>
      <c r="AW141" s="94"/>
      <c r="AX141" s="93"/>
      <c r="AY141" s="95"/>
      <c r="AZ141" s="91"/>
      <c r="BA141" s="92" t="s">
        <v>1356</v>
      </c>
      <c r="BB141" s="93"/>
      <c r="BC141" s="95"/>
      <c r="BD141" s="93"/>
      <c r="BE141" s="95"/>
      <c r="BF141" s="91"/>
      <c r="BG141" s="92" t="s">
        <v>1356</v>
      </c>
      <c r="BH141" s="93"/>
      <c r="BI141" s="95"/>
      <c r="BJ141" s="93"/>
      <c r="BK141" s="95"/>
      <c r="BL141" s="91"/>
      <c r="BM141" s="92" t="s">
        <v>1356</v>
      </c>
      <c r="BN141" s="93"/>
      <c r="BO141" s="95"/>
      <c r="BP141" s="93"/>
      <c r="BQ141" s="95"/>
      <c r="BR141" s="91"/>
      <c r="BS141" s="92" t="s">
        <v>1356</v>
      </c>
      <c r="BT141" s="93"/>
      <c r="BU141" s="95"/>
      <c r="BV141" s="93"/>
      <c r="BW141" s="95"/>
      <c r="BX141" s="113"/>
      <c r="BY141" s="114" t="s">
        <v>1356</v>
      </c>
      <c r="BZ141" s="115"/>
      <c r="CA141" s="116"/>
      <c r="CB141" s="115"/>
      <c r="CC141" s="116"/>
      <c r="CD141" s="113"/>
      <c r="CE141" s="114" t="s">
        <v>1356</v>
      </c>
      <c r="CF141" s="115"/>
      <c r="CG141" s="116"/>
      <c r="CH141" s="115"/>
      <c r="CI141" s="116"/>
      <c r="CJ141" s="113"/>
      <c r="CK141" s="114" t="s">
        <v>1356</v>
      </c>
      <c r="CL141" s="115"/>
      <c r="CM141" s="116"/>
      <c r="CN141" s="115"/>
      <c r="CO141" s="116"/>
      <c r="CP141" s="113"/>
      <c r="CQ141" s="114" t="s">
        <v>1356</v>
      </c>
      <c r="CR141" s="115"/>
      <c r="CS141" s="116"/>
      <c r="CT141" s="115"/>
      <c r="CU141" s="116"/>
      <c r="CV141" s="113"/>
      <c r="CW141" s="114" t="s">
        <v>1356</v>
      </c>
      <c r="CX141" s="115"/>
      <c r="CY141" s="116"/>
      <c r="CZ141" s="115"/>
      <c r="DA141" s="116"/>
      <c r="DB141" s="128" t="s">
        <v>7085</v>
      </c>
      <c r="DC141" s="131" t="s">
        <v>6751</v>
      </c>
    </row>
    <row r="142" spans="1:107" s="40" customFormat="1" ht="14.55" customHeight="1" x14ac:dyDescent="0.3">
      <c r="A142" s="25" t="s">
        <v>3500</v>
      </c>
      <c r="B142" s="25" t="s">
        <v>3766</v>
      </c>
      <c r="C142" s="25" t="s">
        <v>3767</v>
      </c>
      <c r="D142" s="25" t="s">
        <v>1459</v>
      </c>
      <c r="E142" s="25" t="s">
        <v>1460</v>
      </c>
      <c r="F142" s="25" t="s">
        <v>256</v>
      </c>
      <c r="G142" s="26" t="s">
        <v>72</v>
      </c>
      <c r="H142" s="27" t="s">
        <v>251</v>
      </c>
      <c r="I142" s="26">
        <v>1701</v>
      </c>
      <c r="J142" s="26">
        <v>170156</v>
      </c>
      <c r="K142" s="28">
        <v>4</v>
      </c>
      <c r="L142" s="25" t="s">
        <v>1461</v>
      </c>
      <c r="M142" s="25" t="s">
        <v>1393</v>
      </c>
      <c r="N142" s="25" t="s">
        <v>1462</v>
      </c>
      <c r="O142" s="25"/>
      <c r="P142" s="25"/>
      <c r="Q142" s="25" t="s">
        <v>1460</v>
      </c>
      <c r="R142" s="25" t="s">
        <v>60</v>
      </c>
      <c r="S142" s="25"/>
      <c r="T142" s="25"/>
      <c r="U142" s="25" t="s">
        <v>1409</v>
      </c>
      <c r="V142" s="25"/>
      <c r="W142" s="25" t="s">
        <v>1463</v>
      </c>
      <c r="X142" s="25" t="s">
        <v>1464</v>
      </c>
      <c r="Y142" s="25" t="s">
        <v>771</v>
      </c>
      <c r="Z142" s="25"/>
      <c r="AA142" s="25"/>
      <c r="AB142" s="25">
        <v>170156026</v>
      </c>
      <c r="AC142" s="25">
        <v>170156026007</v>
      </c>
      <c r="AD142" s="25">
        <v>170156026007003</v>
      </c>
      <c r="AE142" s="28">
        <v>5</v>
      </c>
      <c r="AF142" s="28" t="s">
        <v>772</v>
      </c>
      <c r="AG142" s="29" t="s">
        <v>65</v>
      </c>
      <c r="AH142" s="30"/>
      <c r="AI142" s="31" t="s">
        <v>66</v>
      </c>
      <c r="AJ142" s="32" t="s">
        <v>6938</v>
      </c>
      <c r="AK142" s="33" t="s">
        <v>67</v>
      </c>
      <c r="AL142" s="34">
        <v>45562</v>
      </c>
      <c r="AM142" s="36" t="s">
        <v>66</v>
      </c>
      <c r="AN142" s="36"/>
      <c r="AO142" s="36"/>
      <c r="AP142" s="36"/>
      <c r="AQ142" s="37">
        <f t="shared" si="9"/>
        <v>0</v>
      </c>
      <c r="AR142" s="38">
        <f t="shared" si="10"/>
        <v>0</v>
      </c>
      <c r="AS142" s="39">
        <f t="shared" si="11"/>
        <v>0</v>
      </c>
      <c r="AT142" s="91"/>
      <c r="AU142" s="92" t="s">
        <v>1356</v>
      </c>
      <c r="AV142" s="93"/>
      <c r="AW142" s="94"/>
      <c r="AX142" s="93"/>
      <c r="AY142" s="95"/>
      <c r="AZ142" s="91"/>
      <c r="BA142" s="92" t="s">
        <v>1356</v>
      </c>
      <c r="BB142" s="93"/>
      <c r="BC142" s="95"/>
      <c r="BD142" s="93"/>
      <c r="BE142" s="95"/>
      <c r="BF142" s="91"/>
      <c r="BG142" s="92" t="s">
        <v>1356</v>
      </c>
      <c r="BH142" s="93"/>
      <c r="BI142" s="95"/>
      <c r="BJ142" s="93"/>
      <c r="BK142" s="95"/>
      <c r="BL142" s="91"/>
      <c r="BM142" s="92" t="s">
        <v>1356</v>
      </c>
      <c r="BN142" s="93"/>
      <c r="BO142" s="95"/>
      <c r="BP142" s="93"/>
      <c r="BQ142" s="95"/>
      <c r="BR142" s="91"/>
      <c r="BS142" s="92" t="s">
        <v>1356</v>
      </c>
      <c r="BT142" s="93"/>
      <c r="BU142" s="95"/>
      <c r="BV142" s="93"/>
      <c r="BW142" s="95"/>
      <c r="BX142" s="113"/>
      <c r="BY142" s="114" t="s">
        <v>1356</v>
      </c>
      <c r="BZ142" s="115"/>
      <c r="CA142" s="116"/>
      <c r="CB142" s="115"/>
      <c r="CC142" s="116"/>
      <c r="CD142" s="113"/>
      <c r="CE142" s="114" t="s">
        <v>1356</v>
      </c>
      <c r="CF142" s="115"/>
      <c r="CG142" s="116"/>
      <c r="CH142" s="115"/>
      <c r="CI142" s="116"/>
      <c r="CJ142" s="113"/>
      <c r="CK142" s="114" t="s">
        <v>1356</v>
      </c>
      <c r="CL142" s="115"/>
      <c r="CM142" s="116"/>
      <c r="CN142" s="115"/>
      <c r="CO142" s="116"/>
      <c r="CP142" s="113"/>
      <c r="CQ142" s="114" t="s">
        <v>1356</v>
      </c>
      <c r="CR142" s="115"/>
      <c r="CS142" s="116"/>
      <c r="CT142" s="115"/>
      <c r="CU142" s="116"/>
      <c r="CV142" s="113"/>
      <c r="CW142" s="114" t="s">
        <v>1356</v>
      </c>
      <c r="CX142" s="115"/>
      <c r="CY142" s="116"/>
      <c r="CZ142" s="115"/>
      <c r="DA142" s="116"/>
      <c r="DB142" s="128" t="s">
        <v>7085</v>
      </c>
      <c r="DC142" s="131" t="s">
        <v>6751</v>
      </c>
    </row>
    <row r="143" spans="1:107" s="40" customFormat="1" ht="14.55" customHeight="1" x14ac:dyDescent="0.3">
      <c r="A143" s="25" t="s">
        <v>3500</v>
      </c>
      <c r="B143" s="25" t="s">
        <v>3768</v>
      </c>
      <c r="C143" s="25" t="s">
        <v>3769</v>
      </c>
      <c r="D143" s="25" t="s">
        <v>1465</v>
      </c>
      <c r="E143" s="25" t="s">
        <v>1466</v>
      </c>
      <c r="F143" s="25" t="s">
        <v>89</v>
      </c>
      <c r="G143" s="26" t="s">
        <v>72</v>
      </c>
      <c r="H143" s="27" t="s">
        <v>251</v>
      </c>
      <c r="I143" s="26">
        <v>1701</v>
      </c>
      <c r="J143" s="26">
        <v>170157</v>
      </c>
      <c r="K143" s="28">
        <v>2</v>
      </c>
      <c r="L143" s="25" t="s">
        <v>1467</v>
      </c>
      <c r="M143" s="25" t="s">
        <v>1468</v>
      </c>
      <c r="N143" s="25" t="s">
        <v>1469</v>
      </c>
      <c r="O143" s="25"/>
      <c r="P143" s="25"/>
      <c r="Q143" s="25"/>
      <c r="R143" s="25"/>
      <c r="S143" s="25"/>
      <c r="T143" s="25"/>
      <c r="U143" s="25"/>
      <c r="V143" s="25"/>
      <c r="W143" s="25" t="s">
        <v>1470</v>
      </c>
      <c r="X143" s="25"/>
      <c r="Y143" s="25" t="s">
        <v>1471</v>
      </c>
      <c r="Z143" s="25"/>
      <c r="AA143" s="25"/>
      <c r="AB143" s="25"/>
      <c r="AC143" s="25"/>
      <c r="AD143" s="25"/>
      <c r="AE143" s="28">
        <v>2</v>
      </c>
      <c r="AF143" s="28" t="s">
        <v>64</v>
      </c>
      <c r="AG143" s="29" t="s">
        <v>65</v>
      </c>
      <c r="AH143" s="30"/>
      <c r="AI143" s="31" t="s">
        <v>66</v>
      </c>
      <c r="AJ143" s="32" t="s">
        <v>6938</v>
      </c>
      <c r="AK143" s="33" t="s">
        <v>67</v>
      </c>
      <c r="AL143" s="34">
        <v>45569</v>
      </c>
      <c r="AM143" s="36" t="s">
        <v>66</v>
      </c>
      <c r="AN143" s="36"/>
      <c r="AO143" s="36"/>
      <c r="AP143" s="36"/>
      <c r="AQ143" s="37">
        <f t="shared" si="9"/>
        <v>0</v>
      </c>
      <c r="AR143" s="38">
        <f t="shared" si="10"/>
        <v>0</v>
      </c>
      <c r="AS143" s="39">
        <f t="shared" si="11"/>
        <v>0</v>
      </c>
      <c r="AT143" s="91"/>
      <c r="AU143" s="92" t="s">
        <v>1356</v>
      </c>
      <c r="AV143" s="93"/>
      <c r="AW143" s="94"/>
      <c r="AX143" s="93"/>
      <c r="AY143" s="95"/>
      <c r="AZ143" s="91"/>
      <c r="BA143" s="92" t="s">
        <v>1356</v>
      </c>
      <c r="BB143" s="93"/>
      <c r="BC143" s="95"/>
      <c r="BD143" s="93"/>
      <c r="BE143" s="95"/>
      <c r="BF143" s="91"/>
      <c r="BG143" s="92" t="s">
        <v>1356</v>
      </c>
      <c r="BH143" s="93"/>
      <c r="BI143" s="95"/>
      <c r="BJ143" s="93"/>
      <c r="BK143" s="95"/>
      <c r="BL143" s="91"/>
      <c r="BM143" s="92" t="s">
        <v>1356</v>
      </c>
      <c r="BN143" s="93"/>
      <c r="BO143" s="95"/>
      <c r="BP143" s="93"/>
      <c r="BQ143" s="95"/>
      <c r="BR143" s="91"/>
      <c r="BS143" s="92" t="s">
        <v>1356</v>
      </c>
      <c r="BT143" s="93"/>
      <c r="BU143" s="95"/>
      <c r="BV143" s="93"/>
      <c r="BW143" s="95"/>
      <c r="BX143" s="113"/>
      <c r="BY143" s="114" t="s">
        <v>1356</v>
      </c>
      <c r="BZ143" s="115"/>
      <c r="CA143" s="116"/>
      <c r="CB143" s="115"/>
      <c r="CC143" s="116"/>
      <c r="CD143" s="113"/>
      <c r="CE143" s="114" t="s">
        <v>1356</v>
      </c>
      <c r="CF143" s="115"/>
      <c r="CG143" s="116"/>
      <c r="CH143" s="115"/>
      <c r="CI143" s="116"/>
      <c r="CJ143" s="113"/>
      <c r="CK143" s="114" t="s">
        <v>1356</v>
      </c>
      <c r="CL143" s="115"/>
      <c r="CM143" s="116"/>
      <c r="CN143" s="115"/>
      <c r="CO143" s="116"/>
      <c r="CP143" s="113"/>
      <c r="CQ143" s="114" t="s">
        <v>1356</v>
      </c>
      <c r="CR143" s="115"/>
      <c r="CS143" s="116"/>
      <c r="CT143" s="115"/>
      <c r="CU143" s="116"/>
      <c r="CV143" s="113"/>
      <c r="CW143" s="114" t="s">
        <v>1356</v>
      </c>
      <c r="CX143" s="115"/>
      <c r="CY143" s="116"/>
      <c r="CZ143" s="115"/>
      <c r="DA143" s="116"/>
      <c r="DB143" s="128" t="s">
        <v>7085</v>
      </c>
      <c r="DC143" s="131" t="s">
        <v>6751</v>
      </c>
    </row>
    <row r="144" spans="1:107" s="40" customFormat="1" ht="14.55" customHeight="1" x14ac:dyDescent="0.3">
      <c r="A144" s="25" t="s">
        <v>3500</v>
      </c>
      <c r="B144" s="25" t="s">
        <v>3770</v>
      </c>
      <c r="C144" s="25" t="s">
        <v>3771</v>
      </c>
      <c r="D144" s="25" t="s">
        <v>1472</v>
      </c>
      <c r="E144" s="25" t="s">
        <v>1473</v>
      </c>
      <c r="F144" s="25" t="s">
        <v>567</v>
      </c>
      <c r="G144" s="26" t="s">
        <v>72</v>
      </c>
      <c r="H144" s="27" t="s">
        <v>251</v>
      </c>
      <c r="I144" s="26">
        <v>1701</v>
      </c>
      <c r="J144" s="26">
        <v>170157</v>
      </c>
      <c r="K144" s="28">
        <v>4</v>
      </c>
      <c r="L144" s="25" t="s">
        <v>1474</v>
      </c>
      <c r="M144" s="25" t="s">
        <v>258</v>
      </c>
      <c r="N144" s="25" t="s">
        <v>1475</v>
      </c>
      <c r="O144" s="25"/>
      <c r="P144" s="25"/>
      <c r="Q144" s="25" t="s">
        <v>1476</v>
      </c>
      <c r="R144" s="25" t="s">
        <v>113</v>
      </c>
      <c r="S144" s="25" t="s">
        <v>461</v>
      </c>
      <c r="T144" s="25"/>
      <c r="U144" s="25" t="s">
        <v>1477</v>
      </c>
      <c r="V144" s="25"/>
      <c r="W144" s="25" t="s">
        <v>1478</v>
      </c>
      <c r="X144" s="25" t="s">
        <v>1479</v>
      </c>
      <c r="Y144" s="25" t="s">
        <v>1480</v>
      </c>
      <c r="Z144" s="25">
        <v>-78.437821716070175</v>
      </c>
      <c r="AA144" s="25">
        <v>-0.19832750292589679</v>
      </c>
      <c r="AB144" s="25">
        <v>170157004</v>
      </c>
      <c r="AC144" s="25">
        <v>170157004003</v>
      </c>
      <c r="AD144" s="25">
        <v>170157004003001</v>
      </c>
      <c r="AE144" s="28">
        <v>3</v>
      </c>
      <c r="AF144" s="28" t="s">
        <v>377</v>
      </c>
      <c r="AG144" s="29" t="s">
        <v>65</v>
      </c>
      <c r="AH144" s="30"/>
      <c r="AI144" s="31" t="s">
        <v>66</v>
      </c>
      <c r="AJ144" s="32" t="s">
        <v>6938</v>
      </c>
      <c r="AK144" s="33" t="s">
        <v>67</v>
      </c>
      <c r="AL144" s="34">
        <v>45569</v>
      </c>
      <c r="AM144" s="36" t="s">
        <v>66</v>
      </c>
      <c r="AN144" s="36"/>
      <c r="AO144" s="36"/>
      <c r="AP144" s="36"/>
      <c r="AQ144" s="37">
        <f t="shared" si="9"/>
        <v>0</v>
      </c>
      <c r="AR144" s="38">
        <f t="shared" si="10"/>
        <v>0</v>
      </c>
      <c r="AS144" s="39">
        <f t="shared" si="11"/>
        <v>0</v>
      </c>
      <c r="AT144" s="91"/>
      <c r="AU144" s="92" t="s">
        <v>1356</v>
      </c>
      <c r="AV144" s="93"/>
      <c r="AW144" s="94"/>
      <c r="AX144" s="93"/>
      <c r="AY144" s="95"/>
      <c r="AZ144" s="91"/>
      <c r="BA144" s="92" t="s">
        <v>1356</v>
      </c>
      <c r="BB144" s="93"/>
      <c r="BC144" s="95"/>
      <c r="BD144" s="93"/>
      <c r="BE144" s="95"/>
      <c r="BF144" s="91"/>
      <c r="BG144" s="92" t="s">
        <v>1356</v>
      </c>
      <c r="BH144" s="93"/>
      <c r="BI144" s="95"/>
      <c r="BJ144" s="93"/>
      <c r="BK144" s="95"/>
      <c r="BL144" s="91"/>
      <c r="BM144" s="92" t="s">
        <v>1356</v>
      </c>
      <c r="BN144" s="93"/>
      <c r="BO144" s="95"/>
      <c r="BP144" s="93"/>
      <c r="BQ144" s="95"/>
      <c r="BR144" s="91"/>
      <c r="BS144" s="92" t="s">
        <v>1356</v>
      </c>
      <c r="BT144" s="93"/>
      <c r="BU144" s="95"/>
      <c r="BV144" s="93"/>
      <c r="BW144" s="95"/>
      <c r="BX144" s="113"/>
      <c r="BY144" s="114" t="s">
        <v>1356</v>
      </c>
      <c r="BZ144" s="115"/>
      <c r="CA144" s="116"/>
      <c r="CB144" s="115"/>
      <c r="CC144" s="116"/>
      <c r="CD144" s="113"/>
      <c r="CE144" s="114" t="s">
        <v>1356</v>
      </c>
      <c r="CF144" s="115"/>
      <c r="CG144" s="116"/>
      <c r="CH144" s="115"/>
      <c r="CI144" s="116"/>
      <c r="CJ144" s="113"/>
      <c r="CK144" s="114" t="s">
        <v>1356</v>
      </c>
      <c r="CL144" s="115"/>
      <c r="CM144" s="116"/>
      <c r="CN144" s="115"/>
      <c r="CO144" s="116"/>
      <c r="CP144" s="113"/>
      <c r="CQ144" s="114" t="s">
        <v>1356</v>
      </c>
      <c r="CR144" s="115"/>
      <c r="CS144" s="116"/>
      <c r="CT144" s="115"/>
      <c r="CU144" s="116"/>
      <c r="CV144" s="113"/>
      <c r="CW144" s="114" t="s">
        <v>1356</v>
      </c>
      <c r="CX144" s="115"/>
      <c r="CY144" s="116"/>
      <c r="CZ144" s="115"/>
      <c r="DA144" s="116"/>
      <c r="DB144" s="128" t="s">
        <v>7085</v>
      </c>
      <c r="DC144" s="131" t="s">
        <v>6751</v>
      </c>
    </row>
    <row r="145" spans="1:107" s="40" customFormat="1" ht="14.55" customHeight="1" x14ac:dyDescent="0.3">
      <c r="A145" s="25" t="s">
        <v>3500</v>
      </c>
      <c r="B145" s="25" t="s">
        <v>3772</v>
      </c>
      <c r="C145" s="25" t="s">
        <v>3773</v>
      </c>
      <c r="D145" s="25" t="s">
        <v>1481</v>
      </c>
      <c r="E145" s="25" t="s">
        <v>1482</v>
      </c>
      <c r="F145" s="25" t="s">
        <v>1329</v>
      </c>
      <c r="G145" s="26" t="s">
        <v>72</v>
      </c>
      <c r="H145" s="27" t="s">
        <v>251</v>
      </c>
      <c r="I145" s="26">
        <v>1701</v>
      </c>
      <c r="J145" s="26">
        <v>170157</v>
      </c>
      <c r="K145" s="28">
        <v>4</v>
      </c>
      <c r="L145" s="25" t="s">
        <v>1483</v>
      </c>
      <c r="M145" s="25" t="s">
        <v>1484</v>
      </c>
      <c r="N145" s="25" t="s">
        <v>1485</v>
      </c>
      <c r="O145" s="25"/>
      <c r="P145" s="25"/>
      <c r="Q145" s="25" t="s">
        <v>1486</v>
      </c>
      <c r="R145" s="25" t="s">
        <v>1177</v>
      </c>
      <c r="S145" s="25" t="s">
        <v>1177</v>
      </c>
      <c r="T145" s="25"/>
      <c r="U145" s="25" t="s">
        <v>1487</v>
      </c>
      <c r="V145" s="25"/>
      <c r="W145" s="25" t="s">
        <v>1488</v>
      </c>
      <c r="X145" s="25" t="s">
        <v>1489</v>
      </c>
      <c r="Y145" s="25" t="s">
        <v>1490</v>
      </c>
      <c r="Z145" s="25"/>
      <c r="AA145" s="25"/>
      <c r="AB145" s="25"/>
      <c r="AC145" s="25"/>
      <c r="AD145" s="25"/>
      <c r="AE145" s="28">
        <v>3</v>
      </c>
      <c r="AF145" s="28" t="s">
        <v>377</v>
      </c>
      <c r="AG145" s="29" t="s">
        <v>65</v>
      </c>
      <c r="AH145" s="30"/>
      <c r="AI145" s="31" t="s">
        <v>66</v>
      </c>
      <c r="AJ145" s="32" t="s">
        <v>6938</v>
      </c>
      <c r="AK145" s="33" t="s">
        <v>67</v>
      </c>
      <c r="AL145" s="34">
        <v>45569</v>
      </c>
      <c r="AM145" s="36" t="s">
        <v>66</v>
      </c>
      <c r="AN145" s="36"/>
      <c r="AO145" s="36"/>
      <c r="AP145" s="36"/>
      <c r="AQ145" s="37">
        <f t="shared" si="9"/>
        <v>0</v>
      </c>
      <c r="AR145" s="38">
        <f t="shared" si="10"/>
        <v>0</v>
      </c>
      <c r="AS145" s="39">
        <f t="shared" si="11"/>
        <v>0</v>
      </c>
      <c r="AT145" s="91"/>
      <c r="AU145" s="92" t="s">
        <v>1356</v>
      </c>
      <c r="AV145" s="93"/>
      <c r="AW145" s="94"/>
      <c r="AX145" s="93"/>
      <c r="AY145" s="95"/>
      <c r="AZ145" s="91"/>
      <c r="BA145" s="92" t="s">
        <v>1356</v>
      </c>
      <c r="BB145" s="93"/>
      <c r="BC145" s="95"/>
      <c r="BD145" s="93"/>
      <c r="BE145" s="95"/>
      <c r="BF145" s="91"/>
      <c r="BG145" s="92" t="s">
        <v>1356</v>
      </c>
      <c r="BH145" s="93"/>
      <c r="BI145" s="95"/>
      <c r="BJ145" s="93"/>
      <c r="BK145" s="95"/>
      <c r="BL145" s="91"/>
      <c r="BM145" s="92" t="s">
        <v>1356</v>
      </c>
      <c r="BN145" s="93"/>
      <c r="BO145" s="95"/>
      <c r="BP145" s="93"/>
      <c r="BQ145" s="95"/>
      <c r="BR145" s="91"/>
      <c r="BS145" s="92" t="s">
        <v>1356</v>
      </c>
      <c r="BT145" s="93"/>
      <c r="BU145" s="95"/>
      <c r="BV145" s="93"/>
      <c r="BW145" s="95"/>
      <c r="BX145" s="113"/>
      <c r="BY145" s="114" t="s">
        <v>1356</v>
      </c>
      <c r="BZ145" s="115"/>
      <c r="CA145" s="116"/>
      <c r="CB145" s="115"/>
      <c r="CC145" s="116"/>
      <c r="CD145" s="113"/>
      <c r="CE145" s="114" t="s">
        <v>1356</v>
      </c>
      <c r="CF145" s="115"/>
      <c r="CG145" s="116"/>
      <c r="CH145" s="115"/>
      <c r="CI145" s="116"/>
      <c r="CJ145" s="113"/>
      <c r="CK145" s="114" t="s">
        <v>1356</v>
      </c>
      <c r="CL145" s="115"/>
      <c r="CM145" s="116"/>
      <c r="CN145" s="115"/>
      <c r="CO145" s="116"/>
      <c r="CP145" s="113"/>
      <c r="CQ145" s="114" t="s">
        <v>1356</v>
      </c>
      <c r="CR145" s="115"/>
      <c r="CS145" s="116"/>
      <c r="CT145" s="115"/>
      <c r="CU145" s="116"/>
      <c r="CV145" s="113"/>
      <c r="CW145" s="114" t="s">
        <v>1356</v>
      </c>
      <c r="CX145" s="115"/>
      <c r="CY145" s="116"/>
      <c r="CZ145" s="115"/>
      <c r="DA145" s="116"/>
      <c r="DB145" s="128" t="s">
        <v>7085</v>
      </c>
      <c r="DC145" s="131" t="s">
        <v>6751</v>
      </c>
    </row>
    <row r="146" spans="1:107" s="40" customFormat="1" ht="14.55" customHeight="1" x14ac:dyDescent="0.3">
      <c r="A146" s="25" t="s">
        <v>3500</v>
      </c>
      <c r="B146" s="25" t="s">
        <v>3774</v>
      </c>
      <c r="C146" s="25" t="s">
        <v>3775</v>
      </c>
      <c r="D146" s="25" t="s">
        <v>1491</v>
      </c>
      <c r="E146" s="25" t="s">
        <v>1492</v>
      </c>
      <c r="F146" s="25" t="s">
        <v>1493</v>
      </c>
      <c r="G146" s="26" t="s">
        <v>72</v>
      </c>
      <c r="H146" s="27" t="s">
        <v>251</v>
      </c>
      <c r="I146" s="26">
        <v>1701</v>
      </c>
      <c r="J146" s="26">
        <v>170150</v>
      </c>
      <c r="K146" s="28">
        <v>4</v>
      </c>
      <c r="L146" s="25" t="s">
        <v>1494</v>
      </c>
      <c r="M146" s="25" t="s">
        <v>1495</v>
      </c>
      <c r="N146" s="25" t="s">
        <v>1496</v>
      </c>
      <c r="O146" s="25"/>
      <c r="P146" s="25" t="s">
        <v>1497</v>
      </c>
      <c r="Q146" s="25"/>
      <c r="R146" s="25"/>
      <c r="S146" s="25" t="s">
        <v>1498</v>
      </c>
      <c r="T146" s="25"/>
      <c r="U146" s="25" t="s">
        <v>1499</v>
      </c>
      <c r="V146" s="25"/>
      <c r="W146" s="25" t="s">
        <v>1500</v>
      </c>
      <c r="X146" s="25" t="s">
        <v>1501</v>
      </c>
      <c r="Y146" s="25" t="s">
        <v>1502</v>
      </c>
      <c r="Z146" s="25"/>
      <c r="AA146" s="25"/>
      <c r="AB146" s="25"/>
      <c r="AC146" s="25"/>
      <c r="AD146" s="25"/>
      <c r="AE146" s="28">
        <v>3</v>
      </c>
      <c r="AF146" s="28" t="s">
        <v>377</v>
      </c>
      <c r="AG146" s="29" t="s">
        <v>65</v>
      </c>
      <c r="AH146" s="30"/>
      <c r="AI146" s="31" t="s">
        <v>66</v>
      </c>
      <c r="AJ146" s="32" t="s">
        <v>6938</v>
      </c>
      <c r="AK146" s="33" t="s">
        <v>67</v>
      </c>
      <c r="AL146" s="34">
        <v>45569</v>
      </c>
      <c r="AM146" s="36" t="s">
        <v>66</v>
      </c>
      <c r="AN146" s="36"/>
      <c r="AO146" s="36"/>
      <c r="AP146" s="36"/>
      <c r="AQ146" s="37">
        <f t="shared" si="9"/>
        <v>0</v>
      </c>
      <c r="AR146" s="38">
        <f t="shared" si="10"/>
        <v>0</v>
      </c>
      <c r="AS146" s="39">
        <f t="shared" si="11"/>
        <v>0</v>
      </c>
      <c r="AT146" s="91"/>
      <c r="AU146" s="92" t="s">
        <v>1356</v>
      </c>
      <c r="AV146" s="93"/>
      <c r="AW146" s="94"/>
      <c r="AX146" s="93"/>
      <c r="AY146" s="95"/>
      <c r="AZ146" s="91"/>
      <c r="BA146" s="92" t="s">
        <v>1356</v>
      </c>
      <c r="BB146" s="93"/>
      <c r="BC146" s="95"/>
      <c r="BD146" s="93"/>
      <c r="BE146" s="95"/>
      <c r="BF146" s="91"/>
      <c r="BG146" s="92" t="s">
        <v>1356</v>
      </c>
      <c r="BH146" s="93"/>
      <c r="BI146" s="95"/>
      <c r="BJ146" s="93"/>
      <c r="BK146" s="95"/>
      <c r="BL146" s="91"/>
      <c r="BM146" s="92" t="s">
        <v>1356</v>
      </c>
      <c r="BN146" s="93"/>
      <c r="BO146" s="95"/>
      <c r="BP146" s="93"/>
      <c r="BQ146" s="95"/>
      <c r="BR146" s="91"/>
      <c r="BS146" s="92" t="s">
        <v>1356</v>
      </c>
      <c r="BT146" s="93"/>
      <c r="BU146" s="95"/>
      <c r="BV146" s="93"/>
      <c r="BW146" s="95"/>
      <c r="BX146" s="113"/>
      <c r="BY146" s="114" t="s">
        <v>1356</v>
      </c>
      <c r="BZ146" s="115"/>
      <c r="CA146" s="116"/>
      <c r="CB146" s="115"/>
      <c r="CC146" s="116"/>
      <c r="CD146" s="113"/>
      <c r="CE146" s="114" t="s">
        <v>1356</v>
      </c>
      <c r="CF146" s="115"/>
      <c r="CG146" s="116"/>
      <c r="CH146" s="115"/>
      <c r="CI146" s="116"/>
      <c r="CJ146" s="113"/>
      <c r="CK146" s="114" t="s">
        <v>1356</v>
      </c>
      <c r="CL146" s="115"/>
      <c r="CM146" s="116"/>
      <c r="CN146" s="115"/>
      <c r="CO146" s="116"/>
      <c r="CP146" s="113"/>
      <c r="CQ146" s="114" t="s">
        <v>1356</v>
      </c>
      <c r="CR146" s="115"/>
      <c r="CS146" s="116"/>
      <c r="CT146" s="115"/>
      <c r="CU146" s="116"/>
      <c r="CV146" s="113"/>
      <c r="CW146" s="114" t="s">
        <v>1356</v>
      </c>
      <c r="CX146" s="115"/>
      <c r="CY146" s="116"/>
      <c r="CZ146" s="115"/>
      <c r="DA146" s="116"/>
      <c r="DB146" s="128" t="s">
        <v>7085</v>
      </c>
      <c r="DC146" s="131" t="s">
        <v>78</v>
      </c>
    </row>
    <row r="147" spans="1:107" s="40" customFormat="1" ht="14.55" customHeight="1" x14ac:dyDescent="0.3">
      <c r="A147" s="25" t="s">
        <v>3500</v>
      </c>
      <c r="B147" s="25" t="s">
        <v>3776</v>
      </c>
      <c r="C147" s="25" t="s">
        <v>3777</v>
      </c>
      <c r="D147" s="25" t="s">
        <v>1503</v>
      </c>
      <c r="E147" s="25" t="s">
        <v>1504</v>
      </c>
      <c r="F147" s="25" t="s">
        <v>256</v>
      </c>
      <c r="G147" s="26" t="s">
        <v>72</v>
      </c>
      <c r="H147" s="27" t="s">
        <v>251</v>
      </c>
      <c r="I147" s="26">
        <v>1701</v>
      </c>
      <c r="J147" s="26">
        <v>170157</v>
      </c>
      <c r="K147" s="28">
        <v>4</v>
      </c>
      <c r="L147" s="25" t="s">
        <v>1505</v>
      </c>
      <c r="M147" s="25" t="s">
        <v>258</v>
      </c>
      <c r="N147" s="25" t="s">
        <v>1506</v>
      </c>
      <c r="O147" s="25"/>
      <c r="P147" s="25"/>
      <c r="Q147" s="25" t="s">
        <v>1507</v>
      </c>
      <c r="R147" s="25" t="s">
        <v>811</v>
      </c>
      <c r="S147" s="25" t="s">
        <v>766</v>
      </c>
      <c r="T147" s="25"/>
      <c r="U147" s="25"/>
      <c r="V147" s="25"/>
      <c r="W147" s="25" t="s">
        <v>1508</v>
      </c>
      <c r="X147" s="25" t="s">
        <v>1509</v>
      </c>
      <c r="Y147" s="25" t="s">
        <v>1510</v>
      </c>
      <c r="Z147" s="25">
        <v>-78.436801000000003</v>
      </c>
      <c r="AA147" s="25">
        <v>-0.19875300000000001</v>
      </c>
      <c r="AB147" s="25">
        <v>170157003</v>
      </c>
      <c r="AC147" s="25">
        <v>170157003008</v>
      </c>
      <c r="AD147" s="25">
        <v>170157003008001</v>
      </c>
      <c r="AE147" s="28">
        <v>5</v>
      </c>
      <c r="AF147" s="28" t="s">
        <v>772</v>
      </c>
      <c r="AG147" s="29" t="s">
        <v>65</v>
      </c>
      <c r="AH147" s="30"/>
      <c r="AI147" s="31" t="s">
        <v>66</v>
      </c>
      <c r="AJ147" s="32" t="s">
        <v>6938</v>
      </c>
      <c r="AK147" s="33" t="s">
        <v>67</v>
      </c>
      <c r="AL147" s="34">
        <v>45569</v>
      </c>
      <c r="AM147" s="36" t="s">
        <v>66</v>
      </c>
      <c r="AN147" s="36"/>
      <c r="AO147" s="36"/>
      <c r="AP147" s="36"/>
      <c r="AQ147" s="37">
        <f t="shared" si="9"/>
        <v>0</v>
      </c>
      <c r="AR147" s="38">
        <f t="shared" si="10"/>
        <v>0</v>
      </c>
      <c r="AS147" s="39">
        <f t="shared" si="11"/>
        <v>0</v>
      </c>
      <c r="AT147" s="91"/>
      <c r="AU147" s="92" t="s">
        <v>1356</v>
      </c>
      <c r="AV147" s="93"/>
      <c r="AW147" s="94"/>
      <c r="AX147" s="93"/>
      <c r="AY147" s="95"/>
      <c r="AZ147" s="91"/>
      <c r="BA147" s="92" t="s">
        <v>1356</v>
      </c>
      <c r="BB147" s="93"/>
      <c r="BC147" s="95"/>
      <c r="BD147" s="93"/>
      <c r="BE147" s="95"/>
      <c r="BF147" s="91"/>
      <c r="BG147" s="92" t="s">
        <v>1356</v>
      </c>
      <c r="BH147" s="93"/>
      <c r="BI147" s="95"/>
      <c r="BJ147" s="93"/>
      <c r="BK147" s="95"/>
      <c r="BL147" s="91"/>
      <c r="BM147" s="92" t="s">
        <v>1356</v>
      </c>
      <c r="BN147" s="93"/>
      <c r="BO147" s="95"/>
      <c r="BP147" s="93"/>
      <c r="BQ147" s="95"/>
      <c r="BR147" s="91"/>
      <c r="BS147" s="92" t="s">
        <v>1356</v>
      </c>
      <c r="BT147" s="93"/>
      <c r="BU147" s="95"/>
      <c r="BV147" s="93"/>
      <c r="BW147" s="95"/>
      <c r="BX147" s="113"/>
      <c r="BY147" s="114" t="s">
        <v>1356</v>
      </c>
      <c r="BZ147" s="115"/>
      <c r="CA147" s="116"/>
      <c r="CB147" s="115"/>
      <c r="CC147" s="116"/>
      <c r="CD147" s="113"/>
      <c r="CE147" s="114" t="s">
        <v>1356</v>
      </c>
      <c r="CF147" s="115"/>
      <c r="CG147" s="116"/>
      <c r="CH147" s="115"/>
      <c r="CI147" s="116"/>
      <c r="CJ147" s="113"/>
      <c r="CK147" s="114" t="s">
        <v>1356</v>
      </c>
      <c r="CL147" s="115"/>
      <c r="CM147" s="116"/>
      <c r="CN147" s="115"/>
      <c r="CO147" s="116"/>
      <c r="CP147" s="113"/>
      <c r="CQ147" s="114" t="s">
        <v>1356</v>
      </c>
      <c r="CR147" s="115"/>
      <c r="CS147" s="116"/>
      <c r="CT147" s="115"/>
      <c r="CU147" s="116"/>
      <c r="CV147" s="113"/>
      <c r="CW147" s="114" t="s">
        <v>1356</v>
      </c>
      <c r="CX147" s="115"/>
      <c r="CY147" s="116"/>
      <c r="CZ147" s="115"/>
      <c r="DA147" s="116"/>
      <c r="DB147" s="128" t="s">
        <v>7085</v>
      </c>
      <c r="DC147" s="128" t="s">
        <v>105</v>
      </c>
    </row>
    <row r="148" spans="1:107" s="40" customFormat="1" ht="14.55" customHeight="1" x14ac:dyDescent="0.3">
      <c r="A148" s="35" t="s">
        <v>4219</v>
      </c>
      <c r="B148" s="35" t="s">
        <v>6274</v>
      </c>
      <c r="C148" s="35" t="s">
        <v>6275</v>
      </c>
      <c r="D148" s="35" t="s">
        <v>6276</v>
      </c>
      <c r="E148" s="35" t="s">
        <v>6277</v>
      </c>
      <c r="F148" s="35" t="s">
        <v>256</v>
      </c>
      <c r="G148" s="35" t="s">
        <v>4237</v>
      </c>
      <c r="H148" s="27" t="s">
        <v>686</v>
      </c>
      <c r="I148" s="62">
        <v>901</v>
      </c>
      <c r="J148" s="62">
        <v>90150</v>
      </c>
      <c r="K148" s="63">
        <v>4</v>
      </c>
      <c r="L148" s="35" t="s">
        <v>5064</v>
      </c>
      <c r="M148" s="35"/>
      <c r="N148" s="35" t="s">
        <v>6278</v>
      </c>
      <c r="O148" s="35"/>
      <c r="P148" s="35" t="s">
        <v>6279</v>
      </c>
      <c r="Q148" s="35" t="s">
        <v>6280</v>
      </c>
      <c r="R148" s="35"/>
      <c r="S148" s="35"/>
      <c r="T148" s="35" t="s">
        <v>6279</v>
      </c>
      <c r="U148" s="35"/>
      <c r="V148" s="35" t="s">
        <v>6281</v>
      </c>
      <c r="W148" s="35" t="s">
        <v>6282</v>
      </c>
      <c r="X148" s="35" t="s">
        <v>6283</v>
      </c>
      <c r="Y148" s="35" t="s">
        <v>6284</v>
      </c>
      <c r="Z148" s="35"/>
      <c r="AA148" s="35"/>
      <c r="AB148" s="35">
        <v>90150642</v>
      </c>
      <c r="AC148" s="35">
        <v>90150642005</v>
      </c>
      <c r="AD148" s="35">
        <v>90150642005002</v>
      </c>
      <c r="AE148" s="63">
        <v>5</v>
      </c>
      <c r="AF148" s="63" t="s">
        <v>772</v>
      </c>
      <c r="AG148" s="46" t="s">
        <v>66</v>
      </c>
      <c r="AH148" s="64">
        <v>80124</v>
      </c>
      <c r="AI148" s="65" t="s">
        <v>66</v>
      </c>
      <c r="AJ148" s="32" t="s">
        <v>6938</v>
      </c>
      <c r="AK148" s="33" t="s">
        <v>67</v>
      </c>
      <c r="AL148" s="58">
        <v>45573</v>
      </c>
      <c r="AM148" s="52" t="s">
        <v>66</v>
      </c>
      <c r="AN148" s="35"/>
      <c r="AO148" s="35"/>
      <c r="AP148" s="35"/>
      <c r="AQ148" s="37">
        <f t="shared" si="9"/>
        <v>3</v>
      </c>
      <c r="AR148" s="38">
        <f t="shared" si="10"/>
        <v>0</v>
      </c>
      <c r="AS148" s="39">
        <f t="shared" si="11"/>
        <v>3</v>
      </c>
      <c r="AT148" s="99" t="s">
        <v>7025</v>
      </c>
      <c r="AU148" s="99" t="s">
        <v>7026</v>
      </c>
      <c r="AV148" s="99" t="s">
        <v>7027</v>
      </c>
      <c r="AW148" s="100">
        <v>45161</v>
      </c>
      <c r="AX148" s="99"/>
      <c r="AY148" s="101"/>
      <c r="AZ148" s="99" t="s">
        <v>6766</v>
      </c>
      <c r="BA148" s="99" t="s">
        <v>2865</v>
      </c>
      <c r="BB148" s="99" t="s">
        <v>7028</v>
      </c>
      <c r="BC148" s="101">
        <v>45478</v>
      </c>
      <c r="BD148" s="99"/>
      <c r="BE148" s="101"/>
      <c r="BF148" s="99" t="s">
        <v>6766</v>
      </c>
      <c r="BG148" s="99" t="s">
        <v>2865</v>
      </c>
      <c r="BH148" s="99" t="s">
        <v>7029</v>
      </c>
      <c r="BI148" s="101">
        <v>45161</v>
      </c>
      <c r="BJ148" s="99"/>
      <c r="BK148" s="101"/>
      <c r="BL148" s="99"/>
      <c r="BM148" s="99" t="s">
        <v>1356</v>
      </c>
      <c r="BN148" s="99"/>
      <c r="BO148" s="101"/>
      <c r="BP148" s="99"/>
      <c r="BQ148" s="101"/>
      <c r="BR148" s="99"/>
      <c r="BS148" s="99" t="s">
        <v>1356</v>
      </c>
      <c r="BT148" s="99"/>
      <c r="BU148" s="101"/>
      <c r="BV148" s="99"/>
      <c r="BW148" s="101"/>
      <c r="BX148" s="119"/>
      <c r="BY148" s="119" t="s">
        <v>1356</v>
      </c>
      <c r="BZ148" s="119"/>
      <c r="CA148" s="120"/>
      <c r="CB148" s="119"/>
      <c r="CC148" s="120"/>
      <c r="CD148" s="119"/>
      <c r="CE148" s="119" t="s">
        <v>1356</v>
      </c>
      <c r="CF148" s="119"/>
      <c r="CG148" s="120"/>
      <c r="CH148" s="119"/>
      <c r="CI148" s="120"/>
      <c r="CJ148" s="119"/>
      <c r="CK148" s="119" t="s">
        <v>1356</v>
      </c>
      <c r="CL148" s="119"/>
      <c r="CM148" s="120"/>
      <c r="CN148" s="119"/>
      <c r="CO148" s="120"/>
      <c r="CP148" s="119"/>
      <c r="CQ148" s="119" t="s">
        <v>1356</v>
      </c>
      <c r="CR148" s="119"/>
      <c r="CS148" s="120"/>
      <c r="CT148" s="119"/>
      <c r="CU148" s="120"/>
      <c r="CV148" s="119"/>
      <c r="CW148" s="119" t="s">
        <v>1356</v>
      </c>
      <c r="CX148" s="119"/>
      <c r="CY148" s="120"/>
      <c r="CZ148" s="119"/>
      <c r="DA148" s="120"/>
      <c r="DB148" s="129" t="s">
        <v>6962</v>
      </c>
      <c r="DC148" s="131" t="s">
        <v>105</v>
      </c>
    </row>
    <row r="149" spans="1:107" s="40" customFormat="1" ht="14.55" customHeight="1" x14ac:dyDescent="0.3">
      <c r="A149" s="25" t="s">
        <v>3500</v>
      </c>
      <c r="B149" s="25" t="s">
        <v>3780</v>
      </c>
      <c r="C149" s="25" t="s">
        <v>3781</v>
      </c>
      <c r="D149" s="25" t="s">
        <v>1524</v>
      </c>
      <c r="E149" s="25" t="s">
        <v>1525</v>
      </c>
      <c r="F149" s="25" t="s">
        <v>291</v>
      </c>
      <c r="G149" s="26" t="s">
        <v>72</v>
      </c>
      <c r="H149" s="27" t="s">
        <v>251</v>
      </c>
      <c r="I149" s="26">
        <v>1701</v>
      </c>
      <c r="J149" s="26">
        <v>170170</v>
      </c>
      <c r="K149" s="28">
        <v>4</v>
      </c>
      <c r="L149" s="25" t="s">
        <v>1414</v>
      </c>
      <c r="M149" s="25" t="s">
        <v>258</v>
      </c>
      <c r="N149" s="25" t="s">
        <v>1474</v>
      </c>
      <c r="O149" s="25" t="s">
        <v>1526</v>
      </c>
      <c r="P149" s="25"/>
      <c r="Q149" s="25"/>
      <c r="R149" s="25" t="s">
        <v>60</v>
      </c>
      <c r="S149" s="25"/>
      <c r="T149" s="25"/>
      <c r="U149" s="25"/>
      <c r="V149" s="25"/>
      <c r="W149" s="25" t="s">
        <v>1527</v>
      </c>
      <c r="X149" s="25" t="s">
        <v>1528</v>
      </c>
      <c r="Y149" s="25" t="s">
        <v>1529</v>
      </c>
      <c r="Z149" s="25"/>
      <c r="AA149" s="25"/>
      <c r="AB149" s="25">
        <v>170170999</v>
      </c>
      <c r="AC149" s="25">
        <v>170170999014</v>
      </c>
      <c r="AD149" s="25"/>
      <c r="AE149" s="28">
        <v>5</v>
      </c>
      <c r="AF149" s="28" t="s">
        <v>772</v>
      </c>
      <c r="AG149" s="29" t="s">
        <v>65</v>
      </c>
      <c r="AH149" s="30"/>
      <c r="AI149" s="31" t="s">
        <v>66</v>
      </c>
      <c r="AJ149" s="32" t="s">
        <v>6938</v>
      </c>
      <c r="AK149" s="33" t="s">
        <v>67</v>
      </c>
      <c r="AL149" s="34">
        <v>45569</v>
      </c>
      <c r="AM149" s="36" t="s">
        <v>66</v>
      </c>
      <c r="AN149" s="36"/>
      <c r="AO149" s="36"/>
      <c r="AP149" s="36"/>
      <c r="AQ149" s="37">
        <f t="shared" si="9"/>
        <v>0</v>
      </c>
      <c r="AR149" s="38">
        <f t="shared" si="10"/>
        <v>0</v>
      </c>
      <c r="AS149" s="39">
        <f t="shared" si="11"/>
        <v>0</v>
      </c>
      <c r="AT149" s="91"/>
      <c r="AU149" s="92" t="s">
        <v>1356</v>
      </c>
      <c r="AV149" s="93"/>
      <c r="AW149" s="94"/>
      <c r="AX149" s="93"/>
      <c r="AY149" s="95"/>
      <c r="AZ149" s="91"/>
      <c r="BA149" s="92" t="s">
        <v>1356</v>
      </c>
      <c r="BB149" s="93"/>
      <c r="BC149" s="95"/>
      <c r="BD149" s="93"/>
      <c r="BE149" s="95"/>
      <c r="BF149" s="91"/>
      <c r="BG149" s="92" t="s">
        <v>1356</v>
      </c>
      <c r="BH149" s="93"/>
      <c r="BI149" s="95"/>
      <c r="BJ149" s="93"/>
      <c r="BK149" s="95"/>
      <c r="BL149" s="91"/>
      <c r="BM149" s="92" t="s">
        <v>1356</v>
      </c>
      <c r="BN149" s="93"/>
      <c r="BO149" s="95"/>
      <c r="BP149" s="93"/>
      <c r="BQ149" s="95"/>
      <c r="BR149" s="91"/>
      <c r="BS149" s="92" t="s">
        <v>1356</v>
      </c>
      <c r="BT149" s="93"/>
      <c r="BU149" s="95"/>
      <c r="BV149" s="93"/>
      <c r="BW149" s="95"/>
      <c r="BX149" s="113"/>
      <c r="BY149" s="114" t="s">
        <v>1356</v>
      </c>
      <c r="BZ149" s="115"/>
      <c r="CA149" s="116"/>
      <c r="CB149" s="115"/>
      <c r="CC149" s="116"/>
      <c r="CD149" s="113"/>
      <c r="CE149" s="114" t="s">
        <v>1356</v>
      </c>
      <c r="CF149" s="115"/>
      <c r="CG149" s="116"/>
      <c r="CH149" s="115"/>
      <c r="CI149" s="116"/>
      <c r="CJ149" s="113"/>
      <c r="CK149" s="114" t="s">
        <v>1356</v>
      </c>
      <c r="CL149" s="115"/>
      <c r="CM149" s="116"/>
      <c r="CN149" s="115"/>
      <c r="CO149" s="116"/>
      <c r="CP149" s="113"/>
      <c r="CQ149" s="114" t="s">
        <v>1356</v>
      </c>
      <c r="CR149" s="115"/>
      <c r="CS149" s="116"/>
      <c r="CT149" s="115"/>
      <c r="CU149" s="116"/>
      <c r="CV149" s="113"/>
      <c r="CW149" s="114" t="s">
        <v>1356</v>
      </c>
      <c r="CX149" s="115"/>
      <c r="CY149" s="116"/>
      <c r="CZ149" s="115"/>
      <c r="DA149" s="116"/>
      <c r="DB149" s="128" t="s">
        <v>7085</v>
      </c>
      <c r="DC149" s="128" t="s">
        <v>105</v>
      </c>
    </row>
    <row r="150" spans="1:107" s="40" customFormat="1" ht="14.55" customHeight="1" x14ac:dyDescent="0.3">
      <c r="A150" s="25" t="s">
        <v>3500</v>
      </c>
      <c r="B150" s="25" t="s">
        <v>3782</v>
      </c>
      <c r="C150" s="25" t="s">
        <v>3783</v>
      </c>
      <c r="D150" s="25" t="s">
        <v>1530</v>
      </c>
      <c r="E150" s="25" t="s">
        <v>70</v>
      </c>
      <c r="F150" s="25" t="s">
        <v>89</v>
      </c>
      <c r="G150" s="26" t="s">
        <v>72</v>
      </c>
      <c r="H150" s="27" t="s">
        <v>251</v>
      </c>
      <c r="I150" s="26">
        <v>1701</v>
      </c>
      <c r="J150" s="26">
        <v>170175</v>
      </c>
      <c r="K150" s="28">
        <v>4</v>
      </c>
      <c r="L150" s="25" t="s">
        <v>1531</v>
      </c>
      <c r="M150" s="25"/>
      <c r="N150" s="25" t="s">
        <v>1532</v>
      </c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8">
        <v>2</v>
      </c>
      <c r="AF150" s="28" t="s">
        <v>64</v>
      </c>
      <c r="AG150" s="29" t="s">
        <v>65</v>
      </c>
      <c r="AH150" s="30"/>
      <c r="AI150" s="31" t="s">
        <v>66</v>
      </c>
      <c r="AJ150" s="32" t="s">
        <v>6938</v>
      </c>
      <c r="AK150" s="33" t="s">
        <v>67</v>
      </c>
      <c r="AL150" s="34">
        <v>45573</v>
      </c>
      <c r="AM150" s="36" t="s">
        <v>66</v>
      </c>
      <c r="AN150" s="36"/>
      <c r="AO150" s="36"/>
      <c r="AP150" s="36"/>
      <c r="AQ150" s="37">
        <f t="shared" si="9"/>
        <v>0</v>
      </c>
      <c r="AR150" s="38">
        <f t="shared" si="10"/>
        <v>0</v>
      </c>
      <c r="AS150" s="39">
        <f t="shared" si="11"/>
        <v>0</v>
      </c>
      <c r="AT150" s="91"/>
      <c r="AU150" s="92" t="s">
        <v>1356</v>
      </c>
      <c r="AV150" s="93"/>
      <c r="AW150" s="94"/>
      <c r="AX150" s="93"/>
      <c r="AY150" s="95"/>
      <c r="AZ150" s="91"/>
      <c r="BA150" s="92" t="s">
        <v>1356</v>
      </c>
      <c r="BB150" s="93"/>
      <c r="BC150" s="95"/>
      <c r="BD150" s="93"/>
      <c r="BE150" s="95"/>
      <c r="BF150" s="91"/>
      <c r="BG150" s="92" t="s">
        <v>1356</v>
      </c>
      <c r="BH150" s="93"/>
      <c r="BI150" s="95"/>
      <c r="BJ150" s="93"/>
      <c r="BK150" s="95"/>
      <c r="BL150" s="91"/>
      <c r="BM150" s="92" t="s">
        <v>1356</v>
      </c>
      <c r="BN150" s="93"/>
      <c r="BO150" s="95"/>
      <c r="BP150" s="93"/>
      <c r="BQ150" s="95"/>
      <c r="BR150" s="91"/>
      <c r="BS150" s="92" t="s">
        <v>1356</v>
      </c>
      <c r="BT150" s="93"/>
      <c r="BU150" s="95"/>
      <c r="BV150" s="93"/>
      <c r="BW150" s="95"/>
      <c r="BX150" s="113"/>
      <c r="BY150" s="114" t="s">
        <v>1356</v>
      </c>
      <c r="BZ150" s="115"/>
      <c r="CA150" s="116"/>
      <c r="CB150" s="115"/>
      <c r="CC150" s="116"/>
      <c r="CD150" s="113"/>
      <c r="CE150" s="114" t="s">
        <v>1356</v>
      </c>
      <c r="CF150" s="115"/>
      <c r="CG150" s="116"/>
      <c r="CH150" s="115"/>
      <c r="CI150" s="116"/>
      <c r="CJ150" s="113"/>
      <c r="CK150" s="114" t="s">
        <v>1356</v>
      </c>
      <c r="CL150" s="115"/>
      <c r="CM150" s="116"/>
      <c r="CN150" s="115"/>
      <c r="CO150" s="116"/>
      <c r="CP150" s="113"/>
      <c r="CQ150" s="114" t="s">
        <v>1356</v>
      </c>
      <c r="CR150" s="115"/>
      <c r="CS150" s="116"/>
      <c r="CT150" s="115"/>
      <c r="CU150" s="116"/>
      <c r="CV150" s="113"/>
      <c r="CW150" s="114" t="s">
        <v>1356</v>
      </c>
      <c r="CX150" s="115"/>
      <c r="CY150" s="116"/>
      <c r="CZ150" s="115"/>
      <c r="DA150" s="116"/>
      <c r="DB150" s="128" t="s">
        <v>7085</v>
      </c>
      <c r="DC150" s="128" t="s">
        <v>105</v>
      </c>
    </row>
    <row r="151" spans="1:107" s="40" customFormat="1" ht="14.55" customHeight="1" x14ac:dyDescent="0.3">
      <c r="A151" s="25" t="s">
        <v>3500</v>
      </c>
      <c r="B151" s="25" t="s">
        <v>3784</v>
      </c>
      <c r="C151" s="25" t="s">
        <v>3785</v>
      </c>
      <c r="D151" s="25" t="s">
        <v>1533</v>
      </c>
      <c r="E151" s="25" t="s">
        <v>1534</v>
      </c>
      <c r="F151" s="25" t="s">
        <v>1493</v>
      </c>
      <c r="G151" s="26" t="s">
        <v>72</v>
      </c>
      <c r="H151" s="27" t="s">
        <v>251</v>
      </c>
      <c r="I151" s="26">
        <v>1701</v>
      </c>
      <c r="J151" s="26">
        <v>170175</v>
      </c>
      <c r="K151" s="28">
        <v>4</v>
      </c>
      <c r="L151" s="25" t="s">
        <v>1535</v>
      </c>
      <c r="M151" s="25" t="s">
        <v>1536</v>
      </c>
      <c r="N151" s="25"/>
      <c r="O151" s="25" t="s">
        <v>1537</v>
      </c>
      <c r="P151" s="25"/>
      <c r="Q151" s="25"/>
      <c r="R151" s="25"/>
      <c r="S151" s="25"/>
      <c r="T151" s="25"/>
      <c r="U151" s="25"/>
      <c r="V151" s="25"/>
      <c r="W151" s="25" t="s">
        <v>1538</v>
      </c>
      <c r="X151" s="25" t="s">
        <v>1539</v>
      </c>
      <c r="Y151" s="25" t="s">
        <v>1540</v>
      </c>
      <c r="Z151" s="25">
        <v>-78.346419999999995</v>
      </c>
      <c r="AA151" s="25">
        <v>-0.22420000000000001</v>
      </c>
      <c r="AB151" s="25">
        <v>170175001</v>
      </c>
      <c r="AC151" s="25">
        <v>170175001007</v>
      </c>
      <c r="AD151" s="25">
        <v>170175001007001</v>
      </c>
      <c r="AE151" s="28">
        <v>2</v>
      </c>
      <c r="AF151" s="28" t="s">
        <v>64</v>
      </c>
      <c r="AG151" s="29" t="s">
        <v>65</v>
      </c>
      <c r="AH151" s="30"/>
      <c r="AI151" s="31" t="s">
        <v>66</v>
      </c>
      <c r="AJ151" s="32" t="s">
        <v>6938</v>
      </c>
      <c r="AK151" s="33" t="s">
        <v>67</v>
      </c>
      <c r="AL151" s="34">
        <v>45573</v>
      </c>
      <c r="AM151" s="36" t="s">
        <v>66</v>
      </c>
      <c r="AN151" s="36"/>
      <c r="AO151" s="36"/>
      <c r="AP151" s="36"/>
      <c r="AQ151" s="37">
        <f t="shared" si="9"/>
        <v>0</v>
      </c>
      <c r="AR151" s="38">
        <f t="shared" si="10"/>
        <v>0</v>
      </c>
      <c r="AS151" s="39">
        <f t="shared" si="11"/>
        <v>0</v>
      </c>
      <c r="AT151" s="91"/>
      <c r="AU151" s="92" t="s">
        <v>1356</v>
      </c>
      <c r="AV151" s="93"/>
      <c r="AW151" s="94"/>
      <c r="AX151" s="93"/>
      <c r="AY151" s="95"/>
      <c r="AZ151" s="91"/>
      <c r="BA151" s="92" t="s">
        <v>1356</v>
      </c>
      <c r="BB151" s="93"/>
      <c r="BC151" s="95"/>
      <c r="BD151" s="93"/>
      <c r="BE151" s="95"/>
      <c r="BF151" s="91"/>
      <c r="BG151" s="92" t="s">
        <v>1356</v>
      </c>
      <c r="BH151" s="93"/>
      <c r="BI151" s="95"/>
      <c r="BJ151" s="93"/>
      <c r="BK151" s="95"/>
      <c r="BL151" s="91"/>
      <c r="BM151" s="92" t="s">
        <v>1356</v>
      </c>
      <c r="BN151" s="93"/>
      <c r="BO151" s="95"/>
      <c r="BP151" s="93"/>
      <c r="BQ151" s="95"/>
      <c r="BR151" s="91"/>
      <c r="BS151" s="92" t="s">
        <v>1356</v>
      </c>
      <c r="BT151" s="93"/>
      <c r="BU151" s="95"/>
      <c r="BV151" s="93"/>
      <c r="BW151" s="95"/>
      <c r="BX151" s="113"/>
      <c r="BY151" s="114" t="s">
        <v>1356</v>
      </c>
      <c r="BZ151" s="115"/>
      <c r="CA151" s="116"/>
      <c r="CB151" s="115"/>
      <c r="CC151" s="116"/>
      <c r="CD151" s="113"/>
      <c r="CE151" s="114" t="s">
        <v>1356</v>
      </c>
      <c r="CF151" s="115"/>
      <c r="CG151" s="116"/>
      <c r="CH151" s="115"/>
      <c r="CI151" s="116"/>
      <c r="CJ151" s="113"/>
      <c r="CK151" s="114" t="s">
        <v>1356</v>
      </c>
      <c r="CL151" s="115"/>
      <c r="CM151" s="116"/>
      <c r="CN151" s="115"/>
      <c r="CO151" s="116"/>
      <c r="CP151" s="113"/>
      <c r="CQ151" s="114" t="s">
        <v>1356</v>
      </c>
      <c r="CR151" s="115"/>
      <c r="CS151" s="116"/>
      <c r="CT151" s="115"/>
      <c r="CU151" s="116"/>
      <c r="CV151" s="113"/>
      <c r="CW151" s="114" t="s">
        <v>1356</v>
      </c>
      <c r="CX151" s="115"/>
      <c r="CY151" s="116"/>
      <c r="CZ151" s="115"/>
      <c r="DA151" s="116"/>
      <c r="DB151" s="128" t="s">
        <v>7085</v>
      </c>
      <c r="DC151" s="128" t="s">
        <v>253</v>
      </c>
    </row>
    <row r="152" spans="1:107" s="40" customFormat="1" ht="14.55" customHeight="1" x14ac:dyDescent="0.3">
      <c r="A152" s="25" t="s">
        <v>3500</v>
      </c>
      <c r="B152" s="25" t="s">
        <v>3786</v>
      </c>
      <c r="C152" s="25" t="s">
        <v>3787</v>
      </c>
      <c r="D152" s="25" t="s">
        <v>1541</v>
      </c>
      <c r="E152" s="25" t="s">
        <v>1542</v>
      </c>
      <c r="F152" s="25" t="s">
        <v>89</v>
      </c>
      <c r="G152" s="26" t="s">
        <v>72</v>
      </c>
      <c r="H152" s="27" t="s">
        <v>251</v>
      </c>
      <c r="I152" s="26">
        <v>1701</v>
      </c>
      <c r="J152" s="26">
        <v>170175</v>
      </c>
      <c r="K152" s="28">
        <v>4</v>
      </c>
      <c r="L152" s="25" t="s">
        <v>1543</v>
      </c>
      <c r="M152" s="25" t="s">
        <v>258</v>
      </c>
      <c r="N152" s="25"/>
      <c r="O152" s="25"/>
      <c r="P152" s="25"/>
      <c r="Q152" s="25"/>
      <c r="R152" s="25"/>
      <c r="S152" s="25"/>
      <c r="T152" s="25"/>
      <c r="U152" s="25"/>
      <c r="V152" s="25"/>
      <c r="W152" s="25" t="s">
        <v>1544</v>
      </c>
      <c r="X152" s="25" t="s">
        <v>1545</v>
      </c>
      <c r="Y152" s="25" t="s">
        <v>1546</v>
      </c>
      <c r="Z152" s="25"/>
      <c r="AA152" s="25"/>
      <c r="AB152" s="25"/>
      <c r="AC152" s="25"/>
      <c r="AD152" s="25"/>
      <c r="AE152" s="28">
        <v>3</v>
      </c>
      <c r="AF152" s="28" t="s">
        <v>377</v>
      </c>
      <c r="AG152" s="29" t="s">
        <v>65</v>
      </c>
      <c r="AH152" s="30"/>
      <c r="AI152" s="31" t="s">
        <v>66</v>
      </c>
      <c r="AJ152" s="32" t="s">
        <v>6938</v>
      </c>
      <c r="AK152" s="33" t="s">
        <v>67</v>
      </c>
      <c r="AL152" s="34">
        <v>45573</v>
      </c>
      <c r="AM152" s="36" t="s">
        <v>66</v>
      </c>
      <c r="AN152" s="36"/>
      <c r="AO152" s="36"/>
      <c r="AP152" s="36"/>
      <c r="AQ152" s="37">
        <f t="shared" si="9"/>
        <v>0</v>
      </c>
      <c r="AR152" s="38">
        <f t="shared" si="10"/>
        <v>0</v>
      </c>
      <c r="AS152" s="39">
        <f t="shared" si="11"/>
        <v>0</v>
      </c>
      <c r="AT152" s="91"/>
      <c r="AU152" s="92" t="s">
        <v>1356</v>
      </c>
      <c r="AV152" s="93"/>
      <c r="AW152" s="94"/>
      <c r="AX152" s="93"/>
      <c r="AY152" s="95"/>
      <c r="AZ152" s="91"/>
      <c r="BA152" s="92" t="s">
        <v>1356</v>
      </c>
      <c r="BB152" s="93"/>
      <c r="BC152" s="95"/>
      <c r="BD152" s="93"/>
      <c r="BE152" s="95"/>
      <c r="BF152" s="91"/>
      <c r="BG152" s="92" t="s">
        <v>1356</v>
      </c>
      <c r="BH152" s="93"/>
      <c r="BI152" s="95"/>
      <c r="BJ152" s="93"/>
      <c r="BK152" s="95"/>
      <c r="BL152" s="91"/>
      <c r="BM152" s="92" t="s">
        <v>1356</v>
      </c>
      <c r="BN152" s="93"/>
      <c r="BO152" s="95"/>
      <c r="BP152" s="93"/>
      <c r="BQ152" s="95"/>
      <c r="BR152" s="91"/>
      <c r="BS152" s="92" t="s">
        <v>1356</v>
      </c>
      <c r="BT152" s="93"/>
      <c r="BU152" s="95"/>
      <c r="BV152" s="93"/>
      <c r="BW152" s="95"/>
      <c r="BX152" s="113"/>
      <c r="BY152" s="114" t="s">
        <v>1356</v>
      </c>
      <c r="BZ152" s="115"/>
      <c r="CA152" s="116"/>
      <c r="CB152" s="115"/>
      <c r="CC152" s="116"/>
      <c r="CD152" s="113"/>
      <c r="CE152" s="114" t="s">
        <v>1356</v>
      </c>
      <c r="CF152" s="115"/>
      <c r="CG152" s="116"/>
      <c r="CH152" s="115"/>
      <c r="CI152" s="116"/>
      <c r="CJ152" s="113"/>
      <c r="CK152" s="114" t="s">
        <v>1356</v>
      </c>
      <c r="CL152" s="115"/>
      <c r="CM152" s="116"/>
      <c r="CN152" s="115"/>
      <c r="CO152" s="116"/>
      <c r="CP152" s="113"/>
      <c r="CQ152" s="114" t="s">
        <v>1356</v>
      </c>
      <c r="CR152" s="115"/>
      <c r="CS152" s="116"/>
      <c r="CT152" s="115"/>
      <c r="CU152" s="116"/>
      <c r="CV152" s="113"/>
      <c r="CW152" s="114" t="s">
        <v>1356</v>
      </c>
      <c r="CX152" s="115"/>
      <c r="CY152" s="116"/>
      <c r="CZ152" s="115"/>
      <c r="DA152" s="116"/>
      <c r="DB152" s="128" t="s">
        <v>7085</v>
      </c>
      <c r="DC152" s="131" t="s">
        <v>6751</v>
      </c>
    </row>
    <row r="153" spans="1:107" s="40" customFormat="1" ht="14.55" customHeight="1" x14ac:dyDescent="0.3">
      <c r="A153" s="25" t="s">
        <v>3500</v>
      </c>
      <c r="B153" s="25" t="s">
        <v>3788</v>
      </c>
      <c r="C153" s="25" t="s">
        <v>3789</v>
      </c>
      <c r="D153" s="25" t="s">
        <v>1547</v>
      </c>
      <c r="E153" s="25" t="s">
        <v>1548</v>
      </c>
      <c r="F153" s="25" t="s">
        <v>108</v>
      </c>
      <c r="G153" s="26" t="s">
        <v>72</v>
      </c>
      <c r="H153" s="27" t="s">
        <v>251</v>
      </c>
      <c r="I153" s="26">
        <v>1701</v>
      </c>
      <c r="J153" s="26">
        <v>170175</v>
      </c>
      <c r="K153" s="28">
        <v>3</v>
      </c>
      <c r="L153" s="25" t="s">
        <v>1474</v>
      </c>
      <c r="M153" s="25" t="s">
        <v>267</v>
      </c>
      <c r="N153" s="25" t="s">
        <v>1549</v>
      </c>
      <c r="O153" s="25" t="s">
        <v>1550</v>
      </c>
      <c r="P153" s="25"/>
      <c r="Q153" s="25"/>
      <c r="R153" s="25" t="s">
        <v>391</v>
      </c>
      <c r="S153" s="25"/>
      <c r="T153" s="25"/>
      <c r="U153" s="25" t="s">
        <v>1551</v>
      </c>
      <c r="V153" s="25"/>
      <c r="W153" s="25" t="s">
        <v>1552</v>
      </c>
      <c r="X153" s="25" t="s">
        <v>1553</v>
      </c>
      <c r="Y153" s="25" t="s">
        <v>1554</v>
      </c>
      <c r="Z153" s="25">
        <v>-78.360277891197242</v>
      </c>
      <c r="AA153" s="25">
        <v>-0.21554180804373399</v>
      </c>
      <c r="AB153" s="25"/>
      <c r="AC153" s="25"/>
      <c r="AD153" s="25"/>
      <c r="AE153" s="28">
        <v>3</v>
      </c>
      <c r="AF153" s="28" t="s">
        <v>377</v>
      </c>
      <c r="AG153" s="29" t="s">
        <v>65</v>
      </c>
      <c r="AH153" s="30"/>
      <c r="AI153" s="31" t="s">
        <v>66</v>
      </c>
      <c r="AJ153" s="32" t="s">
        <v>6938</v>
      </c>
      <c r="AK153" s="33" t="s">
        <v>67</v>
      </c>
      <c r="AL153" s="34">
        <v>45573</v>
      </c>
      <c r="AM153" s="36" t="s">
        <v>66</v>
      </c>
      <c r="AN153" s="36"/>
      <c r="AO153" s="36"/>
      <c r="AP153" s="36"/>
      <c r="AQ153" s="37">
        <f t="shared" si="9"/>
        <v>0</v>
      </c>
      <c r="AR153" s="38">
        <f t="shared" si="10"/>
        <v>0</v>
      </c>
      <c r="AS153" s="39">
        <f t="shared" si="11"/>
        <v>0</v>
      </c>
      <c r="AT153" s="91"/>
      <c r="AU153" s="92" t="s">
        <v>1356</v>
      </c>
      <c r="AV153" s="93"/>
      <c r="AW153" s="94"/>
      <c r="AX153" s="93"/>
      <c r="AY153" s="95"/>
      <c r="AZ153" s="91"/>
      <c r="BA153" s="92" t="s">
        <v>1356</v>
      </c>
      <c r="BB153" s="93"/>
      <c r="BC153" s="95"/>
      <c r="BD153" s="93"/>
      <c r="BE153" s="95"/>
      <c r="BF153" s="91"/>
      <c r="BG153" s="92" t="s">
        <v>1356</v>
      </c>
      <c r="BH153" s="93"/>
      <c r="BI153" s="95"/>
      <c r="BJ153" s="93"/>
      <c r="BK153" s="95"/>
      <c r="BL153" s="91"/>
      <c r="BM153" s="92" t="s">
        <v>1356</v>
      </c>
      <c r="BN153" s="93"/>
      <c r="BO153" s="95"/>
      <c r="BP153" s="93"/>
      <c r="BQ153" s="95"/>
      <c r="BR153" s="91"/>
      <c r="BS153" s="92" t="s">
        <v>1356</v>
      </c>
      <c r="BT153" s="93"/>
      <c r="BU153" s="95"/>
      <c r="BV153" s="93"/>
      <c r="BW153" s="95"/>
      <c r="BX153" s="113"/>
      <c r="BY153" s="114" t="s">
        <v>1356</v>
      </c>
      <c r="BZ153" s="115"/>
      <c r="CA153" s="116"/>
      <c r="CB153" s="115"/>
      <c r="CC153" s="116"/>
      <c r="CD153" s="113"/>
      <c r="CE153" s="114" t="s">
        <v>1356</v>
      </c>
      <c r="CF153" s="115"/>
      <c r="CG153" s="116"/>
      <c r="CH153" s="115"/>
      <c r="CI153" s="116"/>
      <c r="CJ153" s="113"/>
      <c r="CK153" s="114" t="s">
        <v>1356</v>
      </c>
      <c r="CL153" s="115"/>
      <c r="CM153" s="116"/>
      <c r="CN153" s="115"/>
      <c r="CO153" s="116"/>
      <c r="CP153" s="113"/>
      <c r="CQ153" s="114" t="s">
        <v>1356</v>
      </c>
      <c r="CR153" s="115"/>
      <c r="CS153" s="116"/>
      <c r="CT153" s="115"/>
      <c r="CU153" s="116"/>
      <c r="CV153" s="113"/>
      <c r="CW153" s="114" t="s">
        <v>1356</v>
      </c>
      <c r="CX153" s="115"/>
      <c r="CY153" s="116"/>
      <c r="CZ153" s="115"/>
      <c r="DA153" s="116"/>
      <c r="DB153" s="128" t="s">
        <v>7085</v>
      </c>
      <c r="DC153" s="128" t="s">
        <v>105</v>
      </c>
    </row>
    <row r="154" spans="1:107" s="40" customFormat="1" ht="14.55" customHeight="1" x14ac:dyDescent="0.3">
      <c r="A154" s="25" t="s">
        <v>3500</v>
      </c>
      <c r="B154" s="25" t="s">
        <v>3790</v>
      </c>
      <c r="C154" s="25" t="s">
        <v>3791</v>
      </c>
      <c r="D154" s="25" t="s">
        <v>1555</v>
      </c>
      <c r="E154" s="25" t="s">
        <v>1556</v>
      </c>
      <c r="F154" s="25" t="s">
        <v>190</v>
      </c>
      <c r="G154" s="26" t="s">
        <v>72</v>
      </c>
      <c r="H154" s="27" t="s">
        <v>251</v>
      </c>
      <c r="I154" s="26">
        <v>1701</v>
      </c>
      <c r="J154" s="26">
        <v>170179</v>
      </c>
      <c r="K154" s="28">
        <v>4</v>
      </c>
      <c r="L154" s="25" t="s">
        <v>1535</v>
      </c>
      <c r="M154" s="25" t="s">
        <v>267</v>
      </c>
      <c r="N154" s="25" t="s">
        <v>1557</v>
      </c>
      <c r="O154" s="25"/>
      <c r="P154" s="25"/>
      <c r="Q154" s="25" t="s">
        <v>1556</v>
      </c>
      <c r="R154" s="25" t="s">
        <v>391</v>
      </c>
      <c r="S154" s="25"/>
      <c r="T154" s="25"/>
      <c r="U154" s="25" t="s">
        <v>1558</v>
      </c>
      <c r="V154" s="25"/>
      <c r="W154" s="25" t="s">
        <v>1559</v>
      </c>
      <c r="X154" s="25" t="s">
        <v>1560</v>
      </c>
      <c r="Y154" s="25" t="s">
        <v>1561</v>
      </c>
      <c r="Z154" s="25">
        <v>-78.368291616407078</v>
      </c>
      <c r="AA154" s="25">
        <v>-0.19873626919132389</v>
      </c>
      <c r="AB154" s="25">
        <v>170179999</v>
      </c>
      <c r="AC154" s="25">
        <v>170179999028</v>
      </c>
      <c r="AD154" s="25">
        <v>170179999028001</v>
      </c>
      <c r="AE154" s="28">
        <v>3</v>
      </c>
      <c r="AF154" s="28" t="s">
        <v>377</v>
      </c>
      <c r="AG154" s="29" t="s">
        <v>65</v>
      </c>
      <c r="AH154" s="30"/>
      <c r="AI154" s="31" t="s">
        <v>66</v>
      </c>
      <c r="AJ154" s="32" t="s">
        <v>6938</v>
      </c>
      <c r="AK154" s="33" t="s">
        <v>67</v>
      </c>
      <c r="AL154" s="34">
        <v>45573</v>
      </c>
      <c r="AM154" s="36" t="s">
        <v>66</v>
      </c>
      <c r="AN154" s="36"/>
      <c r="AO154" s="36"/>
      <c r="AP154" s="36"/>
      <c r="AQ154" s="37">
        <f t="shared" si="9"/>
        <v>0</v>
      </c>
      <c r="AR154" s="38">
        <f t="shared" si="10"/>
        <v>0</v>
      </c>
      <c r="AS154" s="39">
        <f t="shared" si="11"/>
        <v>0</v>
      </c>
      <c r="AT154" s="91"/>
      <c r="AU154" s="92" t="s">
        <v>1356</v>
      </c>
      <c r="AV154" s="93"/>
      <c r="AW154" s="94"/>
      <c r="AX154" s="93"/>
      <c r="AY154" s="95"/>
      <c r="AZ154" s="91"/>
      <c r="BA154" s="92" t="s">
        <v>1356</v>
      </c>
      <c r="BB154" s="93"/>
      <c r="BC154" s="95"/>
      <c r="BD154" s="93"/>
      <c r="BE154" s="95"/>
      <c r="BF154" s="91"/>
      <c r="BG154" s="92" t="s">
        <v>1356</v>
      </c>
      <c r="BH154" s="93"/>
      <c r="BI154" s="95"/>
      <c r="BJ154" s="93"/>
      <c r="BK154" s="95"/>
      <c r="BL154" s="91"/>
      <c r="BM154" s="92" t="s">
        <v>1356</v>
      </c>
      <c r="BN154" s="93"/>
      <c r="BO154" s="95"/>
      <c r="BP154" s="93"/>
      <c r="BQ154" s="95"/>
      <c r="BR154" s="91"/>
      <c r="BS154" s="92" t="s">
        <v>1356</v>
      </c>
      <c r="BT154" s="93"/>
      <c r="BU154" s="95"/>
      <c r="BV154" s="93"/>
      <c r="BW154" s="95"/>
      <c r="BX154" s="113"/>
      <c r="BY154" s="114" t="s">
        <v>1356</v>
      </c>
      <c r="BZ154" s="115"/>
      <c r="CA154" s="116"/>
      <c r="CB154" s="115"/>
      <c r="CC154" s="116"/>
      <c r="CD154" s="113"/>
      <c r="CE154" s="114" t="s">
        <v>1356</v>
      </c>
      <c r="CF154" s="115"/>
      <c r="CG154" s="116"/>
      <c r="CH154" s="115"/>
      <c r="CI154" s="116"/>
      <c r="CJ154" s="113"/>
      <c r="CK154" s="114" t="s">
        <v>1356</v>
      </c>
      <c r="CL154" s="115"/>
      <c r="CM154" s="116"/>
      <c r="CN154" s="115"/>
      <c r="CO154" s="116"/>
      <c r="CP154" s="113"/>
      <c r="CQ154" s="114" t="s">
        <v>1356</v>
      </c>
      <c r="CR154" s="115"/>
      <c r="CS154" s="116"/>
      <c r="CT154" s="115"/>
      <c r="CU154" s="116"/>
      <c r="CV154" s="113"/>
      <c r="CW154" s="114" t="s">
        <v>1356</v>
      </c>
      <c r="CX154" s="115"/>
      <c r="CY154" s="116"/>
      <c r="CZ154" s="115"/>
      <c r="DA154" s="116"/>
      <c r="DB154" s="128" t="s">
        <v>7085</v>
      </c>
      <c r="DC154" s="128" t="s">
        <v>105</v>
      </c>
    </row>
    <row r="155" spans="1:107" s="40" customFormat="1" ht="14.55" customHeight="1" x14ac:dyDescent="0.3">
      <c r="A155" s="25" t="s">
        <v>3500</v>
      </c>
      <c r="B155" s="25" t="s">
        <v>3792</v>
      </c>
      <c r="C155" s="25" t="s">
        <v>3793</v>
      </c>
      <c r="D155" s="25" t="s">
        <v>1562</v>
      </c>
      <c r="E155" s="25" t="s">
        <v>1563</v>
      </c>
      <c r="F155" s="25" t="s">
        <v>220</v>
      </c>
      <c r="G155" s="26" t="s">
        <v>72</v>
      </c>
      <c r="H155" s="27" t="s">
        <v>251</v>
      </c>
      <c r="I155" s="26">
        <v>1701</v>
      </c>
      <c r="J155" s="26">
        <v>170179</v>
      </c>
      <c r="K155" s="28">
        <v>4</v>
      </c>
      <c r="L155" s="25" t="s">
        <v>1474</v>
      </c>
      <c r="M155" s="25" t="s">
        <v>1564</v>
      </c>
      <c r="N155" s="25" t="s">
        <v>1565</v>
      </c>
      <c r="O155" s="25"/>
      <c r="P155" s="25"/>
      <c r="Q155" s="25"/>
      <c r="R155" s="25"/>
      <c r="S155" s="25"/>
      <c r="T155" s="25"/>
      <c r="U155" s="25"/>
      <c r="V155" s="25"/>
      <c r="W155" s="25" t="s">
        <v>1566</v>
      </c>
      <c r="X155" s="25" t="s">
        <v>1567</v>
      </c>
      <c r="Y155" s="25" t="s">
        <v>1568</v>
      </c>
      <c r="Z155" s="25">
        <v>-78.367924000000002</v>
      </c>
      <c r="AA155" s="25">
        <v>-0.20672299999999999</v>
      </c>
      <c r="AB155" s="25">
        <v>170179999</v>
      </c>
      <c r="AC155" s="25">
        <v>170179999035</v>
      </c>
      <c r="AD155" s="25">
        <v>170179999035001</v>
      </c>
      <c r="AE155" s="28">
        <v>3</v>
      </c>
      <c r="AF155" s="28" t="s">
        <v>377</v>
      </c>
      <c r="AG155" s="29" t="s">
        <v>65</v>
      </c>
      <c r="AH155" s="30"/>
      <c r="AI155" s="31" t="s">
        <v>66</v>
      </c>
      <c r="AJ155" s="32" t="s">
        <v>6938</v>
      </c>
      <c r="AK155" s="33" t="s">
        <v>67</v>
      </c>
      <c r="AL155" s="34">
        <v>45573</v>
      </c>
      <c r="AM155" s="36" t="s">
        <v>66</v>
      </c>
      <c r="AN155" s="36"/>
      <c r="AO155" s="36"/>
      <c r="AP155" s="36"/>
      <c r="AQ155" s="37">
        <f t="shared" si="9"/>
        <v>0</v>
      </c>
      <c r="AR155" s="38">
        <f t="shared" si="10"/>
        <v>0</v>
      </c>
      <c r="AS155" s="39">
        <f t="shared" si="11"/>
        <v>0</v>
      </c>
      <c r="AT155" s="91"/>
      <c r="AU155" s="92" t="s">
        <v>1356</v>
      </c>
      <c r="AV155" s="93"/>
      <c r="AW155" s="94"/>
      <c r="AX155" s="93"/>
      <c r="AY155" s="95"/>
      <c r="AZ155" s="91"/>
      <c r="BA155" s="92" t="s">
        <v>1356</v>
      </c>
      <c r="BB155" s="93"/>
      <c r="BC155" s="95"/>
      <c r="BD155" s="93"/>
      <c r="BE155" s="95"/>
      <c r="BF155" s="91"/>
      <c r="BG155" s="92" t="s">
        <v>1356</v>
      </c>
      <c r="BH155" s="93"/>
      <c r="BI155" s="95"/>
      <c r="BJ155" s="93"/>
      <c r="BK155" s="95"/>
      <c r="BL155" s="91"/>
      <c r="BM155" s="92" t="s">
        <v>1356</v>
      </c>
      <c r="BN155" s="93"/>
      <c r="BO155" s="95"/>
      <c r="BP155" s="93"/>
      <c r="BQ155" s="95"/>
      <c r="BR155" s="91"/>
      <c r="BS155" s="92" t="s">
        <v>1356</v>
      </c>
      <c r="BT155" s="93"/>
      <c r="BU155" s="95"/>
      <c r="BV155" s="93"/>
      <c r="BW155" s="95"/>
      <c r="BX155" s="113"/>
      <c r="BY155" s="114" t="s">
        <v>1356</v>
      </c>
      <c r="BZ155" s="115"/>
      <c r="CA155" s="116"/>
      <c r="CB155" s="115"/>
      <c r="CC155" s="116"/>
      <c r="CD155" s="113"/>
      <c r="CE155" s="114" t="s">
        <v>1356</v>
      </c>
      <c r="CF155" s="115"/>
      <c r="CG155" s="116"/>
      <c r="CH155" s="115"/>
      <c r="CI155" s="116"/>
      <c r="CJ155" s="113"/>
      <c r="CK155" s="114" t="s">
        <v>1356</v>
      </c>
      <c r="CL155" s="115"/>
      <c r="CM155" s="116"/>
      <c r="CN155" s="115"/>
      <c r="CO155" s="116"/>
      <c r="CP155" s="113"/>
      <c r="CQ155" s="114" t="s">
        <v>1356</v>
      </c>
      <c r="CR155" s="115"/>
      <c r="CS155" s="116"/>
      <c r="CT155" s="115"/>
      <c r="CU155" s="116"/>
      <c r="CV155" s="113"/>
      <c r="CW155" s="114" t="s">
        <v>1356</v>
      </c>
      <c r="CX155" s="115"/>
      <c r="CY155" s="116"/>
      <c r="CZ155" s="115"/>
      <c r="DA155" s="116"/>
      <c r="DB155" s="128" t="s">
        <v>7085</v>
      </c>
      <c r="DC155" s="131" t="s">
        <v>78</v>
      </c>
    </row>
    <row r="156" spans="1:107" s="40" customFormat="1" ht="14.55" customHeight="1" x14ac:dyDescent="0.3">
      <c r="A156" s="25" t="s">
        <v>3500</v>
      </c>
      <c r="B156" s="25" t="s">
        <v>3794</v>
      </c>
      <c r="C156" s="25" t="s">
        <v>3795</v>
      </c>
      <c r="D156" s="25" t="s">
        <v>1569</v>
      </c>
      <c r="E156" s="25" t="s">
        <v>70</v>
      </c>
      <c r="F156" s="25" t="s">
        <v>1493</v>
      </c>
      <c r="G156" s="26" t="s">
        <v>72</v>
      </c>
      <c r="H156" s="27" t="s">
        <v>251</v>
      </c>
      <c r="I156" s="26">
        <v>1701</v>
      </c>
      <c r="J156" s="26">
        <v>170160</v>
      </c>
      <c r="K156" s="28">
        <v>4</v>
      </c>
      <c r="L156" s="25" t="s">
        <v>1570</v>
      </c>
      <c r="M156" s="25" t="s">
        <v>1571</v>
      </c>
      <c r="N156" s="25" t="s">
        <v>1572</v>
      </c>
      <c r="O156" s="25"/>
      <c r="P156" s="25"/>
      <c r="Q156" s="25"/>
      <c r="R156" s="25"/>
      <c r="S156" s="25"/>
      <c r="T156" s="25"/>
      <c r="U156" s="25"/>
      <c r="V156" s="25"/>
      <c r="W156" s="25" t="s">
        <v>1573</v>
      </c>
      <c r="X156" s="25" t="s">
        <v>1574</v>
      </c>
      <c r="Y156" s="25" t="s">
        <v>1575</v>
      </c>
      <c r="Z156" s="25"/>
      <c r="AA156" s="25"/>
      <c r="AB156" s="25"/>
      <c r="AC156" s="25"/>
      <c r="AD156" s="25"/>
      <c r="AE156" s="28">
        <v>3</v>
      </c>
      <c r="AF156" s="28" t="s">
        <v>377</v>
      </c>
      <c r="AG156" s="29" t="s">
        <v>65</v>
      </c>
      <c r="AH156" s="30"/>
      <c r="AI156" s="31" t="s">
        <v>66</v>
      </c>
      <c r="AJ156" s="32" t="s">
        <v>6938</v>
      </c>
      <c r="AK156" s="33" t="s">
        <v>67</v>
      </c>
      <c r="AL156" s="34">
        <v>45573</v>
      </c>
      <c r="AM156" s="36" t="s">
        <v>66</v>
      </c>
      <c r="AN156" s="36"/>
      <c r="AO156" s="36"/>
      <c r="AP156" s="36"/>
      <c r="AQ156" s="37">
        <f t="shared" si="9"/>
        <v>0</v>
      </c>
      <c r="AR156" s="38">
        <f t="shared" si="10"/>
        <v>0</v>
      </c>
      <c r="AS156" s="39">
        <f t="shared" si="11"/>
        <v>0</v>
      </c>
      <c r="AT156" s="91"/>
      <c r="AU156" s="92" t="s">
        <v>1356</v>
      </c>
      <c r="AV156" s="93"/>
      <c r="AW156" s="94"/>
      <c r="AX156" s="93"/>
      <c r="AY156" s="95"/>
      <c r="AZ156" s="91"/>
      <c r="BA156" s="92" t="s">
        <v>1356</v>
      </c>
      <c r="BB156" s="93"/>
      <c r="BC156" s="95"/>
      <c r="BD156" s="93"/>
      <c r="BE156" s="95"/>
      <c r="BF156" s="91"/>
      <c r="BG156" s="92" t="s">
        <v>1356</v>
      </c>
      <c r="BH156" s="93"/>
      <c r="BI156" s="95"/>
      <c r="BJ156" s="93"/>
      <c r="BK156" s="95"/>
      <c r="BL156" s="91"/>
      <c r="BM156" s="92" t="s">
        <v>1356</v>
      </c>
      <c r="BN156" s="93"/>
      <c r="BO156" s="95"/>
      <c r="BP156" s="93"/>
      <c r="BQ156" s="95"/>
      <c r="BR156" s="91"/>
      <c r="BS156" s="92" t="s">
        <v>1356</v>
      </c>
      <c r="BT156" s="93"/>
      <c r="BU156" s="95"/>
      <c r="BV156" s="93"/>
      <c r="BW156" s="95"/>
      <c r="BX156" s="113"/>
      <c r="BY156" s="114" t="s">
        <v>1356</v>
      </c>
      <c r="BZ156" s="115"/>
      <c r="CA156" s="116"/>
      <c r="CB156" s="115"/>
      <c r="CC156" s="116"/>
      <c r="CD156" s="113"/>
      <c r="CE156" s="114" t="s">
        <v>1356</v>
      </c>
      <c r="CF156" s="115"/>
      <c r="CG156" s="116"/>
      <c r="CH156" s="115"/>
      <c r="CI156" s="116"/>
      <c r="CJ156" s="113"/>
      <c r="CK156" s="114" t="s">
        <v>1356</v>
      </c>
      <c r="CL156" s="115"/>
      <c r="CM156" s="116"/>
      <c r="CN156" s="115"/>
      <c r="CO156" s="116"/>
      <c r="CP156" s="113"/>
      <c r="CQ156" s="114" t="s">
        <v>1356</v>
      </c>
      <c r="CR156" s="115"/>
      <c r="CS156" s="116"/>
      <c r="CT156" s="115"/>
      <c r="CU156" s="116"/>
      <c r="CV156" s="113"/>
      <c r="CW156" s="114" t="s">
        <v>1356</v>
      </c>
      <c r="CX156" s="115"/>
      <c r="CY156" s="116"/>
      <c r="CZ156" s="115"/>
      <c r="DA156" s="116"/>
      <c r="DB156" s="128" t="s">
        <v>7085</v>
      </c>
      <c r="DC156" s="128" t="s">
        <v>78</v>
      </c>
    </row>
    <row r="157" spans="1:107" s="40" customFormat="1" ht="14.55" customHeight="1" x14ac:dyDescent="0.3">
      <c r="A157" s="25" t="s">
        <v>3500</v>
      </c>
      <c r="B157" s="25" t="s">
        <v>3796</v>
      </c>
      <c r="C157" s="25" t="s">
        <v>3797</v>
      </c>
      <c r="D157" s="25" t="s">
        <v>1576</v>
      </c>
      <c r="E157" s="25" t="s">
        <v>1577</v>
      </c>
      <c r="F157" s="25" t="s">
        <v>651</v>
      </c>
      <c r="G157" s="26" t="s">
        <v>72</v>
      </c>
      <c r="H157" s="27" t="s">
        <v>251</v>
      </c>
      <c r="I157" s="26">
        <v>1705</v>
      </c>
      <c r="J157" s="26">
        <v>170550</v>
      </c>
      <c r="K157" s="28">
        <v>3</v>
      </c>
      <c r="L157" s="25" t="s">
        <v>556</v>
      </c>
      <c r="M157" s="25" t="s">
        <v>1269</v>
      </c>
      <c r="N157" s="25" t="s">
        <v>1578</v>
      </c>
      <c r="O157" s="25"/>
      <c r="P157" s="25"/>
      <c r="Q157" s="25"/>
      <c r="R157" s="25"/>
      <c r="S157" s="25"/>
      <c r="T157" s="25"/>
      <c r="U157" s="25" t="s">
        <v>1579</v>
      </c>
      <c r="V157" s="25"/>
      <c r="W157" s="25" t="s">
        <v>1580</v>
      </c>
      <c r="X157" s="25" t="s">
        <v>1581</v>
      </c>
      <c r="Y157" s="25" t="s">
        <v>1582</v>
      </c>
      <c r="Z157" s="25"/>
      <c r="AA157" s="25"/>
      <c r="AB157" s="25"/>
      <c r="AC157" s="25"/>
      <c r="AD157" s="25"/>
      <c r="AE157" s="28">
        <v>2</v>
      </c>
      <c r="AF157" s="28" t="s">
        <v>64</v>
      </c>
      <c r="AG157" s="29" t="s">
        <v>65</v>
      </c>
      <c r="AH157" s="30"/>
      <c r="AI157" s="31" t="s">
        <v>66</v>
      </c>
      <c r="AJ157" s="32" t="s">
        <v>6938</v>
      </c>
      <c r="AK157" s="33" t="s">
        <v>67</v>
      </c>
      <c r="AL157" s="34">
        <v>45562</v>
      </c>
      <c r="AM157" s="36" t="s">
        <v>66</v>
      </c>
      <c r="AN157" s="36"/>
      <c r="AO157" s="36"/>
      <c r="AP157" s="36"/>
      <c r="AQ157" s="37">
        <f t="shared" si="9"/>
        <v>0</v>
      </c>
      <c r="AR157" s="38">
        <f t="shared" si="10"/>
        <v>0</v>
      </c>
      <c r="AS157" s="39">
        <f t="shared" si="11"/>
        <v>0</v>
      </c>
      <c r="AT157" s="91"/>
      <c r="AU157" s="92" t="s">
        <v>1356</v>
      </c>
      <c r="AV157" s="93"/>
      <c r="AW157" s="94"/>
      <c r="AX157" s="93"/>
      <c r="AY157" s="95"/>
      <c r="AZ157" s="91"/>
      <c r="BA157" s="92" t="s">
        <v>1356</v>
      </c>
      <c r="BB157" s="93"/>
      <c r="BC157" s="95"/>
      <c r="BD157" s="93"/>
      <c r="BE157" s="95"/>
      <c r="BF157" s="91"/>
      <c r="BG157" s="92" t="s">
        <v>1356</v>
      </c>
      <c r="BH157" s="93"/>
      <c r="BI157" s="95"/>
      <c r="BJ157" s="93"/>
      <c r="BK157" s="95"/>
      <c r="BL157" s="91"/>
      <c r="BM157" s="92" t="s">
        <v>1356</v>
      </c>
      <c r="BN157" s="93"/>
      <c r="BO157" s="95"/>
      <c r="BP157" s="93"/>
      <c r="BQ157" s="95"/>
      <c r="BR157" s="91"/>
      <c r="BS157" s="92" t="s">
        <v>1356</v>
      </c>
      <c r="BT157" s="93"/>
      <c r="BU157" s="95"/>
      <c r="BV157" s="93"/>
      <c r="BW157" s="95"/>
      <c r="BX157" s="113"/>
      <c r="BY157" s="114" t="s">
        <v>1356</v>
      </c>
      <c r="BZ157" s="115"/>
      <c r="CA157" s="116"/>
      <c r="CB157" s="115"/>
      <c r="CC157" s="116"/>
      <c r="CD157" s="113"/>
      <c r="CE157" s="114" t="s">
        <v>1356</v>
      </c>
      <c r="CF157" s="115"/>
      <c r="CG157" s="116"/>
      <c r="CH157" s="115"/>
      <c r="CI157" s="116"/>
      <c r="CJ157" s="113"/>
      <c r="CK157" s="114" t="s">
        <v>1356</v>
      </c>
      <c r="CL157" s="115"/>
      <c r="CM157" s="116"/>
      <c r="CN157" s="115"/>
      <c r="CO157" s="116"/>
      <c r="CP157" s="113"/>
      <c r="CQ157" s="114" t="s">
        <v>1356</v>
      </c>
      <c r="CR157" s="115"/>
      <c r="CS157" s="116"/>
      <c r="CT157" s="115"/>
      <c r="CU157" s="116"/>
      <c r="CV157" s="113"/>
      <c r="CW157" s="114" t="s">
        <v>1356</v>
      </c>
      <c r="CX157" s="115"/>
      <c r="CY157" s="116"/>
      <c r="CZ157" s="115"/>
      <c r="DA157" s="116"/>
      <c r="DB157" s="128" t="s">
        <v>7085</v>
      </c>
      <c r="DC157" s="128" t="s">
        <v>105</v>
      </c>
    </row>
    <row r="158" spans="1:107" s="40" customFormat="1" ht="14.55" customHeight="1" x14ac:dyDescent="0.3">
      <c r="A158" s="25" t="s">
        <v>3500</v>
      </c>
      <c r="B158" s="25" t="s">
        <v>3798</v>
      </c>
      <c r="C158" s="25" t="s">
        <v>3799</v>
      </c>
      <c r="D158" s="25" t="s">
        <v>1583</v>
      </c>
      <c r="E158" s="25" t="s">
        <v>1584</v>
      </c>
      <c r="F158" s="25" t="s">
        <v>1585</v>
      </c>
      <c r="G158" s="26" t="s">
        <v>72</v>
      </c>
      <c r="H158" s="27" t="s">
        <v>251</v>
      </c>
      <c r="I158" s="26">
        <v>1705</v>
      </c>
      <c r="J158" s="26">
        <v>170550</v>
      </c>
      <c r="K158" s="28">
        <v>3</v>
      </c>
      <c r="L158" s="25" t="s">
        <v>971</v>
      </c>
      <c r="M158" s="25"/>
      <c r="N158" s="25" t="s">
        <v>1586</v>
      </c>
      <c r="O158" s="25"/>
      <c r="P158" s="25"/>
      <c r="Q158" s="25" t="s">
        <v>1587</v>
      </c>
      <c r="R158" s="25" t="s">
        <v>113</v>
      </c>
      <c r="S158" s="25" t="s">
        <v>60</v>
      </c>
      <c r="T158" s="25"/>
      <c r="U158" s="25" t="s">
        <v>1299</v>
      </c>
      <c r="V158" s="25" t="s">
        <v>1588</v>
      </c>
      <c r="W158" s="25" t="s">
        <v>1589</v>
      </c>
      <c r="X158" s="25" t="s">
        <v>1590</v>
      </c>
      <c r="Y158" s="25" t="s">
        <v>1591</v>
      </c>
      <c r="Z158" s="25">
        <v>-78.43351274728775</v>
      </c>
      <c r="AA158" s="25">
        <v>-0.34237121440806412</v>
      </c>
      <c r="AB158" s="25">
        <v>170550018</v>
      </c>
      <c r="AC158" s="25">
        <v>170550018009</v>
      </c>
      <c r="AD158" s="25">
        <v>170550018009002</v>
      </c>
      <c r="AE158" s="28">
        <v>2</v>
      </c>
      <c r="AF158" s="28" t="s">
        <v>64</v>
      </c>
      <c r="AG158" s="29" t="s">
        <v>65</v>
      </c>
      <c r="AH158" s="30"/>
      <c r="AI158" s="31" t="s">
        <v>66</v>
      </c>
      <c r="AJ158" s="32" t="s">
        <v>6938</v>
      </c>
      <c r="AK158" s="33" t="s">
        <v>67</v>
      </c>
      <c r="AL158" s="34">
        <v>45561</v>
      </c>
      <c r="AM158" s="36" t="s">
        <v>66</v>
      </c>
      <c r="AN158" s="36"/>
      <c r="AO158" s="36"/>
      <c r="AP158" s="36"/>
      <c r="AQ158" s="37">
        <f t="shared" si="9"/>
        <v>0</v>
      </c>
      <c r="AR158" s="38">
        <f t="shared" si="10"/>
        <v>0</v>
      </c>
      <c r="AS158" s="39">
        <f t="shared" si="11"/>
        <v>0</v>
      </c>
      <c r="AT158" s="91"/>
      <c r="AU158" s="92" t="s">
        <v>1356</v>
      </c>
      <c r="AV158" s="93"/>
      <c r="AW158" s="94"/>
      <c r="AX158" s="93"/>
      <c r="AY158" s="95"/>
      <c r="AZ158" s="91"/>
      <c r="BA158" s="92" t="s">
        <v>1356</v>
      </c>
      <c r="BB158" s="93"/>
      <c r="BC158" s="95"/>
      <c r="BD158" s="93"/>
      <c r="BE158" s="95"/>
      <c r="BF158" s="91"/>
      <c r="BG158" s="92" t="s">
        <v>1356</v>
      </c>
      <c r="BH158" s="93"/>
      <c r="BI158" s="95"/>
      <c r="BJ158" s="93"/>
      <c r="BK158" s="95"/>
      <c r="BL158" s="91"/>
      <c r="BM158" s="92" t="s">
        <v>1356</v>
      </c>
      <c r="BN158" s="93"/>
      <c r="BO158" s="95"/>
      <c r="BP158" s="93"/>
      <c r="BQ158" s="95"/>
      <c r="BR158" s="91"/>
      <c r="BS158" s="92" t="s">
        <v>1356</v>
      </c>
      <c r="BT158" s="93"/>
      <c r="BU158" s="95"/>
      <c r="BV158" s="93"/>
      <c r="BW158" s="95"/>
      <c r="BX158" s="113"/>
      <c r="BY158" s="114" t="s">
        <v>1356</v>
      </c>
      <c r="BZ158" s="115"/>
      <c r="CA158" s="116"/>
      <c r="CB158" s="115"/>
      <c r="CC158" s="116"/>
      <c r="CD158" s="113"/>
      <c r="CE158" s="114" t="s">
        <v>1356</v>
      </c>
      <c r="CF158" s="115"/>
      <c r="CG158" s="116"/>
      <c r="CH158" s="115"/>
      <c r="CI158" s="116"/>
      <c r="CJ158" s="113"/>
      <c r="CK158" s="114" t="s">
        <v>1356</v>
      </c>
      <c r="CL158" s="115"/>
      <c r="CM158" s="116"/>
      <c r="CN158" s="115"/>
      <c r="CO158" s="116"/>
      <c r="CP158" s="113"/>
      <c r="CQ158" s="114" t="s">
        <v>1356</v>
      </c>
      <c r="CR158" s="115"/>
      <c r="CS158" s="116"/>
      <c r="CT158" s="115"/>
      <c r="CU158" s="116"/>
      <c r="CV158" s="113"/>
      <c r="CW158" s="114" t="s">
        <v>1356</v>
      </c>
      <c r="CX158" s="115"/>
      <c r="CY158" s="116"/>
      <c r="CZ158" s="115"/>
      <c r="DA158" s="116"/>
      <c r="DB158" s="128" t="s">
        <v>7085</v>
      </c>
      <c r="DC158" s="128" t="s">
        <v>105</v>
      </c>
    </row>
    <row r="159" spans="1:107" s="40" customFormat="1" ht="14.55" customHeight="1" x14ac:dyDescent="0.3">
      <c r="A159" s="25" t="s">
        <v>3500</v>
      </c>
      <c r="B159" s="25" t="s">
        <v>3800</v>
      </c>
      <c r="C159" s="25" t="s">
        <v>3801</v>
      </c>
      <c r="D159" s="25" t="s">
        <v>1592</v>
      </c>
      <c r="E159" s="25" t="s">
        <v>1593</v>
      </c>
      <c r="F159" s="25" t="s">
        <v>439</v>
      </c>
      <c r="G159" s="26" t="s">
        <v>72</v>
      </c>
      <c r="H159" s="27" t="s">
        <v>251</v>
      </c>
      <c r="I159" s="26">
        <v>1705</v>
      </c>
      <c r="J159" s="26">
        <v>170550</v>
      </c>
      <c r="K159" s="28">
        <v>4</v>
      </c>
      <c r="L159" s="25" t="s">
        <v>978</v>
      </c>
      <c r="M159" s="25" t="s">
        <v>1594</v>
      </c>
      <c r="N159" s="25" t="s">
        <v>1595</v>
      </c>
      <c r="O159" s="25"/>
      <c r="P159" s="25"/>
      <c r="Q159" s="25" t="s">
        <v>1596</v>
      </c>
      <c r="R159" s="25" t="s">
        <v>391</v>
      </c>
      <c r="S159" s="25"/>
      <c r="T159" s="25"/>
      <c r="U159" s="25" t="s">
        <v>1597</v>
      </c>
      <c r="V159" s="25"/>
      <c r="W159" s="25" t="s">
        <v>1598</v>
      </c>
      <c r="X159" s="25" t="s">
        <v>1599</v>
      </c>
      <c r="Y159" s="25" t="s">
        <v>1600</v>
      </c>
      <c r="Z159" s="25">
        <v>-78.455749690551784</v>
      </c>
      <c r="AA159" s="25">
        <v>-0.347370090902198</v>
      </c>
      <c r="AB159" s="25">
        <v>170550023</v>
      </c>
      <c r="AC159" s="25">
        <v>170550023011</v>
      </c>
      <c r="AD159" s="25">
        <v>170550023011002</v>
      </c>
      <c r="AE159" s="28">
        <v>3</v>
      </c>
      <c r="AF159" s="28" t="s">
        <v>377</v>
      </c>
      <c r="AG159" s="29" t="s">
        <v>65</v>
      </c>
      <c r="AH159" s="61"/>
      <c r="AI159" s="31" t="s">
        <v>66</v>
      </c>
      <c r="AJ159" s="32" t="s">
        <v>6938</v>
      </c>
      <c r="AK159" s="33" t="s">
        <v>67</v>
      </c>
      <c r="AL159" s="34">
        <v>45561</v>
      </c>
      <c r="AM159" s="36" t="s">
        <v>66</v>
      </c>
      <c r="AN159" s="36"/>
      <c r="AO159" s="36"/>
      <c r="AP159" s="36"/>
      <c r="AQ159" s="37">
        <f t="shared" si="9"/>
        <v>0</v>
      </c>
      <c r="AR159" s="38">
        <f t="shared" si="10"/>
        <v>0</v>
      </c>
      <c r="AS159" s="39">
        <f t="shared" si="11"/>
        <v>0</v>
      </c>
      <c r="AT159" s="91"/>
      <c r="AU159" s="92" t="s">
        <v>1356</v>
      </c>
      <c r="AV159" s="93"/>
      <c r="AW159" s="94"/>
      <c r="AX159" s="93"/>
      <c r="AY159" s="95"/>
      <c r="AZ159" s="91"/>
      <c r="BA159" s="92" t="s">
        <v>1356</v>
      </c>
      <c r="BB159" s="93"/>
      <c r="BC159" s="95"/>
      <c r="BD159" s="93"/>
      <c r="BE159" s="95"/>
      <c r="BF159" s="91"/>
      <c r="BG159" s="92" t="s">
        <v>1356</v>
      </c>
      <c r="BH159" s="93"/>
      <c r="BI159" s="95"/>
      <c r="BJ159" s="93"/>
      <c r="BK159" s="95"/>
      <c r="BL159" s="91"/>
      <c r="BM159" s="92" t="s">
        <v>1356</v>
      </c>
      <c r="BN159" s="93"/>
      <c r="BO159" s="95"/>
      <c r="BP159" s="93"/>
      <c r="BQ159" s="95"/>
      <c r="BR159" s="91"/>
      <c r="BS159" s="92" t="s">
        <v>1356</v>
      </c>
      <c r="BT159" s="93"/>
      <c r="BU159" s="95"/>
      <c r="BV159" s="93"/>
      <c r="BW159" s="95"/>
      <c r="BX159" s="113"/>
      <c r="BY159" s="114" t="s">
        <v>1356</v>
      </c>
      <c r="BZ159" s="115"/>
      <c r="CA159" s="116"/>
      <c r="CB159" s="115"/>
      <c r="CC159" s="116"/>
      <c r="CD159" s="113"/>
      <c r="CE159" s="114" t="s">
        <v>1356</v>
      </c>
      <c r="CF159" s="115"/>
      <c r="CG159" s="116"/>
      <c r="CH159" s="115"/>
      <c r="CI159" s="116"/>
      <c r="CJ159" s="113"/>
      <c r="CK159" s="114" t="s">
        <v>1356</v>
      </c>
      <c r="CL159" s="115"/>
      <c r="CM159" s="116"/>
      <c r="CN159" s="115"/>
      <c r="CO159" s="116"/>
      <c r="CP159" s="113"/>
      <c r="CQ159" s="114" t="s">
        <v>1356</v>
      </c>
      <c r="CR159" s="115"/>
      <c r="CS159" s="116"/>
      <c r="CT159" s="115"/>
      <c r="CU159" s="116"/>
      <c r="CV159" s="113"/>
      <c r="CW159" s="114" t="s">
        <v>1356</v>
      </c>
      <c r="CX159" s="115"/>
      <c r="CY159" s="116"/>
      <c r="CZ159" s="115"/>
      <c r="DA159" s="116"/>
      <c r="DB159" s="128" t="s">
        <v>7085</v>
      </c>
      <c r="DC159" s="128" t="s">
        <v>105</v>
      </c>
    </row>
    <row r="160" spans="1:107" s="40" customFormat="1" ht="14.55" customHeight="1" x14ac:dyDescent="0.3">
      <c r="A160" s="25" t="s">
        <v>3500</v>
      </c>
      <c r="B160" s="25" t="s">
        <v>3802</v>
      </c>
      <c r="C160" s="25" t="s">
        <v>3803</v>
      </c>
      <c r="D160" s="25" t="s">
        <v>1601</v>
      </c>
      <c r="E160" s="25" t="s">
        <v>1602</v>
      </c>
      <c r="F160" s="25" t="s">
        <v>160</v>
      </c>
      <c r="G160" s="26" t="s">
        <v>72</v>
      </c>
      <c r="H160" s="27" t="s">
        <v>251</v>
      </c>
      <c r="I160" s="26">
        <v>1705</v>
      </c>
      <c r="J160" s="26">
        <v>170550</v>
      </c>
      <c r="K160" s="28">
        <v>4</v>
      </c>
      <c r="L160" s="25" t="s">
        <v>1603</v>
      </c>
      <c r="M160" s="25" t="s">
        <v>1604</v>
      </c>
      <c r="N160" s="25" t="s">
        <v>971</v>
      </c>
      <c r="O160" s="25"/>
      <c r="P160" s="25"/>
      <c r="Q160" s="25"/>
      <c r="R160" s="25" t="s">
        <v>60</v>
      </c>
      <c r="S160" s="25" t="s">
        <v>403</v>
      </c>
      <c r="T160" s="25"/>
      <c r="U160" s="25" t="s">
        <v>1605</v>
      </c>
      <c r="V160" s="25"/>
      <c r="W160" s="25" t="s">
        <v>1606</v>
      </c>
      <c r="X160" s="25" t="s">
        <v>1607</v>
      </c>
      <c r="Y160" s="25" t="s">
        <v>1608</v>
      </c>
      <c r="Z160" s="25"/>
      <c r="AA160" s="25"/>
      <c r="AB160" s="25">
        <v>170550006</v>
      </c>
      <c r="AC160" s="25">
        <v>170550006011</v>
      </c>
      <c r="AD160" s="25">
        <v>170550006011001</v>
      </c>
      <c r="AE160" s="28">
        <v>4</v>
      </c>
      <c r="AF160" s="28" t="s">
        <v>499</v>
      </c>
      <c r="AG160" s="29" t="s">
        <v>65</v>
      </c>
      <c r="AH160" s="30"/>
      <c r="AI160" s="31" t="s">
        <v>66</v>
      </c>
      <c r="AJ160" s="32" t="s">
        <v>6938</v>
      </c>
      <c r="AK160" s="33" t="s">
        <v>67</v>
      </c>
      <c r="AL160" s="34">
        <v>45562</v>
      </c>
      <c r="AM160" s="36" t="s">
        <v>66</v>
      </c>
      <c r="AN160" s="36"/>
      <c r="AO160" s="36"/>
      <c r="AP160" s="36"/>
      <c r="AQ160" s="37">
        <f t="shared" si="9"/>
        <v>0</v>
      </c>
      <c r="AR160" s="38">
        <f t="shared" si="10"/>
        <v>0</v>
      </c>
      <c r="AS160" s="39">
        <f t="shared" si="11"/>
        <v>0</v>
      </c>
      <c r="AT160" s="91"/>
      <c r="AU160" s="92" t="s">
        <v>1356</v>
      </c>
      <c r="AV160" s="93"/>
      <c r="AW160" s="94"/>
      <c r="AX160" s="93"/>
      <c r="AY160" s="95"/>
      <c r="AZ160" s="91"/>
      <c r="BA160" s="92" t="s">
        <v>1356</v>
      </c>
      <c r="BB160" s="93"/>
      <c r="BC160" s="95"/>
      <c r="BD160" s="93"/>
      <c r="BE160" s="95"/>
      <c r="BF160" s="91"/>
      <c r="BG160" s="92" t="s">
        <v>1356</v>
      </c>
      <c r="BH160" s="93"/>
      <c r="BI160" s="95"/>
      <c r="BJ160" s="93"/>
      <c r="BK160" s="95"/>
      <c r="BL160" s="91"/>
      <c r="BM160" s="92" t="s">
        <v>1356</v>
      </c>
      <c r="BN160" s="93"/>
      <c r="BO160" s="95"/>
      <c r="BP160" s="93"/>
      <c r="BQ160" s="95"/>
      <c r="BR160" s="91"/>
      <c r="BS160" s="92" t="s">
        <v>1356</v>
      </c>
      <c r="BT160" s="93"/>
      <c r="BU160" s="95"/>
      <c r="BV160" s="93"/>
      <c r="BW160" s="95"/>
      <c r="BX160" s="113"/>
      <c r="BY160" s="114" t="s">
        <v>1356</v>
      </c>
      <c r="BZ160" s="115"/>
      <c r="CA160" s="116"/>
      <c r="CB160" s="115"/>
      <c r="CC160" s="116"/>
      <c r="CD160" s="113"/>
      <c r="CE160" s="114" t="s">
        <v>1356</v>
      </c>
      <c r="CF160" s="115"/>
      <c r="CG160" s="116"/>
      <c r="CH160" s="115"/>
      <c r="CI160" s="116"/>
      <c r="CJ160" s="113"/>
      <c r="CK160" s="114" t="s">
        <v>1356</v>
      </c>
      <c r="CL160" s="115"/>
      <c r="CM160" s="116"/>
      <c r="CN160" s="115"/>
      <c r="CO160" s="116"/>
      <c r="CP160" s="113"/>
      <c r="CQ160" s="114" t="s">
        <v>1356</v>
      </c>
      <c r="CR160" s="115"/>
      <c r="CS160" s="116"/>
      <c r="CT160" s="115"/>
      <c r="CU160" s="116"/>
      <c r="CV160" s="113"/>
      <c r="CW160" s="114" t="s">
        <v>1356</v>
      </c>
      <c r="CX160" s="115"/>
      <c r="CY160" s="116"/>
      <c r="CZ160" s="115"/>
      <c r="DA160" s="116"/>
      <c r="DB160" s="128" t="s">
        <v>7085</v>
      </c>
      <c r="DC160" s="131" t="s">
        <v>6751</v>
      </c>
    </row>
    <row r="161" spans="1:107" s="40" customFormat="1" ht="14.55" customHeight="1" x14ac:dyDescent="0.3">
      <c r="A161" s="25" t="s">
        <v>3500</v>
      </c>
      <c r="B161" s="25" t="s">
        <v>3804</v>
      </c>
      <c r="C161" s="25" t="s">
        <v>3805</v>
      </c>
      <c r="D161" s="25" t="s">
        <v>1609</v>
      </c>
      <c r="E161" s="25" t="s">
        <v>70</v>
      </c>
      <c r="F161" s="25" t="s">
        <v>420</v>
      </c>
      <c r="G161" s="26" t="s">
        <v>72</v>
      </c>
      <c r="H161" s="27" t="s">
        <v>251</v>
      </c>
      <c r="I161" s="26">
        <v>1704</v>
      </c>
      <c r="J161" s="26">
        <v>170450</v>
      </c>
      <c r="K161" s="28">
        <v>4</v>
      </c>
      <c r="L161" s="25" t="s">
        <v>1017</v>
      </c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 t="s">
        <v>1610</v>
      </c>
      <c r="X161" s="25"/>
      <c r="Y161" s="25" t="s">
        <v>1611</v>
      </c>
      <c r="Z161" s="25"/>
      <c r="AA161" s="25"/>
      <c r="AB161" s="25"/>
      <c r="AC161" s="25"/>
      <c r="AD161" s="25"/>
      <c r="AE161" s="28">
        <v>4</v>
      </c>
      <c r="AF161" s="28" t="s">
        <v>499</v>
      </c>
      <c r="AG161" s="29" t="s">
        <v>65</v>
      </c>
      <c r="AH161" s="30"/>
      <c r="AI161" s="31" t="s">
        <v>66</v>
      </c>
      <c r="AJ161" s="32" t="s">
        <v>6938</v>
      </c>
      <c r="AK161" s="33" t="s">
        <v>67</v>
      </c>
      <c r="AL161" s="34">
        <v>45574</v>
      </c>
      <c r="AM161" s="36" t="s">
        <v>66</v>
      </c>
      <c r="AN161" s="36"/>
      <c r="AO161" s="36"/>
      <c r="AP161" s="36"/>
      <c r="AQ161" s="37">
        <f t="shared" si="9"/>
        <v>0</v>
      </c>
      <c r="AR161" s="38">
        <f t="shared" si="10"/>
        <v>0</v>
      </c>
      <c r="AS161" s="39">
        <f t="shared" si="11"/>
        <v>0</v>
      </c>
      <c r="AT161" s="91"/>
      <c r="AU161" s="92" t="s">
        <v>1356</v>
      </c>
      <c r="AV161" s="93"/>
      <c r="AW161" s="94"/>
      <c r="AX161" s="93"/>
      <c r="AY161" s="95"/>
      <c r="AZ161" s="91"/>
      <c r="BA161" s="92" t="s">
        <v>1356</v>
      </c>
      <c r="BB161" s="93"/>
      <c r="BC161" s="95"/>
      <c r="BD161" s="93"/>
      <c r="BE161" s="95"/>
      <c r="BF161" s="91"/>
      <c r="BG161" s="92" t="s">
        <v>1356</v>
      </c>
      <c r="BH161" s="93"/>
      <c r="BI161" s="95"/>
      <c r="BJ161" s="93"/>
      <c r="BK161" s="95"/>
      <c r="BL161" s="91"/>
      <c r="BM161" s="92" t="s">
        <v>1356</v>
      </c>
      <c r="BN161" s="93"/>
      <c r="BO161" s="95"/>
      <c r="BP161" s="93"/>
      <c r="BQ161" s="95"/>
      <c r="BR161" s="91"/>
      <c r="BS161" s="92" t="s">
        <v>1356</v>
      </c>
      <c r="BT161" s="93"/>
      <c r="BU161" s="95"/>
      <c r="BV161" s="93"/>
      <c r="BW161" s="95"/>
      <c r="BX161" s="113"/>
      <c r="BY161" s="114" t="s">
        <v>1356</v>
      </c>
      <c r="BZ161" s="115"/>
      <c r="CA161" s="116"/>
      <c r="CB161" s="115"/>
      <c r="CC161" s="116"/>
      <c r="CD161" s="113"/>
      <c r="CE161" s="114" t="s">
        <v>1356</v>
      </c>
      <c r="CF161" s="115"/>
      <c r="CG161" s="116"/>
      <c r="CH161" s="115"/>
      <c r="CI161" s="116"/>
      <c r="CJ161" s="113"/>
      <c r="CK161" s="114" t="s">
        <v>1356</v>
      </c>
      <c r="CL161" s="115"/>
      <c r="CM161" s="116"/>
      <c r="CN161" s="115"/>
      <c r="CO161" s="116"/>
      <c r="CP161" s="113"/>
      <c r="CQ161" s="114" t="s">
        <v>1356</v>
      </c>
      <c r="CR161" s="115"/>
      <c r="CS161" s="116"/>
      <c r="CT161" s="115"/>
      <c r="CU161" s="116"/>
      <c r="CV161" s="113"/>
      <c r="CW161" s="114" t="s">
        <v>1356</v>
      </c>
      <c r="CX161" s="115"/>
      <c r="CY161" s="116"/>
      <c r="CZ161" s="115"/>
      <c r="DA161" s="116"/>
      <c r="DB161" s="128" t="s">
        <v>7085</v>
      </c>
      <c r="DC161" s="128" t="s">
        <v>105</v>
      </c>
    </row>
    <row r="162" spans="1:107" s="40" customFormat="1" ht="14.55" customHeight="1" x14ac:dyDescent="0.3">
      <c r="A162" s="25" t="s">
        <v>3500</v>
      </c>
      <c r="B162" s="25" t="s">
        <v>3806</v>
      </c>
      <c r="C162" s="25" t="s">
        <v>3807</v>
      </c>
      <c r="D162" s="25" t="s">
        <v>1612</v>
      </c>
      <c r="E162" s="25" t="s">
        <v>1613</v>
      </c>
      <c r="F162" s="25" t="s">
        <v>95</v>
      </c>
      <c r="G162" s="26" t="s">
        <v>72</v>
      </c>
      <c r="H162" s="27" t="s">
        <v>251</v>
      </c>
      <c r="I162" s="26">
        <v>1701</v>
      </c>
      <c r="J162" s="26">
        <v>170184</v>
      </c>
      <c r="K162" s="28">
        <v>3</v>
      </c>
      <c r="L162" s="25" t="s">
        <v>1614</v>
      </c>
      <c r="M162" s="25" t="s">
        <v>1615</v>
      </c>
      <c r="N162" s="25"/>
      <c r="O162" s="25"/>
      <c r="P162" s="25"/>
      <c r="Q162" s="25"/>
      <c r="R162" s="25"/>
      <c r="S162" s="25"/>
      <c r="T162" s="25"/>
      <c r="U162" s="25"/>
      <c r="V162" s="25"/>
      <c r="W162" s="25" t="s">
        <v>1616</v>
      </c>
      <c r="X162" s="25" t="s">
        <v>1617</v>
      </c>
      <c r="Y162" s="25" t="s">
        <v>1618</v>
      </c>
      <c r="Z162" s="25"/>
      <c r="AA162" s="25"/>
      <c r="AB162" s="25"/>
      <c r="AC162" s="25"/>
      <c r="AD162" s="25"/>
      <c r="AE162" s="28">
        <v>2</v>
      </c>
      <c r="AF162" s="28" t="s">
        <v>64</v>
      </c>
      <c r="AG162" s="29" t="s">
        <v>65</v>
      </c>
      <c r="AH162" s="30"/>
      <c r="AI162" s="31" t="s">
        <v>66</v>
      </c>
      <c r="AJ162" s="32" t="s">
        <v>6938</v>
      </c>
      <c r="AK162" s="33" t="s">
        <v>67</v>
      </c>
      <c r="AL162" s="34">
        <v>45574</v>
      </c>
      <c r="AM162" s="36" t="s">
        <v>66</v>
      </c>
      <c r="AN162" s="36"/>
      <c r="AO162" s="36"/>
      <c r="AP162" s="36"/>
      <c r="AQ162" s="37">
        <f t="shared" si="9"/>
        <v>0</v>
      </c>
      <c r="AR162" s="38">
        <f t="shared" si="10"/>
        <v>0</v>
      </c>
      <c r="AS162" s="39">
        <f t="shared" si="11"/>
        <v>0</v>
      </c>
      <c r="AT162" s="91"/>
      <c r="AU162" s="92" t="s">
        <v>1356</v>
      </c>
      <c r="AV162" s="93"/>
      <c r="AW162" s="94"/>
      <c r="AX162" s="93"/>
      <c r="AY162" s="95"/>
      <c r="AZ162" s="91"/>
      <c r="BA162" s="92" t="s">
        <v>1356</v>
      </c>
      <c r="BB162" s="93"/>
      <c r="BC162" s="95"/>
      <c r="BD162" s="93"/>
      <c r="BE162" s="95"/>
      <c r="BF162" s="91"/>
      <c r="BG162" s="92" t="s">
        <v>1356</v>
      </c>
      <c r="BH162" s="93"/>
      <c r="BI162" s="95"/>
      <c r="BJ162" s="93"/>
      <c r="BK162" s="95"/>
      <c r="BL162" s="91"/>
      <c r="BM162" s="92" t="s">
        <v>1356</v>
      </c>
      <c r="BN162" s="93"/>
      <c r="BO162" s="95"/>
      <c r="BP162" s="93"/>
      <c r="BQ162" s="95"/>
      <c r="BR162" s="91"/>
      <c r="BS162" s="92" t="s">
        <v>1356</v>
      </c>
      <c r="BT162" s="93"/>
      <c r="BU162" s="95"/>
      <c r="BV162" s="93"/>
      <c r="BW162" s="95"/>
      <c r="BX162" s="113"/>
      <c r="BY162" s="114" t="s">
        <v>1356</v>
      </c>
      <c r="BZ162" s="115"/>
      <c r="CA162" s="116"/>
      <c r="CB162" s="115"/>
      <c r="CC162" s="116"/>
      <c r="CD162" s="113"/>
      <c r="CE162" s="114" t="s">
        <v>1356</v>
      </c>
      <c r="CF162" s="115"/>
      <c r="CG162" s="116"/>
      <c r="CH162" s="115"/>
      <c r="CI162" s="116"/>
      <c r="CJ162" s="113"/>
      <c r="CK162" s="114" t="s">
        <v>1356</v>
      </c>
      <c r="CL162" s="115"/>
      <c r="CM162" s="116"/>
      <c r="CN162" s="115"/>
      <c r="CO162" s="116"/>
      <c r="CP162" s="113"/>
      <c r="CQ162" s="114" t="s">
        <v>1356</v>
      </c>
      <c r="CR162" s="115"/>
      <c r="CS162" s="116"/>
      <c r="CT162" s="115"/>
      <c r="CU162" s="116"/>
      <c r="CV162" s="113"/>
      <c r="CW162" s="114" t="s">
        <v>1356</v>
      </c>
      <c r="CX162" s="115"/>
      <c r="CY162" s="116"/>
      <c r="CZ162" s="115"/>
      <c r="DA162" s="116"/>
      <c r="DB162" s="128" t="s">
        <v>7085</v>
      </c>
      <c r="DC162" s="131" t="s">
        <v>6751</v>
      </c>
    </row>
    <row r="163" spans="1:107" s="40" customFormat="1" ht="14.55" customHeight="1" x14ac:dyDescent="0.3">
      <c r="A163" s="25" t="s">
        <v>3500</v>
      </c>
      <c r="B163" s="25" t="s">
        <v>3808</v>
      </c>
      <c r="C163" s="25" t="s">
        <v>3809</v>
      </c>
      <c r="D163" s="25" t="s">
        <v>1619</v>
      </c>
      <c r="E163" s="25" t="s">
        <v>1620</v>
      </c>
      <c r="F163" s="25" t="s">
        <v>352</v>
      </c>
      <c r="G163" s="26" t="s">
        <v>72</v>
      </c>
      <c r="H163" s="27" t="s">
        <v>251</v>
      </c>
      <c r="I163" s="26">
        <v>1701</v>
      </c>
      <c r="J163" s="26">
        <v>170175</v>
      </c>
      <c r="K163" s="28">
        <v>3</v>
      </c>
      <c r="L163" s="25" t="s">
        <v>1621</v>
      </c>
      <c r="M163" s="25"/>
      <c r="N163" s="25" t="s">
        <v>1622</v>
      </c>
      <c r="O163" s="25"/>
      <c r="P163" s="25"/>
      <c r="Q163" s="25"/>
      <c r="R163" s="25"/>
      <c r="S163" s="25"/>
      <c r="T163" s="25"/>
      <c r="U163" s="25"/>
      <c r="V163" s="25"/>
      <c r="W163" s="25" t="s">
        <v>1623</v>
      </c>
      <c r="X163" s="25"/>
      <c r="Y163" s="25" t="s">
        <v>1624</v>
      </c>
      <c r="Z163" s="25"/>
      <c r="AA163" s="25"/>
      <c r="AB163" s="25"/>
      <c r="AC163" s="25"/>
      <c r="AD163" s="25"/>
      <c r="AE163" s="28">
        <v>2</v>
      </c>
      <c r="AF163" s="28" t="s">
        <v>64</v>
      </c>
      <c r="AG163" s="29" t="s">
        <v>65</v>
      </c>
      <c r="AH163" s="30"/>
      <c r="AI163" s="31" t="s">
        <v>66</v>
      </c>
      <c r="AJ163" s="32" t="s">
        <v>6938</v>
      </c>
      <c r="AK163" s="33" t="s">
        <v>67</v>
      </c>
      <c r="AL163" s="34">
        <v>45574</v>
      </c>
      <c r="AM163" s="36" t="s">
        <v>66</v>
      </c>
      <c r="AN163" s="36"/>
      <c r="AO163" s="36"/>
      <c r="AP163" s="36"/>
      <c r="AQ163" s="37">
        <f t="shared" si="9"/>
        <v>0</v>
      </c>
      <c r="AR163" s="38">
        <f t="shared" si="10"/>
        <v>0</v>
      </c>
      <c r="AS163" s="39">
        <f t="shared" si="11"/>
        <v>0</v>
      </c>
      <c r="AT163" s="91"/>
      <c r="AU163" s="92" t="s">
        <v>1356</v>
      </c>
      <c r="AV163" s="93"/>
      <c r="AW163" s="94"/>
      <c r="AX163" s="93"/>
      <c r="AY163" s="95"/>
      <c r="AZ163" s="91"/>
      <c r="BA163" s="92" t="s">
        <v>1356</v>
      </c>
      <c r="BB163" s="93"/>
      <c r="BC163" s="95"/>
      <c r="BD163" s="93"/>
      <c r="BE163" s="95"/>
      <c r="BF163" s="91"/>
      <c r="BG163" s="92" t="s">
        <v>1356</v>
      </c>
      <c r="BH163" s="93"/>
      <c r="BI163" s="95"/>
      <c r="BJ163" s="93"/>
      <c r="BK163" s="95"/>
      <c r="BL163" s="91"/>
      <c r="BM163" s="92" t="s">
        <v>1356</v>
      </c>
      <c r="BN163" s="93"/>
      <c r="BO163" s="95"/>
      <c r="BP163" s="93"/>
      <c r="BQ163" s="95"/>
      <c r="BR163" s="91"/>
      <c r="BS163" s="92" t="s">
        <v>1356</v>
      </c>
      <c r="BT163" s="93"/>
      <c r="BU163" s="95"/>
      <c r="BV163" s="93"/>
      <c r="BW163" s="95"/>
      <c r="BX163" s="113"/>
      <c r="BY163" s="114" t="s">
        <v>1356</v>
      </c>
      <c r="BZ163" s="115"/>
      <c r="CA163" s="116"/>
      <c r="CB163" s="115"/>
      <c r="CC163" s="116"/>
      <c r="CD163" s="113"/>
      <c r="CE163" s="114" t="s">
        <v>1356</v>
      </c>
      <c r="CF163" s="115"/>
      <c r="CG163" s="116"/>
      <c r="CH163" s="115"/>
      <c r="CI163" s="116"/>
      <c r="CJ163" s="113"/>
      <c r="CK163" s="114" t="s">
        <v>1356</v>
      </c>
      <c r="CL163" s="115"/>
      <c r="CM163" s="116"/>
      <c r="CN163" s="115"/>
      <c r="CO163" s="116"/>
      <c r="CP163" s="113"/>
      <c r="CQ163" s="114" t="s">
        <v>1356</v>
      </c>
      <c r="CR163" s="115"/>
      <c r="CS163" s="116"/>
      <c r="CT163" s="115"/>
      <c r="CU163" s="116"/>
      <c r="CV163" s="113"/>
      <c r="CW163" s="114" t="s">
        <v>1356</v>
      </c>
      <c r="CX163" s="115"/>
      <c r="CY163" s="116"/>
      <c r="CZ163" s="115"/>
      <c r="DA163" s="116"/>
      <c r="DB163" s="128" t="s">
        <v>7085</v>
      </c>
      <c r="DC163" s="128" t="s">
        <v>253</v>
      </c>
    </row>
    <row r="164" spans="1:107" s="40" customFormat="1" ht="14.55" customHeight="1" x14ac:dyDescent="0.3">
      <c r="A164" s="25" t="s">
        <v>3500</v>
      </c>
      <c r="B164" s="25" t="s">
        <v>3810</v>
      </c>
      <c r="C164" s="25" t="s">
        <v>3811</v>
      </c>
      <c r="D164" s="25" t="s">
        <v>1625</v>
      </c>
      <c r="E164" s="25" t="s">
        <v>70</v>
      </c>
      <c r="F164" s="25" t="s">
        <v>89</v>
      </c>
      <c r="G164" s="26" t="s">
        <v>72</v>
      </c>
      <c r="H164" s="27" t="s">
        <v>251</v>
      </c>
      <c r="I164" s="26">
        <v>1701</v>
      </c>
      <c r="J164" s="26">
        <v>170184</v>
      </c>
      <c r="K164" s="28">
        <v>3</v>
      </c>
      <c r="L164" s="25" t="s">
        <v>1474</v>
      </c>
      <c r="M164" s="25" t="s">
        <v>1626</v>
      </c>
      <c r="N164" s="25" t="s">
        <v>1627</v>
      </c>
      <c r="O164" s="25" t="s">
        <v>1628</v>
      </c>
      <c r="P164" s="25"/>
      <c r="Q164" s="25"/>
      <c r="R164" s="25" t="s">
        <v>146</v>
      </c>
      <c r="S164" s="25" t="s">
        <v>60</v>
      </c>
      <c r="T164" s="25"/>
      <c r="U164" s="25" t="s">
        <v>1629</v>
      </c>
      <c r="V164" s="25"/>
      <c r="W164" s="25" t="s">
        <v>1630</v>
      </c>
      <c r="X164" s="25" t="s">
        <v>1631</v>
      </c>
      <c r="Y164" s="25" t="s">
        <v>1632</v>
      </c>
      <c r="Z164" s="25">
        <v>-78.400441110134125</v>
      </c>
      <c r="AA164" s="25">
        <v>-0.21752126416098769</v>
      </c>
      <c r="AB164" s="25">
        <v>170184010</v>
      </c>
      <c r="AC164" s="25">
        <v>170184010005</v>
      </c>
      <c r="AD164" s="25">
        <v>170184010005003</v>
      </c>
      <c r="AE164" s="28">
        <v>3</v>
      </c>
      <c r="AF164" s="28" t="s">
        <v>377</v>
      </c>
      <c r="AG164" s="29" t="s">
        <v>65</v>
      </c>
      <c r="AH164" s="30"/>
      <c r="AI164" s="31" t="s">
        <v>66</v>
      </c>
      <c r="AJ164" s="32" t="s">
        <v>6938</v>
      </c>
      <c r="AK164" s="33" t="s">
        <v>67</v>
      </c>
      <c r="AL164" s="34">
        <v>45574</v>
      </c>
      <c r="AM164" s="36" t="s">
        <v>66</v>
      </c>
      <c r="AN164" s="36"/>
      <c r="AO164" s="36"/>
      <c r="AP164" s="36"/>
      <c r="AQ164" s="37">
        <f t="shared" si="9"/>
        <v>0</v>
      </c>
      <c r="AR164" s="38">
        <f t="shared" si="10"/>
        <v>0</v>
      </c>
      <c r="AS164" s="39">
        <f t="shared" si="11"/>
        <v>0</v>
      </c>
      <c r="AT164" s="91"/>
      <c r="AU164" s="92" t="s">
        <v>1356</v>
      </c>
      <c r="AV164" s="93"/>
      <c r="AW164" s="94"/>
      <c r="AX164" s="93"/>
      <c r="AY164" s="95"/>
      <c r="AZ164" s="91"/>
      <c r="BA164" s="92" t="s">
        <v>1356</v>
      </c>
      <c r="BB164" s="93"/>
      <c r="BC164" s="95"/>
      <c r="BD164" s="93"/>
      <c r="BE164" s="95"/>
      <c r="BF164" s="91"/>
      <c r="BG164" s="92" t="s">
        <v>1356</v>
      </c>
      <c r="BH164" s="93"/>
      <c r="BI164" s="95"/>
      <c r="BJ164" s="93"/>
      <c r="BK164" s="95"/>
      <c r="BL164" s="91"/>
      <c r="BM164" s="92" t="s">
        <v>1356</v>
      </c>
      <c r="BN164" s="93"/>
      <c r="BO164" s="95"/>
      <c r="BP164" s="93"/>
      <c r="BQ164" s="95"/>
      <c r="BR164" s="91"/>
      <c r="BS164" s="92" t="s">
        <v>1356</v>
      </c>
      <c r="BT164" s="93"/>
      <c r="BU164" s="95"/>
      <c r="BV164" s="93"/>
      <c r="BW164" s="95"/>
      <c r="BX164" s="113"/>
      <c r="BY164" s="114" t="s">
        <v>1356</v>
      </c>
      <c r="BZ164" s="115"/>
      <c r="CA164" s="116"/>
      <c r="CB164" s="115"/>
      <c r="CC164" s="116"/>
      <c r="CD164" s="113"/>
      <c r="CE164" s="114" t="s">
        <v>1356</v>
      </c>
      <c r="CF164" s="115"/>
      <c r="CG164" s="116"/>
      <c r="CH164" s="115"/>
      <c r="CI164" s="116"/>
      <c r="CJ164" s="113"/>
      <c r="CK164" s="114" t="s">
        <v>1356</v>
      </c>
      <c r="CL164" s="115"/>
      <c r="CM164" s="116"/>
      <c r="CN164" s="115"/>
      <c r="CO164" s="116"/>
      <c r="CP164" s="113"/>
      <c r="CQ164" s="114" t="s">
        <v>1356</v>
      </c>
      <c r="CR164" s="115"/>
      <c r="CS164" s="116"/>
      <c r="CT164" s="115"/>
      <c r="CU164" s="116"/>
      <c r="CV164" s="113"/>
      <c r="CW164" s="114" t="s">
        <v>1356</v>
      </c>
      <c r="CX164" s="115"/>
      <c r="CY164" s="116"/>
      <c r="CZ164" s="115"/>
      <c r="DA164" s="116"/>
      <c r="DB164" s="128" t="s">
        <v>7085</v>
      </c>
      <c r="DC164" s="128" t="s">
        <v>253</v>
      </c>
    </row>
    <row r="165" spans="1:107" s="40" customFormat="1" ht="14.55" customHeight="1" x14ac:dyDescent="0.3">
      <c r="A165" s="25" t="s">
        <v>3500</v>
      </c>
      <c r="B165" s="25" t="s">
        <v>3812</v>
      </c>
      <c r="C165" s="25" t="s">
        <v>3813</v>
      </c>
      <c r="D165" s="25" t="s">
        <v>1633</v>
      </c>
      <c r="E165" s="25" t="s">
        <v>1634</v>
      </c>
      <c r="F165" s="25" t="s">
        <v>95</v>
      </c>
      <c r="G165" s="26" t="s">
        <v>72</v>
      </c>
      <c r="H165" s="27" t="s">
        <v>251</v>
      </c>
      <c r="I165" s="26">
        <v>1701</v>
      </c>
      <c r="J165" s="26">
        <v>170184</v>
      </c>
      <c r="K165" s="28">
        <v>4</v>
      </c>
      <c r="L165" s="25" t="s">
        <v>1635</v>
      </c>
      <c r="M165" s="25" t="s">
        <v>258</v>
      </c>
      <c r="N165" s="25" t="s">
        <v>1636</v>
      </c>
      <c r="O165" s="25"/>
      <c r="P165" s="25"/>
      <c r="Q165" s="25" t="s">
        <v>1637</v>
      </c>
      <c r="R165" s="25" t="s">
        <v>60</v>
      </c>
      <c r="S165" s="25"/>
      <c r="T165" s="25" t="s">
        <v>1629</v>
      </c>
      <c r="U165" s="25" t="s">
        <v>1318</v>
      </c>
      <c r="V165" s="25"/>
      <c r="W165" s="25" t="s">
        <v>1638</v>
      </c>
      <c r="X165" s="25" t="s">
        <v>1639</v>
      </c>
      <c r="Y165" s="25" t="s">
        <v>1640</v>
      </c>
      <c r="Z165" s="25"/>
      <c r="AA165" s="25"/>
      <c r="AB165" s="25">
        <v>170184014</v>
      </c>
      <c r="AC165" s="25">
        <v>170184014006</v>
      </c>
      <c r="AD165" s="25">
        <v>170184014006001</v>
      </c>
      <c r="AE165" s="28">
        <v>5</v>
      </c>
      <c r="AF165" s="28" t="s">
        <v>772</v>
      </c>
      <c r="AG165" s="29" t="s">
        <v>65</v>
      </c>
      <c r="AH165" s="30"/>
      <c r="AI165" s="31" t="s">
        <v>66</v>
      </c>
      <c r="AJ165" s="32" t="s">
        <v>6938</v>
      </c>
      <c r="AK165" s="33" t="s">
        <v>67</v>
      </c>
      <c r="AL165" s="34">
        <v>45574</v>
      </c>
      <c r="AM165" s="36" t="s">
        <v>66</v>
      </c>
      <c r="AN165" s="36"/>
      <c r="AO165" s="36"/>
      <c r="AP165" s="36"/>
      <c r="AQ165" s="37">
        <f t="shared" si="9"/>
        <v>0</v>
      </c>
      <c r="AR165" s="38">
        <f t="shared" si="10"/>
        <v>0</v>
      </c>
      <c r="AS165" s="39">
        <f t="shared" si="11"/>
        <v>0</v>
      </c>
      <c r="AT165" s="91"/>
      <c r="AU165" s="92" t="s">
        <v>1356</v>
      </c>
      <c r="AV165" s="93"/>
      <c r="AW165" s="94"/>
      <c r="AX165" s="93"/>
      <c r="AY165" s="95"/>
      <c r="AZ165" s="91"/>
      <c r="BA165" s="92" t="s">
        <v>1356</v>
      </c>
      <c r="BB165" s="93"/>
      <c r="BC165" s="95"/>
      <c r="BD165" s="93"/>
      <c r="BE165" s="95"/>
      <c r="BF165" s="91"/>
      <c r="BG165" s="92" t="s">
        <v>1356</v>
      </c>
      <c r="BH165" s="93"/>
      <c r="BI165" s="95"/>
      <c r="BJ165" s="93"/>
      <c r="BK165" s="95"/>
      <c r="BL165" s="91"/>
      <c r="BM165" s="92" t="s">
        <v>1356</v>
      </c>
      <c r="BN165" s="93"/>
      <c r="BO165" s="95"/>
      <c r="BP165" s="93"/>
      <c r="BQ165" s="95"/>
      <c r="BR165" s="91"/>
      <c r="BS165" s="92" t="s">
        <v>1356</v>
      </c>
      <c r="BT165" s="93"/>
      <c r="BU165" s="95"/>
      <c r="BV165" s="93"/>
      <c r="BW165" s="95"/>
      <c r="BX165" s="113"/>
      <c r="BY165" s="114" t="s">
        <v>1356</v>
      </c>
      <c r="BZ165" s="115"/>
      <c r="CA165" s="116"/>
      <c r="CB165" s="115"/>
      <c r="CC165" s="116"/>
      <c r="CD165" s="113"/>
      <c r="CE165" s="114" t="s">
        <v>1356</v>
      </c>
      <c r="CF165" s="115"/>
      <c r="CG165" s="116"/>
      <c r="CH165" s="115"/>
      <c r="CI165" s="116"/>
      <c r="CJ165" s="113"/>
      <c r="CK165" s="114" t="s">
        <v>1356</v>
      </c>
      <c r="CL165" s="115"/>
      <c r="CM165" s="116"/>
      <c r="CN165" s="115"/>
      <c r="CO165" s="116"/>
      <c r="CP165" s="113"/>
      <c r="CQ165" s="114" t="s">
        <v>1356</v>
      </c>
      <c r="CR165" s="115"/>
      <c r="CS165" s="116"/>
      <c r="CT165" s="115"/>
      <c r="CU165" s="116"/>
      <c r="CV165" s="113"/>
      <c r="CW165" s="114" t="s">
        <v>1356</v>
      </c>
      <c r="CX165" s="115"/>
      <c r="CY165" s="116"/>
      <c r="CZ165" s="115"/>
      <c r="DA165" s="116"/>
      <c r="DB165" s="128" t="s">
        <v>7085</v>
      </c>
      <c r="DC165" s="131" t="s">
        <v>6751</v>
      </c>
    </row>
    <row r="166" spans="1:107" s="40" customFormat="1" ht="14.55" customHeight="1" x14ac:dyDescent="0.3">
      <c r="A166" s="25" t="s">
        <v>3500</v>
      </c>
      <c r="B166" s="25" t="s">
        <v>3814</v>
      </c>
      <c r="C166" s="25" t="s">
        <v>3815</v>
      </c>
      <c r="D166" s="25" t="s">
        <v>1641</v>
      </c>
      <c r="E166" s="25" t="s">
        <v>1642</v>
      </c>
      <c r="F166" s="25" t="s">
        <v>734</v>
      </c>
      <c r="G166" s="26" t="s">
        <v>72</v>
      </c>
      <c r="H166" s="27" t="s">
        <v>251</v>
      </c>
      <c r="I166" s="26">
        <v>1701</v>
      </c>
      <c r="J166" s="26">
        <v>170185</v>
      </c>
      <c r="K166" s="28">
        <v>4</v>
      </c>
      <c r="L166" s="25" t="s">
        <v>1643</v>
      </c>
      <c r="M166" s="25" t="s">
        <v>258</v>
      </c>
      <c r="N166" s="25" t="s">
        <v>1644</v>
      </c>
      <c r="O166" s="25"/>
      <c r="P166" s="25"/>
      <c r="Q166" s="25" t="s">
        <v>1645</v>
      </c>
      <c r="R166" s="25" t="s">
        <v>60</v>
      </c>
      <c r="S166" s="25" t="s">
        <v>1646</v>
      </c>
      <c r="T166" s="25"/>
      <c r="U166" s="25" t="s">
        <v>1647</v>
      </c>
      <c r="V166" s="25"/>
      <c r="W166" s="25" t="s">
        <v>1648</v>
      </c>
      <c r="X166" s="25" t="s">
        <v>1649</v>
      </c>
      <c r="Y166" s="25" t="s">
        <v>1650</v>
      </c>
      <c r="Z166" s="25"/>
      <c r="AA166" s="25"/>
      <c r="AB166" s="25">
        <v>170185999</v>
      </c>
      <c r="AC166" s="25">
        <v>170185999058</v>
      </c>
      <c r="AD166" s="25"/>
      <c r="AE166" s="28">
        <v>5</v>
      </c>
      <c r="AF166" s="28" t="s">
        <v>772</v>
      </c>
      <c r="AG166" s="29" t="s">
        <v>65</v>
      </c>
      <c r="AH166" s="30"/>
      <c r="AI166" s="31" t="s">
        <v>66</v>
      </c>
      <c r="AJ166" s="32" t="s">
        <v>6938</v>
      </c>
      <c r="AK166" s="33" t="s">
        <v>67</v>
      </c>
      <c r="AL166" s="34">
        <v>45574</v>
      </c>
      <c r="AM166" s="36" t="s">
        <v>66</v>
      </c>
      <c r="AN166" s="36"/>
      <c r="AO166" s="36"/>
      <c r="AP166" s="36"/>
      <c r="AQ166" s="37">
        <f t="shared" si="9"/>
        <v>0</v>
      </c>
      <c r="AR166" s="38">
        <f t="shared" si="10"/>
        <v>0</v>
      </c>
      <c r="AS166" s="39">
        <f t="shared" si="11"/>
        <v>0</v>
      </c>
      <c r="AT166" s="91"/>
      <c r="AU166" s="92" t="s">
        <v>1356</v>
      </c>
      <c r="AV166" s="93"/>
      <c r="AW166" s="94"/>
      <c r="AX166" s="93"/>
      <c r="AY166" s="95"/>
      <c r="AZ166" s="91"/>
      <c r="BA166" s="92" t="s">
        <v>1356</v>
      </c>
      <c r="BB166" s="93"/>
      <c r="BC166" s="95"/>
      <c r="BD166" s="93"/>
      <c r="BE166" s="95"/>
      <c r="BF166" s="91"/>
      <c r="BG166" s="92" t="s">
        <v>1356</v>
      </c>
      <c r="BH166" s="93"/>
      <c r="BI166" s="95"/>
      <c r="BJ166" s="93"/>
      <c r="BK166" s="95"/>
      <c r="BL166" s="91"/>
      <c r="BM166" s="92" t="s">
        <v>1356</v>
      </c>
      <c r="BN166" s="93"/>
      <c r="BO166" s="95"/>
      <c r="BP166" s="93"/>
      <c r="BQ166" s="95"/>
      <c r="BR166" s="91"/>
      <c r="BS166" s="92" t="s">
        <v>1356</v>
      </c>
      <c r="BT166" s="93"/>
      <c r="BU166" s="95"/>
      <c r="BV166" s="93"/>
      <c r="BW166" s="95"/>
      <c r="BX166" s="113"/>
      <c r="BY166" s="114" t="s">
        <v>1356</v>
      </c>
      <c r="BZ166" s="115"/>
      <c r="CA166" s="116"/>
      <c r="CB166" s="115"/>
      <c r="CC166" s="116"/>
      <c r="CD166" s="113"/>
      <c r="CE166" s="114" t="s">
        <v>1356</v>
      </c>
      <c r="CF166" s="115"/>
      <c r="CG166" s="116"/>
      <c r="CH166" s="115"/>
      <c r="CI166" s="116"/>
      <c r="CJ166" s="113"/>
      <c r="CK166" s="114" t="s">
        <v>1356</v>
      </c>
      <c r="CL166" s="115"/>
      <c r="CM166" s="116"/>
      <c r="CN166" s="115"/>
      <c r="CO166" s="116"/>
      <c r="CP166" s="113"/>
      <c r="CQ166" s="114" t="s">
        <v>1356</v>
      </c>
      <c r="CR166" s="115"/>
      <c r="CS166" s="116"/>
      <c r="CT166" s="115"/>
      <c r="CU166" s="116"/>
      <c r="CV166" s="113"/>
      <c r="CW166" s="114" t="s">
        <v>1356</v>
      </c>
      <c r="CX166" s="115"/>
      <c r="CY166" s="116"/>
      <c r="CZ166" s="115"/>
      <c r="DA166" s="116"/>
      <c r="DB166" s="128" t="s">
        <v>7085</v>
      </c>
      <c r="DC166" s="128" t="s">
        <v>78</v>
      </c>
    </row>
    <row r="167" spans="1:107" s="40" customFormat="1" ht="14.55" customHeight="1" x14ac:dyDescent="0.3">
      <c r="A167" s="25" t="s">
        <v>3500</v>
      </c>
      <c r="B167" s="25" t="s">
        <v>3816</v>
      </c>
      <c r="C167" s="26" t="s">
        <v>3817</v>
      </c>
      <c r="D167" s="25" t="s">
        <v>1651</v>
      </c>
      <c r="E167" s="25" t="s">
        <v>70</v>
      </c>
      <c r="F167" s="25" t="s">
        <v>95</v>
      </c>
      <c r="G167" s="26" t="s">
        <v>72</v>
      </c>
      <c r="H167" s="27" t="s">
        <v>251</v>
      </c>
      <c r="I167" s="26">
        <v>1701</v>
      </c>
      <c r="J167" s="26">
        <v>170155</v>
      </c>
      <c r="K167" s="28">
        <v>3</v>
      </c>
      <c r="L167" s="25" t="s">
        <v>1652</v>
      </c>
      <c r="M167" s="25" t="s">
        <v>1653</v>
      </c>
      <c r="N167" s="25" t="s">
        <v>1654</v>
      </c>
      <c r="O167" s="25"/>
      <c r="P167" s="25"/>
      <c r="Q167" s="25"/>
      <c r="R167" s="25"/>
      <c r="S167" s="25" t="s">
        <v>146</v>
      </c>
      <c r="T167" s="25"/>
      <c r="U167" s="25" t="s">
        <v>1655</v>
      </c>
      <c r="V167" s="25"/>
      <c r="W167" s="25" t="s">
        <v>1656</v>
      </c>
      <c r="X167" s="25"/>
      <c r="Y167" s="25" t="s">
        <v>1657</v>
      </c>
      <c r="Z167" s="25"/>
      <c r="AA167" s="25"/>
      <c r="AB167" s="25"/>
      <c r="AC167" s="25"/>
      <c r="AD167" s="25"/>
      <c r="AE167" s="28">
        <v>2</v>
      </c>
      <c r="AF167" s="28" t="s">
        <v>64</v>
      </c>
      <c r="AG167" s="29" t="s">
        <v>65</v>
      </c>
      <c r="AH167" s="30"/>
      <c r="AI167" s="31" t="s">
        <v>65</v>
      </c>
      <c r="AJ167" s="32" t="s">
        <v>6938</v>
      </c>
      <c r="AK167" s="33" t="s">
        <v>92</v>
      </c>
      <c r="AL167" s="34">
        <v>45586</v>
      </c>
      <c r="AM167" s="36"/>
      <c r="AN167" s="36"/>
      <c r="AO167" s="36"/>
      <c r="AP167" s="36"/>
      <c r="AQ167" s="37">
        <f t="shared" si="9"/>
        <v>0</v>
      </c>
      <c r="AR167" s="38">
        <f t="shared" si="10"/>
        <v>0</v>
      </c>
      <c r="AS167" s="39">
        <f t="shared" si="11"/>
        <v>0</v>
      </c>
      <c r="AT167" s="91"/>
      <c r="AU167" s="92" t="s">
        <v>1356</v>
      </c>
      <c r="AV167" s="93"/>
      <c r="AW167" s="94"/>
      <c r="AX167" s="93"/>
      <c r="AY167" s="95"/>
      <c r="AZ167" s="91"/>
      <c r="BA167" s="92" t="s">
        <v>1356</v>
      </c>
      <c r="BB167" s="93"/>
      <c r="BC167" s="95"/>
      <c r="BD167" s="93"/>
      <c r="BE167" s="95"/>
      <c r="BF167" s="91"/>
      <c r="BG167" s="92" t="s">
        <v>1356</v>
      </c>
      <c r="BH167" s="93"/>
      <c r="BI167" s="95"/>
      <c r="BJ167" s="93"/>
      <c r="BK167" s="95"/>
      <c r="BL167" s="91"/>
      <c r="BM167" s="92" t="s">
        <v>1356</v>
      </c>
      <c r="BN167" s="93"/>
      <c r="BO167" s="95"/>
      <c r="BP167" s="93"/>
      <c r="BQ167" s="95"/>
      <c r="BR167" s="91"/>
      <c r="BS167" s="92" t="s">
        <v>1356</v>
      </c>
      <c r="BT167" s="93"/>
      <c r="BU167" s="95"/>
      <c r="BV167" s="93"/>
      <c r="BW167" s="95"/>
      <c r="BX167" s="113"/>
      <c r="BY167" s="114" t="s">
        <v>1356</v>
      </c>
      <c r="BZ167" s="115"/>
      <c r="CA167" s="116"/>
      <c r="CB167" s="115"/>
      <c r="CC167" s="116"/>
      <c r="CD167" s="113"/>
      <c r="CE167" s="114" t="s">
        <v>1356</v>
      </c>
      <c r="CF167" s="115"/>
      <c r="CG167" s="116"/>
      <c r="CH167" s="115"/>
      <c r="CI167" s="116"/>
      <c r="CJ167" s="113"/>
      <c r="CK167" s="114" t="s">
        <v>1356</v>
      </c>
      <c r="CL167" s="115"/>
      <c r="CM167" s="116"/>
      <c r="CN167" s="115"/>
      <c r="CO167" s="116"/>
      <c r="CP167" s="113"/>
      <c r="CQ167" s="114" t="s">
        <v>1356</v>
      </c>
      <c r="CR167" s="115"/>
      <c r="CS167" s="116"/>
      <c r="CT167" s="115"/>
      <c r="CU167" s="116"/>
      <c r="CV167" s="113"/>
      <c r="CW167" s="114" t="s">
        <v>1356</v>
      </c>
      <c r="CX167" s="115"/>
      <c r="CY167" s="116"/>
      <c r="CZ167" s="115"/>
      <c r="DA167" s="116"/>
      <c r="DB167" s="128" t="s">
        <v>7085</v>
      </c>
      <c r="DC167" s="128" t="s">
        <v>92</v>
      </c>
    </row>
    <row r="168" spans="1:107" s="40" customFormat="1" ht="14.55" customHeight="1" x14ac:dyDescent="0.3">
      <c r="A168" s="25" t="s">
        <v>3500</v>
      </c>
      <c r="B168" s="25" t="s">
        <v>3818</v>
      </c>
      <c r="C168" s="25" t="s">
        <v>3819</v>
      </c>
      <c r="D168" s="25" t="s">
        <v>1658</v>
      </c>
      <c r="E168" s="25" t="s">
        <v>70</v>
      </c>
      <c r="F168" s="25" t="s">
        <v>142</v>
      </c>
      <c r="G168" s="26" t="s">
        <v>72</v>
      </c>
      <c r="H168" s="27" t="s">
        <v>251</v>
      </c>
      <c r="I168" s="26">
        <v>1701</v>
      </c>
      <c r="J168" s="26">
        <v>170155</v>
      </c>
      <c r="K168" s="28">
        <v>4</v>
      </c>
      <c r="L168" s="25" t="s">
        <v>1659</v>
      </c>
      <c r="M168" s="25" t="s">
        <v>1660</v>
      </c>
      <c r="N168" s="25" t="s">
        <v>1661</v>
      </c>
      <c r="O168" s="25"/>
      <c r="P168" s="25" t="s">
        <v>258</v>
      </c>
      <c r="Q168" s="25" t="s">
        <v>258</v>
      </c>
      <c r="R168" s="25"/>
      <c r="S168" s="25"/>
      <c r="T168" s="25" t="s">
        <v>258</v>
      </c>
      <c r="U168" s="25" t="s">
        <v>1020</v>
      </c>
      <c r="V168" s="25"/>
      <c r="W168" s="25" t="s">
        <v>1662</v>
      </c>
      <c r="X168" s="25" t="s">
        <v>1663</v>
      </c>
      <c r="Y168" s="25"/>
      <c r="Z168" s="25"/>
      <c r="AA168" s="25"/>
      <c r="AB168" s="25"/>
      <c r="AC168" s="25"/>
      <c r="AD168" s="25"/>
      <c r="AE168" s="28">
        <v>2</v>
      </c>
      <c r="AF168" s="28" t="s">
        <v>64</v>
      </c>
      <c r="AG168" s="29" t="s">
        <v>65</v>
      </c>
      <c r="AH168" s="30"/>
      <c r="AI168" s="31" t="s">
        <v>65</v>
      </c>
      <c r="AJ168" s="32" t="s">
        <v>6938</v>
      </c>
      <c r="AK168" s="33" t="s">
        <v>92</v>
      </c>
      <c r="AL168" s="34">
        <v>45575</v>
      </c>
      <c r="AM168" s="36"/>
      <c r="AN168" s="36"/>
      <c r="AO168" s="36"/>
      <c r="AP168" s="36"/>
      <c r="AQ168" s="37">
        <f t="shared" si="9"/>
        <v>0</v>
      </c>
      <c r="AR168" s="38">
        <f t="shared" si="10"/>
        <v>0</v>
      </c>
      <c r="AS168" s="39">
        <f t="shared" si="11"/>
        <v>0</v>
      </c>
      <c r="AT168" s="91"/>
      <c r="AU168" s="92" t="s">
        <v>1356</v>
      </c>
      <c r="AV168" s="93"/>
      <c r="AW168" s="94"/>
      <c r="AX168" s="93"/>
      <c r="AY168" s="95"/>
      <c r="AZ168" s="91"/>
      <c r="BA168" s="92" t="s">
        <v>1356</v>
      </c>
      <c r="BB168" s="93"/>
      <c r="BC168" s="95"/>
      <c r="BD168" s="93"/>
      <c r="BE168" s="95"/>
      <c r="BF168" s="91"/>
      <c r="BG168" s="92" t="s">
        <v>1356</v>
      </c>
      <c r="BH168" s="93"/>
      <c r="BI168" s="95"/>
      <c r="BJ168" s="93"/>
      <c r="BK168" s="95"/>
      <c r="BL168" s="91"/>
      <c r="BM168" s="92" t="s">
        <v>1356</v>
      </c>
      <c r="BN168" s="93"/>
      <c r="BO168" s="95"/>
      <c r="BP168" s="93"/>
      <c r="BQ168" s="95"/>
      <c r="BR168" s="91"/>
      <c r="BS168" s="92" t="s">
        <v>1356</v>
      </c>
      <c r="BT168" s="93"/>
      <c r="BU168" s="95"/>
      <c r="BV168" s="93"/>
      <c r="BW168" s="95"/>
      <c r="BX168" s="113"/>
      <c r="BY168" s="114" t="s">
        <v>1356</v>
      </c>
      <c r="BZ168" s="115"/>
      <c r="CA168" s="116"/>
      <c r="CB168" s="115"/>
      <c r="CC168" s="116"/>
      <c r="CD168" s="113"/>
      <c r="CE168" s="114" t="s">
        <v>1356</v>
      </c>
      <c r="CF168" s="115"/>
      <c r="CG168" s="116"/>
      <c r="CH168" s="115"/>
      <c r="CI168" s="116"/>
      <c r="CJ168" s="113"/>
      <c r="CK168" s="114" t="s">
        <v>1356</v>
      </c>
      <c r="CL168" s="115"/>
      <c r="CM168" s="116"/>
      <c r="CN168" s="115"/>
      <c r="CO168" s="116"/>
      <c r="CP168" s="113"/>
      <c r="CQ168" s="114" t="s">
        <v>1356</v>
      </c>
      <c r="CR168" s="115"/>
      <c r="CS168" s="116"/>
      <c r="CT168" s="115"/>
      <c r="CU168" s="116"/>
      <c r="CV168" s="113"/>
      <c r="CW168" s="114" t="s">
        <v>1356</v>
      </c>
      <c r="CX168" s="115"/>
      <c r="CY168" s="116"/>
      <c r="CZ168" s="115"/>
      <c r="DA168" s="116"/>
      <c r="DB168" s="128" t="s">
        <v>7085</v>
      </c>
      <c r="DC168" s="128" t="s">
        <v>92</v>
      </c>
    </row>
    <row r="169" spans="1:107" s="40" customFormat="1" ht="14.55" customHeight="1" x14ac:dyDescent="0.3">
      <c r="A169" s="25" t="s">
        <v>3500</v>
      </c>
      <c r="B169" s="25" t="s">
        <v>3820</v>
      </c>
      <c r="C169" s="25" t="s">
        <v>3821</v>
      </c>
      <c r="D169" s="25" t="s">
        <v>1664</v>
      </c>
      <c r="E169" s="25" t="s">
        <v>1665</v>
      </c>
      <c r="F169" s="25" t="s">
        <v>160</v>
      </c>
      <c r="G169" s="26" t="s">
        <v>72</v>
      </c>
      <c r="H169" s="27" t="s">
        <v>251</v>
      </c>
      <c r="I169" s="26">
        <v>1701</v>
      </c>
      <c r="J169" s="26">
        <v>170150</v>
      </c>
      <c r="K169" s="28">
        <v>3</v>
      </c>
      <c r="L169" s="25" t="s">
        <v>1666</v>
      </c>
      <c r="M169" s="25" t="s">
        <v>1667</v>
      </c>
      <c r="N169" s="25" t="s">
        <v>1668</v>
      </c>
      <c r="O169" s="25"/>
      <c r="P169" s="25"/>
      <c r="Q169" s="25"/>
      <c r="R169" s="25"/>
      <c r="S169" s="25"/>
      <c r="T169" s="25"/>
      <c r="U169" s="25"/>
      <c r="V169" s="25"/>
      <c r="W169" s="25" t="s">
        <v>1669</v>
      </c>
      <c r="X169" s="25" t="s">
        <v>1670</v>
      </c>
      <c r="Y169" s="25" t="s">
        <v>1671</v>
      </c>
      <c r="Z169" s="25"/>
      <c r="AA169" s="25"/>
      <c r="AB169" s="25"/>
      <c r="AC169" s="25"/>
      <c r="AD169" s="25"/>
      <c r="AE169" s="28">
        <v>2</v>
      </c>
      <c r="AF169" s="28" t="s">
        <v>64</v>
      </c>
      <c r="AG169" s="29" t="s">
        <v>65</v>
      </c>
      <c r="AH169" s="30"/>
      <c r="AI169" s="31" t="s">
        <v>66</v>
      </c>
      <c r="AJ169" s="32" t="s">
        <v>6938</v>
      </c>
      <c r="AK169" s="33" t="s">
        <v>67</v>
      </c>
      <c r="AL169" s="34">
        <v>45603</v>
      </c>
      <c r="AM169" s="36" t="s">
        <v>66</v>
      </c>
      <c r="AN169" s="36"/>
      <c r="AO169" s="36"/>
      <c r="AP169" s="36"/>
      <c r="AQ169" s="37">
        <f t="shared" si="9"/>
        <v>0</v>
      </c>
      <c r="AR169" s="38">
        <f t="shared" si="10"/>
        <v>0</v>
      </c>
      <c r="AS169" s="39">
        <f t="shared" si="11"/>
        <v>0</v>
      </c>
      <c r="AT169" s="91"/>
      <c r="AU169" s="92" t="s">
        <v>1356</v>
      </c>
      <c r="AV169" s="93"/>
      <c r="AW169" s="94"/>
      <c r="AX169" s="93"/>
      <c r="AY169" s="95"/>
      <c r="AZ169" s="91"/>
      <c r="BA169" s="92" t="s">
        <v>1356</v>
      </c>
      <c r="BB169" s="93"/>
      <c r="BC169" s="95"/>
      <c r="BD169" s="93"/>
      <c r="BE169" s="95"/>
      <c r="BF169" s="91"/>
      <c r="BG169" s="92" t="s">
        <v>1356</v>
      </c>
      <c r="BH169" s="93"/>
      <c r="BI169" s="95"/>
      <c r="BJ169" s="93"/>
      <c r="BK169" s="95"/>
      <c r="BL169" s="91"/>
      <c r="BM169" s="92" t="s">
        <v>1356</v>
      </c>
      <c r="BN169" s="93"/>
      <c r="BO169" s="95"/>
      <c r="BP169" s="93"/>
      <c r="BQ169" s="95"/>
      <c r="BR169" s="91"/>
      <c r="BS169" s="92" t="s">
        <v>1356</v>
      </c>
      <c r="BT169" s="93"/>
      <c r="BU169" s="95"/>
      <c r="BV169" s="93"/>
      <c r="BW169" s="95"/>
      <c r="BX169" s="113"/>
      <c r="BY169" s="114" t="s">
        <v>1356</v>
      </c>
      <c r="BZ169" s="115"/>
      <c r="CA169" s="116"/>
      <c r="CB169" s="115"/>
      <c r="CC169" s="116"/>
      <c r="CD169" s="113"/>
      <c r="CE169" s="114" t="s">
        <v>1356</v>
      </c>
      <c r="CF169" s="115"/>
      <c r="CG169" s="116"/>
      <c r="CH169" s="115"/>
      <c r="CI169" s="116"/>
      <c r="CJ169" s="113"/>
      <c r="CK169" s="114" t="s">
        <v>1356</v>
      </c>
      <c r="CL169" s="115"/>
      <c r="CM169" s="116"/>
      <c r="CN169" s="115"/>
      <c r="CO169" s="116"/>
      <c r="CP169" s="113"/>
      <c r="CQ169" s="114" t="s">
        <v>1356</v>
      </c>
      <c r="CR169" s="115"/>
      <c r="CS169" s="116"/>
      <c r="CT169" s="115"/>
      <c r="CU169" s="116"/>
      <c r="CV169" s="113"/>
      <c r="CW169" s="114" t="s">
        <v>1356</v>
      </c>
      <c r="CX169" s="115"/>
      <c r="CY169" s="116"/>
      <c r="CZ169" s="115"/>
      <c r="DA169" s="116"/>
      <c r="DB169" s="128" t="s">
        <v>7085</v>
      </c>
      <c r="DC169" s="128" t="s">
        <v>78</v>
      </c>
    </row>
    <row r="170" spans="1:107" s="40" customFormat="1" ht="14.55" customHeight="1" x14ac:dyDescent="0.3">
      <c r="A170" s="66" t="s">
        <v>3500</v>
      </c>
      <c r="B170" s="66" t="s">
        <v>3822</v>
      </c>
      <c r="C170" s="66" t="s">
        <v>3823</v>
      </c>
      <c r="D170" s="66" t="s">
        <v>1672</v>
      </c>
      <c r="E170" s="66" t="s">
        <v>1673</v>
      </c>
      <c r="F170" s="66" t="s">
        <v>175</v>
      </c>
      <c r="G170" s="68" t="s">
        <v>72</v>
      </c>
      <c r="H170" s="43" t="s">
        <v>251</v>
      </c>
      <c r="I170" s="68">
        <v>1701</v>
      </c>
      <c r="J170" s="68">
        <v>170150</v>
      </c>
      <c r="K170" s="69">
        <v>4</v>
      </c>
      <c r="L170" s="66" t="s">
        <v>1674</v>
      </c>
      <c r="M170" s="66" t="s">
        <v>1675</v>
      </c>
      <c r="N170" s="66" t="s">
        <v>1676</v>
      </c>
      <c r="O170" s="66"/>
      <c r="P170" s="66"/>
      <c r="Q170" s="66"/>
      <c r="R170" s="66"/>
      <c r="S170" s="66"/>
      <c r="T170" s="66"/>
      <c r="U170" s="66"/>
      <c r="V170" s="66" t="s">
        <v>1677</v>
      </c>
      <c r="W170" s="66"/>
      <c r="X170" s="66" t="s">
        <v>1678</v>
      </c>
      <c r="Y170" s="66" t="s">
        <v>1679</v>
      </c>
      <c r="Z170" s="66">
        <v>-78.462327999999999</v>
      </c>
      <c r="AA170" s="66">
        <v>-0.128362</v>
      </c>
      <c r="AB170" s="66">
        <v>170150121</v>
      </c>
      <c r="AC170" s="66">
        <v>170150121001</v>
      </c>
      <c r="AD170" s="66">
        <v>170150121001002</v>
      </c>
      <c r="AE170" s="69">
        <v>2</v>
      </c>
      <c r="AF170" s="69" t="s">
        <v>64</v>
      </c>
      <c r="AG170" s="29" t="s">
        <v>65</v>
      </c>
      <c r="AH170" s="70"/>
      <c r="AI170" s="71" t="s">
        <v>66</v>
      </c>
      <c r="AJ170" s="49" t="s">
        <v>6938</v>
      </c>
      <c r="AK170" s="50" t="s">
        <v>67</v>
      </c>
      <c r="AL170" s="58">
        <v>45604</v>
      </c>
      <c r="AM170" s="52" t="s">
        <v>66</v>
      </c>
      <c r="AN170" s="52"/>
      <c r="AO170" s="52"/>
      <c r="AP170" s="52"/>
      <c r="AQ170" s="53">
        <f t="shared" si="9"/>
        <v>0</v>
      </c>
      <c r="AR170" s="54">
        <f t="shared" si="10"/>
        <v>0</v>
      </c>
      <c r="AS170" s="55">
        <f t="shared" si="11"/>
        <v>0</v>
      </c>
      <c r="AT170" s="102"/>
      <c r="AU170" s="103"/>
      <c r="AV170" s="104"/>
      <c r="AW170" s="105"/>
      <c r="AX170" s="104"/>
      <c r="AY170" s="106"/>
      <c r="AZ170" s="102"/>
      <c r="BA170" s="103"/>
      <c r="BB170" s="104"/>
      <c r="BC170" s="106"/>
      <c r="BD170" s="104"/>
      <c r="BE170" s="106"/>
      <c r="BF170" s="102"/>
      <c r="BG170" s="103" t="s">
        <v>1356</v>
      </c>
      <c r="BH170" s="104"/>
      <c r="BI170" s="106"/>
      <c r="BJ170" s="104"/>
      <c r="BK170" s="106"/>
      <c r="BL170" s="102"/>
      <c r="BM170" s="103" t="s">
        <v>1356</v>
      </c>
      <c r="BN170" s="104"/>
      <c r="BO170" s="106"/>
      <c r="BP170" s="104"/>
      <c r="BQ170" s="106"/>
      <c r="BR170" s="102"/>
      <c r="BS170" s="103" t="s">
        <v>1356</v>
      </c>
      <c r="BT170" s="104"/>
      <c r="BU170" s="106"/>
      <c r="BV170" s="104"/>
      <c r="BW170" s="106"/>
      <c r="BX170" s="121"/>
      <c r="BY170" s="122" t="s">
        <v>1356</v>
      </c>
      <c r="BZ170" s="123"/>
      <c r="CA170" s="124"/>
      <c r="CB170" s="123"/>
      <c r="CC170" s="124"/>
      <c r="CD170" s="121"/>
      <c r="CE170" s="122" t="s">
        <v>1356</v>
      </c>
      <c r="CF170" s="123"/>
      <c r="CG170" s="124"/>
      <c r="CH170" s="123"/>
      <c r="CI170" s="124"/>
      <c r="CJ170" s="121"/>
      <c r="CK170" s="122" t="s">
        <v>1356</v>
      </c>
      <c r="CL170" s="123"/>
      <c r="CM170" s="124"/>
      <c r="CN170" s="123"/>
      <c r="CO170" s="124"/>
      <c r="CP170" s="121"/>
      <c r="CQ170" s="122" t="s">
        <v>1356</v>
      </c>
      <c r="CR170" s="123"/>
      <c r="CS170" s="124"/>
      <c r="CT170" s="123"/>
      <c r="CU170" s="124"/>
      <c r="CV170" s="121"/>
      <c r="CW170" s="122" t="s">
        <v>1356</v>
      </c>
      <c r="CX170" s="123"/>
      <c r="CY170" s="124"/>
      <c r="CZ170" s="123"/>
      <c r="DA170" s="124"/>
      <c r="DB170" s="128" t="s">
        <v>7085</v>
      </c>
      <c r="DC170" s="129" t="s">
        <v>105</v>
      </c>
    </row>
    <row r="171" spans="1:107" s="40" customFormat="1" ht="14.55" customHeight="1" x14ac:dyDescent="0.3">
      <c r="A171" s="25" t="s">
        <v>3500</v>
      </c>
      <c r="B171" s="25" t="s">
        <v>3824</v>
      </c>
      <c r="C171" s="26" t="s">
        <v>3825</v>
      </c>
      <c r="D171" s="25" t="s">
        <v>1682</v>
      </c>
      <c r="E171" s="25" t="s">
        <v>1683</v>
      </c>
      <c r="F171" s="25" t="s">
        <v>1329</v>
      </c>
      <c r="G171" s="26" t="s">
        <v>72</v>
      </c>
      <c r="H171" s="27" t="s">
        <v>251</v>
      </c>
      <c r="I171" s="26">
        <v>1701</v>
      </c>
      <c r="J171" s="26">
        <v>170155</v>
      </c>
      <c r="K171" s="28">
        <v>4</v>
      </c>
      <c r="L171" s="25" t="s">
        <v>1684</v>
      </c>
      <c r="M171" s="25" t="s">
        <v>258</v>
      </c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 t="s">
        <v>1685</v>
      </c>
      <c r="Z171" s="25"/>
      <c r="AA171" s="25"/>
      <c r="AB171" s="25"/>
      <c r="AC171" s="25"/>
      <c r="AD171" s="25"/>
      <c r="AE171" s="28">
        <v>2</v>
      </c>
      <c r="AF171" s="28" t="s">
        <v>64</v>
      </c>
      <c r="AG171" s="29" t="s">
        <v>65</v>
      </c>
      <c r="AH171" s="30"/>
      <c r="AI171" s="31" t="s">
        <v>65</v>
      </c>
      <c r="AJ171" s="32" t="s">
        <v>6938</v>
      </c>
      <c r="AK171" s="33" t="s">
        <v>92</v>
      </c>
      <c r="AL171" s="34">
        <v>45573</v>
      </c>
      <c r="AM171" s="36"/>
      <c r="AN171" s="36"/>
      <c r="AO171" s="36"/>
      <c r="AP171" s="36"/>
      <c r="AQ171" s="37">
        <f t="shared" si="9"/>
        <v>0</v>
      </c>
      <c r="AR171" s="38">
        <f t="shared" si="10"/>
        <v>0</v>
      </c>
      <c r="AS171" s="39">
        <f t="shared" si="11"/>
        <v>0</v>
      </c>
      <c r="AT171" s="91"/>
      <c r="AU171" s="92" t="s">
        <v>1356</v>
      </c>
      <c r="AV171" s="93"/>
      <c r="AW171" s="94"/>
      <c r="AX171" s="93"/>
      <c r="AY171" s="95"/>
      <c r="AZ171" s="91"/>
      <c r="BA171" s="92" t="s">
        <v>1356</v>
      </c>
      <c r="BB171" s="93"/>
      <c r="BC171" s="95"/>
      <c r="BD171" s="93"/>
      <c r="BE171" s="95"/>
      <c r="BF171" s="91"/>
      <c r="BG171" s="92" t="s">
        <v>1356</v>
      </c>
      <c r="BH171" s="93"/>
      <c r="BI171" s="95"/>
      <c r="BJ171" s="93"/>
      <c r="BK171" s="95"/>
      <c r="BL171" s="91"/>
      <c r="BM171" s="92" t="s">
        <v>1356</v>
      </c>
      <c r="BN171" s="93"/>
      <c r="BO171" s="95"/>
      <c r="BP171" s="93"/>
      <c r="BQ171" s="95"/>
      <c r="BR171" s="91"/>
      <c r="BS171" s="92" t="s">
        <v>1356</v>
      </c>
      <c r="BT171" s="93"/>
      <c r="BU171" s="95"/>
      <c r="BV171" s="93"/>
      <c r="BW171" s="95"/>
      <c r="BX171" s="113"/>
      <c r="BY171" s="114" t="s">
        <v>1356</v>
      </c>
      <c r="BZ171" s="115"/>
      <c r="CA171" s="116"/>
      <c r="CB171" s="115"/>
      <c r="CC171" s="116"/>
      <c r="CD171" s="113"/>
      <c r="CE171" s="114" t="s">
        <v>1356</v>
      </c>
      <c r="CF171" s="115"/>
      <c r="CG171" s="116"/>
      <c r="CH171" s="115"/>
      <c r="CI171" s="116"/>
      <c r="CJ171" s="113"/>
      <c r="CK171" s="114" t="s">
        <v>1356</v>
      </c>
      <c r="CL171" s="115"/>
      <c r="CM171" s="116"/>
      <c r="CN171" s="115"/>
      <c r="CO171" s="116"/>
      <c r="CP171" s="113"/>
      <c r="CQ171" s="114" t="s">
        <v>1356</v>
      </c>
      <c r="CR171" s="115"/>
      <c r="CS171" s="116"/>
      <c r="CT171" s="115"/>
      <c r="CU171" s="116"/>
      <c r="CV171" s="113"/>
      <c r="CW171" s="114" t="s">
        <v>1356</v>
      </c>
      <c r="CX171" s="115"/>
      <c r="CY171" s="116"/>
      <c r="CZ171" s="115"/>
      <c r="DA171" s="116"/>
      <c r="DB171" s="128" t="s">
        <v>7085</v>
      </c>
      <c r="DC171" s="128" t="s">
        <v>92</v>
      </c>
    </row>
    <row r="172" spans="1:107" s="40" customFormat="1" ht="14.55" customHeight="1" x14ac:dyDescent="0.3">
      <c r="A172" s="25" t="s">
        <v>3500</v>
      </c>
      <c r="B172" s="25" t="s">
        <v>3826</v>
      </c>
      <c r="C172" s="25" t="s">
        <v>3827</v>
      </c>
      <c r="D172" s="25" t="s">
        <v>1686</v>
      </c>
      <c r="E172" s="25" t="s">
        <v>70</v>
      </c>
      <c r="F172" s="25" t="s">
        <v>256</v>
      </c>
      <c r="G172" s="26" t="s">
        <v>72</v>
      </c>
      <c r="H172" s="27" t="s">
        <v>251</v>
      </c>
      <c r="I172" s="26">
        <v>1701</v>
      </c>
      <c r="J172" s="26">
        <v>170155</v>
      </c>
      <c r="K172" s="28">
        <v>4</v>
      </c>
      <c r="L172" s="25" t="s">
        <v>1687</v>
      </c>
      <c r="M172" s="25" t="s">
        <v>1688</v>
      </c>
      <c r="N172" s="25" t="s">
        <v>1689</v>
      </c>
      <c r="O172" s="25"/>
      <c r="P172" s="25"/>
      <c r="Q172" s="25"/>
      <c r="R172" s="25"/>
      <c r="S172" s="25"/>
      <c r="T172" s="25"/>
      <c r="U172" s="25"/>
      <c r="V172" s="25"/>
      <c r="W172" s="25" t="s">
        <v>1690</v>
      </c>
      <c r="X172" s="25" t="s">
        <v>1691</v>
      </c>
      <c r="Y172" s="25" t="s">
        <v>1692</v>
      </c>
      <c r="Z172" s="25"/>
      <c r="AA172" s="25"/>
      <c r="AB172" s="25"/>
      <c r="AC172" s="25"/>
      <c r="AD172" s="25"/>
      <c r="AE172" s="28">
        <v>2</v>
      </c>
      <c r="AF172" s="28" t="s">
        <v>64</v>
      </c>
      <c r="AG172" s="29" t="s">
        <v>65</v>
      </c>
      <c r="AH172" s="30"/>
      <c r="AI172" s="31" t="s">
        <v>66</v>
      </c>
      <c r="AJ172" s="32" t="s">
        <v>6938</v>
      </c>
      <c r="AK172" s="33" t="s">
        <v>67</v>
      </c>
      <c r="AL172" s="34">
        <v>45586</v>
      </c>
      <c r="AM172" s="36" t="s">
        <v>66</v>
      </c>
      <c r="AN172" s="36"/>
      <c r="AO172" s="36"/>
      <c r="AP172" s="36"/>
      <c r="AQ172" s="37">
        <f t="shared" si="9"/>
        <v>0</v>
      </c>
      <c r="AR172" s="38">
        <f t="shared" si="10"/>
        <v>0</v>
      </c>
      <c r="AS172" s="39">
        <f t="shared" si="11"/>
        <v>0</v>
      </c>
      <c r="AT172" s="91"/>
      <c r="AU172" s="92" t="s">
        <v>1356</v>
      </c>
      <c r="AV172" s="93"/>
      <c r="AW172" s="94"/>
      <c r="AX172" s="93"/>
      <c r="AY172" s="95"/>
      <c r="AZ172" s="91"/>
      <c r="BA172" s="92" t="s">
        <v>1356</v>
      </c>
      <c r="BB172" s="93"/>
      <c r="BC172" s="95"/>
      <c r="BD172" s="93"/>
      <c r="BE172" s="95"/>
      <c r="BF172" s="91"/>
      <c r="BG172" s="92" t="s">
        <v>1356</v>
      </c>
      <c r="BH172" s="93"/>
      <c r="BI172" s="95"/>
      <c r="BJ172" s="93"/>
      <c r="BK172" s="95"/>
      <c r="BL172" s="91"/>
      <c r="BM172" s="92" t="s">
        <v>1356</v>
      </c>
      <c r="BN172" s="93"/>
      <c r="BO172" s="95"/>
      <c r="BP172" s="93"/>
      <c r="BQ172" s="95"/>
      <c r="BR172" s="91"/>
      <c r="BS172" s="92" t="s">
        <v>1356</v>
      </c>
      <c r="BT172" s="93"/>
      <c r="BU172" s="95"/>
      <c r="BV172" s="93"/>
      <c r="BW172" s="95"/>
      <c r="BX172" s="113"/>
      <c r="BY172" s="114" t="s">
        <v>1356</v>
      </c>
      <c r="BZ172" s="115"/>
      <c r="CA172" s="116"/>
      <c r="CB172" s="115"/>
      <c r="CC172" s="116"/>
      <c r="CD172" s="113"/>
      <c r="CE172" s="114" t="s">
        <v>1356</v>
      </c>
      <c r="CF172" s="115"/>
      <c r="CG172" s="116"/>
      <c r="CH172" s="115"/>
      <c r="CI172" s="116"/>
      <c r="CJ172" s="113"/>
      <c r="CK172" s="114" t="s">
        <v>1356</v>
      </c>
      <c r="CL172" s="115"/>
      <c r="CM172" s="116"/>
      <c r="CN172" s="115"/>
      <c r="CO172" s="116"/>
      <c r="CP172" s="113"/>
      <c r="CQ172" s="114" t="s">
        <v>1356</v>
      </c>
      <c r="CR172" s="115"/>
      <c r="CS172" s="116"/>
      <c r="CT172" s="115"/>
      <c r="CU172" s="116"/>
      <c r="CV172" s="113"/>
      <c r="CW172" s="114" t="s">
        <v>1356</v>
      </c>
      <c r="CX172" s="115"/>
      <c r="CY172" s="116"/>
      <c r="CZ172" s="115"/>
      <c r="DA172" s="116"/>
      <c r="DB172" s="128" t="s">
        <v>7085</v>
      </c>
      <c r="DC172" s="128" t="s">
        <v>78</v>
      </c>
    </row>
    <row r="173" spans="1:107" s="40" customFormat="1" ht="14.55" customHeight="1" x14ac:dyDescent="0.3">
      <c r="A173" s="25" t="s">
        <v>3500</v>
      </c>
      <c r="B173" s="25" t="s">
        <v>3828</v>
      </c>
      <c r="C173" s="26" t="s">
        <v>3829</v>
      </c>
      <c r="D173" s="25" t="s">
        <v>1693</v>
      </c>
      <c r="E173" s="25" t="s">
        <v>70</v>
      </c>
      <c r="F173" s="25" t="s">
        <v>825</v>
      </c>
      <c r="G173" s="26" t="s">
        <v>72</v>
      </c>
      <c r="H173" s="27" t="s">
        <v>251</v>
      </c>
      <c r="I173" s="26">
        <v>1701</v>
      </c>
      <c r="J173" s="26">
        <v>170150</v>
      </c>
      <c r="K173" s="28">
        <v>4</v>
      </c>
      <c r="L173" s="25" t="s">
        <v>1694</v>
      </c>
      <c r="M173" s="25"/>
      <c r="N173" s="25" t="s">
        <v>1695</v>
      </c>
      <c r="O173" s="25"/>
      <c r="P173" s="25"/>
      <c r="Q173" s="25"/>
      <c r="R173" s="25"/>
      <c r="S173" s="25"/>
      <c r="T173" s="25"/>
      <c r="U173" s="25"/>
      <c r="V173" s="25"/>
      <c r="W173" s="25" t="s">
        <v>1696</v>
      </c>
      <c r="X173" s="25" t="s">
        <v>1697</v>
      </c>
      <c r="Y173" s="25"/>
      <c r="Z173" s="25"/>
      <c r="AA173" s="25"/>
      <c r="AB173" s="25"/>
      <c r="AC173" s="25"/>
      <c r="AD173" s="25"/>
      <c r="AE173" s="28">
        <v>2</v>
      </c>
      <c r="AF173" s="28" t="s">
        <v>64</v>
      </c>
      <c r="AG173" s="29" t="s">
        <v>65</v>
      </c>
      <c r="AH173" s="30"/>
      <c r="AI173" s="31" t="s">
        <v>66</v>
      </c>
      <c r="AJ173" s="32" t="s">
        <v>6938</v>
      </c>
      <c r="AK173" s="33" t="s">
        <v>67</v>
      </c>
      <c r="AL173" s="34">
        <v>45588</v>
      </c>
      <c r="AM173" s="36" t="s">
        <v>66</v>
      </c>
      <c r="AN173" s="36"/>
      <c r="AO173" s="36"/>
      <c r="AP173" s="36"/>
      <c r="AQ173" s="37">
        <f t="shared" si="9"/>
        <v>0</v>
      </c>
      <c r="AR173" s="38">
        <f t="shared" si="10"/>
        <v>0</v>
      </c>
      <c r="AS173" s="39">
        <f t="shared" si="11"/>
        <v>0</v>
      </c>
      <c r="AT173" s="91"/>
      <c r="AU173" s="92" t="s">
        <v>1356</v>
      </c>
      <c r="AV173" s="93"/>
      <c r="AW173" s="94"/>
      <c r="AX173" s="93"/>
      <c r="AY173" s="95"/>
      <c r="AZ173" s="91"/>
      <c r="BA173" s="92" t="s">
        <v>1356</v>
      </c>
      <c r="BB173" s="93"/>
      <c r="BC173" s="95"/>
      <c r="BD173" s="93"/>
      <c r="BE173" s="95"/>
      <c r="BF173" s="91"/>
      <c r="BG173" s="92" t="s">
        <v>1356</v>
      </c>
      <c r="BH173" s="93"/>
      <c r="BI173" s="95"/>
      <c r="BJ173" s="93"/>
      <c r="BK173" s="95"/>
      <c r="BL173" s="91"/>
      <c r="BM173" s="92" t="s">
        <v>1356</v>
      </c>
      <c r="BN173" s="93"/>
      <c r="BO173" s="95"/>
      <c r="BP173" s="93"/>
      <c r="BQ173" s="95"/>
      <c r="BR173" s="91"/>
      <c r="BS173" s="92" t="s">
        <v>1356</v>
      </c>
      <c r="BT173" s="93"/>
      <c r="BU173" s="95"/>
      <c r="BV173" s="93"/>
      <c r="BW173" s="95"/>
      <c r="BX173" s="113"/>
      <c r="BY173" s="114" t="s">
        <v>1356</v>
      </c>
      <c r="BZ173" s="115"/>
      <c r="CA173" s="116"/>
      <c r="CB173" s="115"/>
      <c r="CC173" s="116"/>
      <c r="CD173" s="113"/>
      <c r="CE173" s="114" t="s">
        <v>1356</v>
      </c>
      <c r="CF173" s="115"/>
      <c r="CG173" s="116"/>
      <c r="CH173" s="115"/>
      <c r="CI173" s="116"/>
      <c r="CJ173" s="113"/>
      <c r="CK173" s="114" t="s">
        <v>1356</v>
      </c>
      <c r="CL173" s="115"/>
      <c r="CM173" s="116"/>
      <c r="CN173" s="115"/>
      <c r="CO173" s="116"/>
      <c r="CP173" s="113"/>
      <c r="CQ173" s="114" t="s">
        <v>1356</v>
      </c>
      <c r="CR173" s="115"/>
      <c r="CS173" s="116"/>
      <c r="CT173" s="115"/>
      <c r="CU173" s="116"/>
      <c r="CV173" s="113"/>
      <c r="CW173" s="114" t="s">
        <v>1356</v>
      </c>
      <c r="CX173" s="115"/>
      <c r="CY173" s="116"/>
      <c r="CZ173" s="115"/>
      <c r="DA173" s="116"/>
      <c r="DB173" s="128" t="s">
        <v>7085</v>
      </c>
      <c r="DC173" s="128" t="s">
        <v>105</v>
      </c>
    </row>
    <row r="174" spans="1:107" s="40" customFormat="1" ht="14.55" customHeight="1" x14ac:dyDescent="0.3">
      <c r="A174" s="25" t="s">
        <v>3500</v>
      </c>
      <c r="B174" s="25" t="s">
        <v>3830</v>
      </c>
      <c r="C174" s="26" t="s">
        <v>3831</v>
      </c>
      <c r="D174" s="25" t="s">
        <v>1698</v>
      </c>
      <c r="E174" s="25" t="s">
        <v>1699</v>
      </c>
      <c r="F174" s="25" t="s">
        <v>71</v>
      </c>
      <c r="G174" s="26" t="s">
        <v>72</v>
      </c>
      <c r="H174" s="27" t="s">
        <v>251</v>
      </c>
      <c r="I174" s="26">
        <v>1701</v>
      </c>
      <c r="J174" s="26">
        <v>170150</v>
      </c>
      <c r="K174" s="28">
        <v>3</v>
      </c>
      <c r="L174" s="25" t="s">
        <v>1700</v>
      </c>
      <c r="M174" s="25" t="s">
        <v>1701</v>
      </c>
      <c r="N174" s="25" t="s">
        <v>1702</v>
      </c>
      <c r="O174" s="25"/>
      <c r="P174" s="25"/>
      <c r="Q174" s="25"/>
      <c r="R174" s="25" t="s">
        <v>60</v>
      </c>
      <c r="S174" s="25"/>
      <c r="T174" s="25"/>
      <c r="U174" s="25" t="s">
        <v>1206</v>
      </c>
      <c r="V174" s="25"/>
      <c r="W174" s="25" t="s">
        <v>1703</v>
      </c>
      <c r="X174" s="25" t="s">
        <v>1704</v>
      </c>
      <c r="Y174" s="25" t="s">
        <v>1705</v>
      </c>
      <c r="Z174" s="25"/>
      <c r="AA174" s="25"/>
      <c r="AB174" s="25">
        <v>170150042</v>
      </c>
      <c r="AC174" s="25">
        <v>170150042001</v>
      </c>
      <c r="AD174" s="25">
        <v>170150042001002</v>
      </c>
      <c r="AE174" s="28">
        <v>3</v>
      </c>
      <c r="AF174" s="28" t="s">
        <v>377</v>
      </c>
      <c r="AG174" s="29" t="s">
        <v>65</v>
      </c>
      <c r="AH174" s="30"/>
      <c r="AI174" s="31" t="s">
        <v>65</v>
      </c>
      <c r="AJ174" s="32" t="s">
        <v>6938</v>
      </c>
      <c r="AK174" s="33" t="s">
        <v>92</v>
      </c>
      <c r="AL174" s="34">
        <v>45603</v>
      </c>
      <c r="AM174" s="36"/>
      <c r="AN174" s="36"/>
      <c r="AO174" s="36"/>
      <c r="AP174" s="36"/>
      <c r="AQ174" s="37">
        <f t="shared" si="9"/>
        <v>0</v>
      </c>
      <c r="AR174" s="38">
        <f t="shared" si="10"/>
        <v>0</v>
      </c>
      <c r="AS174" s="39">
        <f t="shared" si="11"/>
        <v>0</v>
      </c>
      <c r="AT174" s="91"/>
      <c r="AU174" s="92" t="s">
        <v>1356</v>
      </c>
      <c r="AV174" s="93"/>
      <c r="AW174" s="94"/>
      <c r="AX174" s="93"/>
      <c r="AY174" s="95"/>
      <c r="AZ174" s="91"/>
      <c r="BA174" s="92" t="s">
        <v>1356</v>
      </c>
      <c r="BB174" s="93"/>
      <c r="BC174" s="95"/>
      <c r="BD174" s="93"/>
      <c r="BE174" s="95"/>
      <c r="BF174" s="91"/>
      <c r="BG174" s="92" t="s">
        <v>1356</v>
      </c>
      <c r="BH174" s="93"/>
      <c r="BI174" s="95"/>
      <c r="BJ174" s="93"/>
      <c r="BK174" s="95"/>
      <c r="BL174" s="91"/>
      <c r="BM174" s="92" t="s">
        <v>1356</v>
      </c>
      <c r="BN174" s="93"/>
      <c r="BO174" s="95"/>
      <c r="BP174" s="93"/>
      <c r="BQ174" s="95"/>
      <c r="BR174" s="91"/>
      <c r="BS174" s="92" t="s">
        <v>1356</v>
      </c>
      <c r="BT174" s="93"/>
      <c r="BU174" s="95"/>
      <c r="BV174" s="93"/>
      <c r="BW174" s="95"/>
      <c r="BX174" s="113"/>
      <c r="BY174" s="114" t="s">
        <v>1356</v>
      </c>
      <c r="BZ174" s="115"/>
      <c r="CA174" s="116"/>
      <c r="CB174" s="115"/>
      <c r="CC174" s="116"/>
      <c r="CD174" s="113"/>
      <c r="CE174" s="114" t="s">
        <v>1356</v>
      </c>
      <c r="CF174" s="115"/>
      <c r="CG174" s="116"/>
      <c r="CH174" s="115"/>
      <c r="CI174" s="116"/>
      <c r="CJ174" s="113"/>
      <c r="CK174" s="114" t="s">
        <v>1356</v>
      </c>
      <c r="CL174" s="115"/>
      <c r="CM174" s="116"/>
      <c r="CN174" s="115"/>
      <c r="CO174" s="116"/>
      <c r="CP174" s="113"/>
      <c r="CQ174" s="114" t="s">
        <v>1356</v>
      </c>
      <c r="CR174" s="115"/>
      <c r="CS174" s="116"/>
      <c r="CT174" s="115"/>
      <c r="CU174" s="116"/>
      <c r="CV174" s="113"/>
      <c r="CW174" s="114" t="s">
        <v>1356</v>
      </c>
      <c r="CX174" s="115"/>
      <c r="CY174" s="116"/>
      <c r="CZ174" s="115"/>
      <c r="DA174" s="116"/>
      <c r="DB174" s="128" t="s">
        <v>7085</v>
      </c>
      <c r="DC174" s="128" t="s">
        <v>92</v>
      </c>
    </row>
    <row r="175" spans="1:107" s="40" customFormat="1" ht="14.55" customHeight="1" x14ac:dyDescent="0.3">
      <c r="A175" s="25" t="s">
        <v>3500</v>
      </c>
      <c r="B175" s="25" t="s">
        <v>3832</v>
      </c>
      <c r="C175" s="25" t="s">
        <v>3833</v>
      </c>
      <c r="D175" s="25" t="s">
        <v>1706</v>
      </c>
      <c r="E175" s="25" t="s">
        <v>1707</v>
      </c>
      <c r="F175" s="25" t="s">
        <v>169</v>
      </c>
      <c r="G175" s="26" t="s">
        <v>72</v>
      </c>
      <c r="H175" s="27" t="s">
        <v>251</v>
      </c>
      <c r="I175" s="26">
        <v>1701</v>
      </c>
      <c r="J175" s="26">
        <v>170150</v>
      </c>
      <c r="K175" s="28">
        <v>3</v>
      </c>
      <c r="L175" s="25" t="s">
        <v>221</v>
      </c>
      <c r="M175" s="25" t="s">
        <v>1708</v>
      </c>
      <c r="N175" s="25" t="s">
        <v>1709</v>
      </c>
      <c r="O175" s="25"/>
      <c r="P175" s="25"/>
      <c r="Q175" s="25"/>
      <c r="R175" s="25"/>
      <c r="S175" s="25"/>
      <c r="T175" s="25"/>
      <c r="U175" s="25"/>
      <c r="V175" s="25"/>
      <c r="W175" s="25" t="s">
        <v>1710</v>
      </c>
      <c r="X175" s="25" t="s">
        <v>1711</v>
      </c>
      <c r="Y175" s="25" t="s">
        <v>1712</v>
      </c>
      <c r="Z175" s="25">
        <v>-78.472081000000003</v>
      </c>
      <c r="AA175" s="25">
        <v>-0.119287</v>
      </c>
      <c r="AB175" s="25">
        <v>170150117</v>
      </c>
      <c r="AC175" s="25">
        <v>170150117001</v>
      </c>
      <c r="AD175" s="25">
        <v>170150117001002</v>
      </c>
      <c r="AE175" s="28">
        <v>3</v>
      </c>
      <c r="AF175" s="28" t="s">
        <v>377</v>
      </c>
      <c r="AG175" s="29" t="s">
        <v>65</v>
      </c>
      <c r="AH175" s="30"/>
      <c r="AI175" s="31" t="s">
        <v>65</v>
      </c>
      <c r="AJ175" s="32" t="s">
        <v>6938</v>
      </c>
      <c r="AK175" s="33" t="s">
        <v>92</v>
      </c>
      <c r="AL175" s="34">
        <v>45604</v>
      </c>
      <c r="AM175" s="36"/>
      <c r="AN175" s="36"/>
      <c r="AO175" s="36"/>
      <c r="AP175" s="36"/>
      <c r="AQ175" s="37">
        <f t="shared" si="9"/>
        <v>0</v>
      </c>
      <c r="AR175" s="38">
        <f t="shared" si="10"/>
        <v>0</v>
      </c>
      <c r="AS175" s="39">
        <f t="shared" si="11"/>
        <v>0</v>
      </c>
      <c r="AT175" s="91"/>
      <c r="AU175" s="92" t="s">
        <v>1356</v>
      </c>
      <c r="AV175" s="93"/>
      <c r="AW175" s="94"/>
      <c r="AX175" s="93"/>
      <c r="AY175" s="95"/>
      <c r="AZ175" s="91"/>
      <c r="BA175" s="92" t="s">
        <v>1356</v>
      </c>
      <c r="BB175" s="93"/>
      <c r="BC175" s="95"/>
      <c r="BD175" s="93"/>
      <c r="BE175" s="95"/>
      <c r="BF175" s="91"/>
      <c r="BG175" s="92" t="s">
        <v>1356</v>
      </c>
      <c r="BH175" s="93"/>
      <c r="BI175" s="95"/>
      <c r="BJ175" s="93"/>
      <c r="BK175" s="95"/>
      <c r="BL175" s="91"/>
      <c r="BM175" s="92" t="s">
        <v>1356</v>
      </c>
      <c r="BN175" s="93"/>
      <c r="BO175" s="95"/>
      <c r="BP175" s="93"/>
      <c r="BQ175" s="95"/>
      <c r="BR175" s="91"/>
      <c r="BS175" s="92" t="s">
        <v>1356</v>
      </c>
      <c r="BT175" s="93"/>
      <c r="BU175" s="95"/>
      <c r="BV175" s="93"/>
      <c r="BW175" s="95"/>
      <c r="BX175" s="113"/>
      <c r="BY175" s="114" t="s">
        <v>1356</v>
      </c>
      <c r="BZ175" s="115"/>
      <c r="CA175" s="116"/>
      <c r="CB175" s="115"/>
      <c r="CC175" s="116"/>
      <c r="CD175" s="113"/>
      <c r="CE175" s="114" t="s">
        <v>1356</v>
      </c>
      <c r="CF175" s="115"/>
      <c r="CG175" s="116"/>
      <c r="CH175" s="115"/>
      <c r="CI175" s="116"/>
      <c r="CJ175" s="113"/>
      <c r="CK175" s="114" t="s">
        <v>1356</v>
      </c>
      <c r="CL175" s="115"/>
      <c r="CM175" s="116"/>
      <c r="CN175" s="115"/>
      <c r="CO175" s="116"/>
      <c r="CP175" s="113"/>
      <c r="CQ175" s="114" t="s">
        <v>1356</v>
      </c>
      <c r="CR175" s="115"/>
      <c r="CS175" s="116"/>
      <c r="CT175" s="115"/>
      <c r="CU175" s="116"/>
      <c r="CV175" s="113"/>
      <c r="CW175" s="114" t="s">
        <v>1356</v>
      </c>
      <c r="CX175" s="115"/>
      <c r="CY175" s="116"/>
      <c r="CZ175" s="115"/>
      <c r="DA175" s="116"/>
      <c r="DB175" s="128" t="s">
        <v>7085</v>
      </c>
      <c r="DC175" s="128" t="s">
        <v>92</v>
      </c>
    </row>
    <row r="176" spans="1:107" s="40" customFormat="1" ht="14.55" customHeight="1" x14ac:dyDescent="0.3">
      <c r="A176" s="35" t="s">
        <v>4219</v>
      </c>
      <c r="B176" s="35" t="s">
        <v>6296</v>
      </c>
      <c r="C176" s="35" t="s">
        <v>6297</v>
      </c>
      <c r="D176" s="35" t="s">
        <v>6298</v>
      </c>
      <c r="E176" s="35" t="s">
        <v>6299</v>
      </c>
      <c r="F176" s="35" t="s">
        <v>1752</v>
      </c>
      <c r="G176" s="35" t="s">
        <v>4237</v>
      </c>
      <c r="H176" s="27" t="s">
        <v>686</v>
      </c>
      <c r="I176" s="62">
        <v>907</v>
      </c>
      <c r="J176" s="62">
        <v>90750</v>
      </c>
      <c r="K176" s="63">
        <v>4</v>
      </c>
      <c r="L176" s="35" t="s">
        <v>6300</v>
      </c>
      <c r="M176" s="35" t="s">
        <v>6301</v>
      </c>
      <c r="N176" s="35" t="s">
        <v>810</v>
      </c>
      <c r="O176" s="35"/>
      <c r="P176" s="35"/>
      <c r="Q176" s="35"/>
      <c r="R176" s="35" t="s">
        <v>60</v>
      </c>
      <c r="S176" s="35"/>
      <c r="T176" s="35"/>
      <c r="U176" s="35" t="s">
        <v>6302</v>
      </c>
      <c r="V176" s="35"/>
      <c r="W176" s="35" t="s">
        <v>6303</v>
      </c>
      <c r="X176" s="35" t="s">
        <v>6304</v>
      </c>
      <c r="Y176" s="35" t="s">
        <v>6305</v>
      </c>
      <c r="Z176" s="35"/>
      <c r="AA176" s="35"/>
      <c r="AB176" s="35">
        <v>90750071</v>
      </c>
      <c r="AC176" s="35">
        <v>90750071007</v>
      </c>
      <c r="AD176" s="35">
        <v>90750071007001</v>
      </c>
      <c r="AE176" s="63">
        <v>5</v>
      </c>
      <c r="AF176" s="63" t="s">
        <v>772</v>
      </c>
      <c r="AG176" s="46" t="s">
        <v>66</v>
      </c>
      <c r="AH176" s="64">
        <v>80452</v>
      </c>
      <c r="AI176" s="65" t="s">
        <v>66</v>
      </c>
      <c r="AJ176" s="32" t="s">
        <v>6938</v>
      </c>
      <c r="AK176" s="33" t="s">
        <v>67</v>
      </c>
      <c r="AL176" s="58">
        <v>45573</v>
      </c>
      <c r="AM176" s="52" t="s">
        <v>66</v>
      </c>
      <c r="AN176" s="35"/>
      <c r="AO176" s="35"/>
      <c r="AP176" s="35"/>
      <c r="AQ176" s="37">
        <f t="shared" si="9"/>
        <v>2</v>
      </c>
      <c r="AR176" s="38">
        <f t="shared" si="10"/>
        <v>0</v>
      </c>
      <c r="AS176" s="39">
        <f t="shared" si="11"/>
        <v>2</v>
      </c>
      <c r="AT176" s="99" t="s">
        <v>7021</v>
      </c>
      <c r="AU176" s="99" t="s">
        <v>3347</v>
      </c>
      <c r="AV176" s="99" t="s">
        <v>7022</v>
      </c>
      <c r="AW176" s="100">
        <v>45604</v>
      </c>
      <c r="AX176" s="99"/>
      <c r="AY176" s="101"/>
      <c r="AZ176" s="99" t="s">
        <v>637</v>
      </c>
      <c r="BA176" s="99" t="s">
        <v>7023</v>
      </c>
      <c r="BB176" s="99" t="s">
        <v>7024</v>
      </c>
      <c r="BC176" s="101">
        <v>45352</v>
      </c>
      <c r="BD176" s="99"/>
      <c r="BE176" s="101"/>
      <c r="BF176" s="99"/>
      <c r="BG176" s="99" t="s">
        <v>1356</v>
      </c>
      <c r="BH176" s="99"/>
      <c r="BI176" s="101"/>
      <c r="BJ176" s="99"/>
      <c r="BK176" s="101"/>
      <c r="BL176" s="99"/>
      <c r="BM176" s="99" t="s">
        <v>1356</v>
      </c>
      <c r="BN176" s="99"/>
      <c r="BO176" s="101"/>
      <c r="BP176" s="99"/>
      <c r="BQ176" s="101"/>
      <c r="BR176" s="99"/>
      <c r="BS176" s="99" t="s">
        <v>1356</v>
      </c>
      <c r="BT176" s="99"/>
      <c r="BU176" s="101"/>
      <c r="BV176" s="99"/>
      <c r="BW176" s="101"/>
      <c r="BX176" s="119"/>
      <c r="BY176" s="119" t="s">
        <v>1356</v>
      </c>
      <c r="BZ176" s="119"/>
      <c r="CA176" s="120"/>
      <c r="CB176" s="119"/>
      <c r="CC176" s="120"/>
      <c r="CD176" s="119"/>
      <c r="CE176" s="119" t="s">
        <v>1356</v>
      </c>
      <c r="CF176" s="119"/>
      <c r="CG176" s="120"/>
      <c r="CH176" s="119"/>
      <c r="CI176" s="120"/>
      <c r="CJ176" s="119"/>
      <c r="CK176" s="119" t="s">
        <v>1356</v>
      </c>
      <c r="CL176" s="119"/>
      <c r="CM176" s="120"/>
      <c r="CN176" s="119"/>
      <c r="CO176" s="120"/>
      <c r="CP176" s="119"/>
      <c r="CQ176" s="119" t="s">
        <v>1356</v>
      </c>
      <c r="CR176" s="119"/>
      <c r="CS176" s="120"/>
      <c r="CT176" s="119"/>
      <c r="CU176" s="120"/>
      <c r="CV176" s="119"/>
      <c r="CW176" s="119" t="s">
        <v>1356</v>
      </c>
      <c r="CX176" s="119"/>
      <c r="CY176" s="120"/>
      <c r="CZ176" s="119"/>
      <c r="DA176" s="120"/>
      <c r="DB176" s="129" t="s">
        <v>6962</v>
      </c>
      <c r="DC176" s="131" t="s">
        <v>105</v>
      </c>
    </row>
    <row r="177" spans="1:107" s="40" customFormat="1" ht="14.55" customHeight="1" x14ac:dyDescent="0.3">
      <c r="A177" s="35" t="s">
        <v>4219</v>
      </c>
      <c r="B177" s="35" t="s">
        <v>6432</v>
      </c>
      <c r="C177" s="35" t="s">
        <v>6433</v>
      </c>
      <c r="D177" s="35" t="s">
        <v>6434</v>
      </c>
      <c r="E177" s="35" t="s">
        <v>6435</v>
      </c>
      <c r="F177" s="35" t="s">
        <v>56</v>
      </c>
      <c r="G177" s="35" t="s">
        <v>461</v>
      </c>
      <c r="H177" s="27" t="s">
        <v>6933</v>
      </c>
      <c r="I177" s="62">
        <v>1321</v>
      </c>
      <c r="J177" s="62">
        <v>132150</v>
      </c>
      <c r="K177" s="63">
        <v>4</v>
      </c>
      <c r="L177" s="35" t="s">
        <v>5861</v>
      </c>
      <c r="M177" s="35"/>
      <c r="N177" s="35" t="s">
        <v>5861</v>
      </c>
      <c r="O177" s="35" t="s">
        <v>5119</v>
      </c>
      <c r="P177" s="35"/>
      <c r="Q177" s="35" t="s">
        <v>6436</v>
      </c>
      <c r="R177" s="35" t="s">
        <v>60</v>
      </c>
      <c r="S177" s="35"/>
      <c r="T177" s="35"/>
      <c r="U177" s="35"/>
      <c r="V177" s="35"/>
      <c r="W177" s="35" t="s">
        <v>6437</v>
      </c>
      <c r="X177" s="35" t="s">
        <v>6438</v>
      </c>
      <c r="Y177" s="35" t="s">
        <v>6439</v>
      </c>
      <c r="Z177" s="35"/>
      <c r="AA177" s="35"/>
      <c r="AB177" s="35">
        <v>132150005</v>
      </c>
      <c r="AC177" s="35">
        <v>132150005007</v>
      </c>
      <c r="AD177" s="35">
        <v>132150005007016</v>
      </c>
      <c r="AE177" s="63">
        <v>5</v>
      </c>
      <c r="AF177" s="63" t="s">
        <v>772</v>
      </c>
      <c r="AG177" s="46" t="s">
        <v>66</v>
      </c>
      <c r="AH177" s="64">
        <v>80533</v>
      </c>
      <c r="AI177" s="65" t="s">
        <v>66</v>
      </c>
      <c r="AJ177" s="32" t="s">
        <v>6938</v>
      </c>
      <c r="AK177" s="33" t="s">
        <v>67</v>
      </c>
      <c r="AL177" s="34">
        <v>45573</v>
      </c>
      <c r="AM177" s="52" t="s">
        <v>66</v>
      </c>
      <c r="AN177" s="35"/>
      <c r="AO177" s="35"/>
      <c r="AP177" s="35"/>
      <c r="AQ177" s="37">
        <f t="shared" si="9"/>
        <v>2</v>
      </c>
      <c r="AR177" s="38">
        <f t="shared" si="10"/>
        <v>0</v>
      </c>
      <c r="AS177" s="39">
        <f t="shared" si="11"/>
        <v>2</v>
      </c>
      <c r="AT177" s="99" t="s">
        <v>6986</v>
      </c>
      <c r="AU177" s="99" t="s">
        <v>6987</v>
      </c>
      <c r="AV177" s="99">
        <v>0</v>
      </c>
      <c r="AW177" s="100">
        <v>45627</v>
      </c>
      <c r="AX177" s="99"/>
      <c r="AY177" s="101"/>
      <c r="AZ177" s="99" t="s">
        <v>6988</v>
      </c>
      <c r="BA177" s="99" t="s">
        <v>6989</v>
      </c>
      <c r="BB177" s="99" t="s">
        <v>7006</v>
      </c>
      <c r="BC177" s="101">
        <v>45473</v>
      </c>
      <c r="BD177" s="99"/>
      <c r="BE177" s="101"/>
      <c r="BF177" s="99"/>
      <c r="BG177" s="99" t="s">
        <v>1356</v>
      </c>
      <c r="BH177" s="99"/>
      <c r="BI177" s="101"/>
      <c r="BJ177" s="99"/>
      <c r="BK177" s="101"/>
      <c r="BL177" s="99"/>
      <c r="BM177" s="99" t="s">
        <v>1356</v>
      </c>
      <c r="BN177" s="99"/>
      <c r="BO177" s="101"/>
      <c r="BP177" s="99"/>
      <c r="BQ177" s="101"/>
      <c r="BR177" s="99"/>
      <c r="BS177" s="99" t="s">
        <v>1356</v>
      </c>
      <c r="BT177" s="99"/>
      <c r="BU177" s="101"/>
      <c r="BV177" s="99"/>
      <c r="BW177" s="101"/>
      <c r="BX177" s="119"/>
      <c r="BY177" s="119" t="s">
        <v>1356</v>
      </c>
      <c r="BZ177" s="119"/>
      <c r="CA177" s="120"/>
      <c r="CB177" s="119"/>
      <c r="CC177" s="120"/>
      <c r="CD177" s="119"/>
      <c r="CE177" s="119" t="s">
        <v>1356</v>
      </c>
      <c r="CF177" s="119"/>
      <c r="CG177" s="120"/>
      <c r="CH177" s="119"/>
      <c r="CI177" s="120"/>
      <c r="CJ177" s="119"/>
      <c r="CK177" s="119" t="s">
        <v>1356</v>
      </c>
      <c r="CL177" s="119"/>
      <c r="CM177" s="120"/>
      <c r="CN177" s="119"/>
      <c r="CO177" s="120"/>
      <c r="CP177" s="119"/>
      <c r="CQ177" s="119" t="s">
        <v>1356</v>
      </c>
      <c r="CR177" s="119"/>
      <c r="CS177" s="120"/>
      <c r="CT177" s="119"/>
      <c r="CU177" s="120"/>
      <c r="CV177" s="119"/>
      <c r="CW177" s="119" t="s">
        <v>1356</v>
      </c>
      <c r="CX177" s="119"/>
      <c r="CY177" s="120"/>
      <c r="CZ177" s="119"/>
      <c r="DA177" s="120"/>
      <c r="DB177" s="129" t="s">
        <v>6962</v>
      </c>
      <c r="DC177" s="131" t="s">
        <v>105</v>
      </c>
    </row>
    <row r="178" spans="1:107" s="40" customFormat="1" ht="14.55" customHeight="1" x14ac:dyDescent="0.3">
      <c r="A178" s="66" t="s">
        <v>3500</v>
      </c>
      <c r="B178" s="66" t="s">
        <v>3593</v>
      </c>
      <c r="C178" s="66" t="s">
        <v>3594</v>
      </c>
      <c r="D178" s="66" t="s">
        <v>554</v>
      </c>
      <c r="E178" s="66" t="s">
        <v>555</v>
      </c>
      <c r="F178" s="66" t="s">
        <v>142</v>
      </c>
      <c r="G178" s="68" t="s">
        <v>72</v>
      </c>
      <c r="H178" s="43" t="s">
        <v>251</v>
      </c>
      <c r="I178" s="68">
        <v>1701</v>
      </c>
      <c r="J178" s="68">
        <v>170155</v>
      </c>
      <c r="K178" s="69">
        <v>4</v>
      </c>
      <c r="L178" s="66" t="s">
        <v>556</v>
      </c>
      <c r="M178" s="66" t="s">
        <v>557</v>
      </c>
      <c r="N178" s="66" t="s">
        <v>558</v>
      </c>
      <c r="O178" s="66"/>
      <c r="P178" s="66"/>
      <c r="Q178" s="66"/>
      <c r="R178" s="66"/>
      <c r="S178" s="66"/>
      <c r="T178" s="66"/>
      <c r="U178" s="66" t="s">
        <v>559</v>
      </c>
      <c r="V178" s="66"/>
      <c r="W178" s="66" t="s">
        <v>560</v>
      </c>
      <c r="X178" s="66" t="s">
        <v>561</v>
      </c>
      <c r="Y178" s="66" t="s">
        <v>562</v>
      </c>
      <c r="Z178" s="66">
        <v>-78.426119999999997</v>
      </c>
      <c r="AA178" s="66">
        <v>-9.0418999999999999E-2</v>
      </c>
      <c r="AB178" s="66">
        <v>170155015</v>
      </c>
      <c r="AC178" s="66">
        <v>170155015009</v>
      </c>
      <c r="AD178" s="66">
        <v>170155015009006</v>
      </c>
      <c r="AE178" s="69">
        <v>4</v>
      </c>
      <c r="AF178" s="69" t="s">
        <v>499</v>
      </c>
      <c r="AG178" s="46" t="s">
        <v>66</v>
      </c>
      <c r="AH178" s="70" t="s">
        <v>563</v>
      </c>
      <c r="AI178" s="71" t="s">
        <v>66</v>
      </c>
      <c r="AJ178" s="49" t="s">
        <v>6938</v>
      </c>
      <c r="AK178" s="50" t="s">
        <v>67</v>
      </c>
      <c r="AL178" s="58">
        <v>45574</v>
      </c>
      <c r="AM178" s="52" t="s">
        <v>66</v>
      </c>
      <c r="AN178" s="52"/>
      <c r="AO178" s="52"/>
      <c r="AP178" s="52"/>
      <c r="AQ178" s="53">
        <f t="shared" si="9"/>
        <v>1</v>
      </c>
      <c r="AR178" s="54">
        <f t="shared" si="10"/>
        <v>0</v>
      </c>
      <c r="AS178" s="55">
        <f t="shared" si="11"/>
        <v>1</v>
      </c>
      <c r="AT178" s="102" t="s">
        <v>564</v>
      </c>
      <c r="AU178" s="103" t="s">
        <v>2655</v>
      </c>
      <c r="AV178" s="104">
        <v>8.9600000000000009</v>
      </c>
      <c r="AW178" s="105">
        <v>45574</v>
      </c>
      <c r="AX178" s="104">
        <v>8.9600000000000009</v>
      </c>
      <c r="AY178" s="106">
        <v>45607</v>
      </c>
      <c r="AZ178" s="102"/>
      <c r="BA178" s="103" t="s">
        <v>1356</v>
      </c>
      <c r="BB178" s="104"/>
      <c r="BC178" s="106"/>
      <c r="BD178" s="104"/>
      <c r="BE178" s="106"/>
      <c r="BF178" s="102"/>
      <c r="BG178" s="103" t="s">
        <v>1356</v>
      </c>
      <c r="BH178" s="104"/>
      <c r="BI178" s="106"/>
      <c r="BJ178" s="104"/>
      <c r="BK178" s="106"/>
      <c r="BL178" s="102"/>
      <c r="BM178" s="103" t="s">
        <v>1356</v>
      </c>
      <c r="BN178" s="104"/>
      <c r="BO178" s="106"/>
      <c r="BP178" s="104"/>
      <c r="BQ178" s="106"/>
      <c r="BR178" s="102"/>
      <c r="BS178" s="103" t="s">
        <v>1356</v>
      </c>
      <c r="BT178" s="104"/>
      <c r="BU178" s="106"/>
      <c r="BV178" s="104"/>
      <c r="BW178" s="106"/>
      <c r="BX178" s="121"/>
      <c r="BY178" s="122" t="s">
        <v>1356</v>
      </c>
      <c r="BZ178" s="123"/>
      <c r="CA178" s="124"/>
      <c r="CB178" s="123"/>
      <c r="CC178" s="124"/>
      <c r="CD178" s="121"/>
      <c r="CE178" s="122" t="s">
        <v>1356</v>
      </c>
      <c r="CF178" s="123"/>
      <c r="CG178" s="124"/>
      <c r="CH178" s="123"/>
      <c r="CI178" s="124"/>
      <c r="CJ178" s="121"/>
      <c r="CK178" s="122" t="s">
        <v>1356</v>
      </c>
      <c r="CL178" s="123"/>
      <c r="CM178" s="124"/>
      <c r="CN178" s="123"/>
      <c r="CO178" s="124"/>
      <c r="CP178" s="121"/>
      <c r="CQ178" s="122" t="s">
        <v>1356</v>
      </c>
      <c r="CR178" s="123"/>
      <c r="CS178" s="124"/>
      <c r="CT178" s="123"/>
      <c r="CU178" s="124"/>
      <c r="CV178" s="121"/>
      <c r="CW178" s="122" t="s">
        <v>1356</v>
      </c>
      <c r="CX178" s="123"/>
      <c r="CY178" s="124"/>
      <c r="CZ178" s="123"/>
      <c r="DA178" s="124"/>
      <c r="DB178" s="129" t="s">
        <v>6962</v>
      </c>
      <c r="DC178" s="129" t="s">
        <v>105</v>
      </c>
    </row>
    <row r="179" spans="1:107" s="40" customFormat="1" ht="14.55" customHeight="1" x14ac:dyDescent="0.3">
      <c r="A179" s="25" t="s">
        <v>3500</v>
      </c>
      <c r="B179" s="25" t="s">
        <v>3840</v>
      </c>
      <c r="C179" s="25" t="s">
        <v>3841</v>
      </c>
      <c r="D179" s="25" t="s">
        <v>1742</v>
      </c>
      <c r="E179" s="25" t="s">
        <v>1743</v>
      </c>
      <c r="F179" s="25" t="s">
        <v>439</v>
      </c>
      <c r="G179" s="26" t="s">
        <v>72</v>
      </c>
      <c r="H179" s="27" t="s">
        <v>251</v>
      </c>
      <c r="I179" s="26">
        <v>1701</v>
      </c>
      <c r="J179" s="26">
        <v>170150</v>
      </c>
      <c r="K179" s="28">
        <v>4</v>
      </c>
      <c r="L179" s="25" t="s">
        <v>1744</v>
      </c>
      <c r="M179" s="25" t="s">
        <v>1745</v>
      </c>
      <c r="N179" s="25" t="s">
        <v>1746</v>
      </c>
      <c r="O179" s="25"/>
      <c r="P179" s="25"/>
      <c r="Q179" s="25"/>
      <c r="R179" s="25" t="s">
        <v>113</v>
      </c>
      <c r="S179" s="25"/>
      <c r="T179" s="25"/>
      <c r="U179" s="25" t="s">
        <v>1069</v>
      </c>
      <c r="V179" s="25"/>
      <c r="W179" s="25" t="s">
        <v>1747</v>
      </c>
      <c r="X179" s="25" t="s">
        <v>1748</v>
      </c>
      <c r="Y179" s="25" t="s">
        <v>1749</v>
      </c>
      <c r="Z179" s="25">
        <v>-78.492143154144287</v>
      </c>
      <c r="AA179" s="25">
        <v>-0.124534866504854</v>
      </c>
      <c r="AB179" s="25">
        <v>170150090</v>
      </c>
      <c r="AC179" s="25">
        <v>170150090001</v>
      </c>
      <c r="AD179" s="25">
        <v>170150090001003</v>
      </c>
      <c r="AE179" s="28">
        <v>3</v>
      </c>
      <c r="AF179" s="28" t="s">
        <v>377</v>
      </c>
      <c r="AG179" s="29" t="s">
        <v>65</v>
      </c>
      <c r="AH179" s="30"/>
      <c r="AI179" s="31" t="s">
        <v>66</v>
      </c>
      <c r="AJ179" s="32" t="s">
        <v>6938</v>
      </c>
      <c r="AK179" s="33" t="s">
        <v>67</v>
      </c>
      <c r="AL179" s="34">
        <v>45589</v>
      </c>
      <c r="AM179" s="36" t="s">
        <v>66</v>
      </c>
      <c r="AN179" s="36"/>
      <c r="AO179" s="36"/>
      <c r="AP179" s="36"/>
      <c r="AQ179" s="37">
        <f t="shared" si="9"/>
        <v>0</v>
      </c>
      <c r="AR179" s="38">
        <f t="shared" si="10"/>
        <v>0</v>
      </c>
      <c r="AS179" s="39">
        <f t="shared" si="11"/>
        <v>0</v>
      </c>
      <c r="AT179" s="91"/>
      <c r="AU179" s="92" t="s">
        <v>1356</v>
      </c>
      <c r="AV179" s="93"/>
      <c r="AW179" s="94"/>
      <c r="AX179" s="93"/>
      <c r="AY179" s="95"/>
      <c r="AZ179" s="91"/>
      <c r="BA179" s="92" t="s">
        <v>1356</v>
      </c>
      <c r="BB179" s="93"/>
      <c r="BC179" s="95"/>
      <c r="BD179" s="93"/>
      <c r="BE179" s="95"/>
      <c r="BF179" s="91"/>
      <c r="BG179" s="92" t="s">
        <v>1356</v>
      </c>
      <c r="BH179" s="93"/>
      <c r="BI179" s="95"/>
      <c r="BJ179" s="93"/>
      <c r="BK179" s="95"/>
      <c r="BL179" s="91"/>
      <c r="BM179" s="92" t="s">
        <v>1356</v>
      </c>
      <c r="BN179" s="93"/>
      <c r="BO179" s="95"/>
      <c r="BP179" s="93"/>
      <c r="BQ179" s="95"/>
      <c r="BR179" s="91"/>
      <c r="BS179" s="92" t="s">
        <v>1356</v>
      </c>
      <c r="BT179" s="93"/>
      <c r="BU179" s="95"/>
      <c r="BV179" s="93"/>
      <c r="BW179" s="95"/>
      <c r="BX179" s="113"/>
      <c r="BY179" s="114" t="s">
        <v>1356</v>
      </c>
      <c r="BZ179" s="115"/>
      <c r="CA179" s="116"/>
      <c r="CB179" s="115"/>
      <c r="CC179" s="116"/>
      <c r="CD179" s="113"/>
      <c r="CE179" s="114" t="s">
        <v>1356</v>
      </c>
      <c r="CF179" s="115"/>
      <c r="CG179" s="116"/>
      <c r="CH179" s="115"/>
      <c r="CI179" s="116"/>
      <c r="CJ179" s="113"/>
      <c r="CK179" s="114" t="s">
        <v>1356</v>
      </c>
      <c r="CL179" s="115"/>
      <c r="CM179" s="116"/>
      <c r="CN179" s="115"/>
      <c r="CO179" s="116"/>
      <c r="CP179" s="113"/>
      <c r="CQ179" s="114" t="s">
        <v>1356</v>
      </c>
      <c r="CR179" s="115"/>
      <c r="CS179" s="116"/>
      <c r="CT179" s="115"/>
      <c r="CU179" s="116"/>
      <c r="CV179" s="113"/>
      <c r="CW179" s="114" t="s">
        <v>1356</v>
      </c>
      <c r="CX179" s="115"/>
      <c r="CY179" s="116"/>
      <c r="CZ179" s="115"/>
      <c r="DA179" s="116"/>
      <c r="DB179" s="128" t="s">
        <v>7085</v>
      </c>
      <c r="DC179" s="128" t="s">
        <v>105</v>
      </c>
    </row>
    <row r="180" spans="1:107" s="40" customFormat="1" ht="14.55" customHeight="1" x14ac:dyDescent="0.3">
      <c r="A180" s="66" t="s">
        <v>3500</v>
      </c>
      <c r="B180" s="66" t="s">
        <v>3595</v>
      </c>
      <c r="C180" s="66" t="s">
        <v>3596</v>
      </c>
      <c r="D180" s="66" t="s">
        <v>565</v>
      </c>
      <c r="E180" s="66" t="s">
        <v>566</v>
      </c>
      <c r="F180" s="66" t="s">
        <v>567</v>
      </c>
      <c r="G180" s="68" t="s">
        <v>72</v>
      </c>
      <c r="H180" s="43" t="s">
        <v>251</v>
      </c>
      <c r="I180" s="68">
        <v>1701</v>
      </c>
      <c r="J180" s="68">
        <v>170150</v>
      </c>
      <c r="K180" s="69">
        <v>4</v>
      </c>
      <c r="L180" s="66" t="s">
        <v>568</v>
      </c>
      <c r="M180" s="66" t="s">
        <v>569</v>
      </c>
      <c r="N180" s="66"/>
      <c r="O180" s="66"/>
      <c r="P180" s="66"/>
      <c r="Q180" s="66"/>
      <c r="R180" s="66"/>
      <c r="S180" s="66"/>
      <c r="T180" s="66"/>
      <c r="U180" s="66" t="s">
        <v>570</v>
      </c>
      <c r="V180" s="66"/>
      <c r="W180" s="66" t="s">
        <v>571</v>
      </c>
      <c r="X180" s="66" t="s">
        <v>572</v>
      </c>
      <c r="Y180" s="66" t="s">
        <v>573</v>
      </c>
      <c r="Z180" s="66"/>
      <c r="AA180" s="66"/>
      <c r="AB180" s="66">
        <v>170150177</v>
      </c>
      <c r="AC180" s="66">
        <v>170150177002</v>
      </c>
      <c r="AD180" s="66">
        <v>170150177002002</v>
      </c>
      <c r="AE180" s="69">
        <v>4</v>
      </c>
      <c r="AF180" s="69" t="s">
        <v>499</v>
      </c>
      <c r="AG180" s="46" t="s">
        <v>66</v>
      </c>
      <c r="AH180" s="70" t="s">
        <v>574</v>
      </c>
      <c r="AI180" s="71" t="s">
        <v>66</v>
      </c>
      <c r="AJ180" s="49" t="s">
        <v>6938</v>
      </c>
      <c r="AK180" s="50" t="s">
        <v>67</v>
      </c>
      <c r="AL180" s="58">
        <v>45574</v>
      </c>
      <c r="AM180" s="52" t="s">
        <v>66</v>
      </c>
      <c r="AN180" s="52"/>
      <c r="AO180" s="52"/>
      <c r="AP180" s="52"/>
      <c r="AQ180" s="53">
        <f t="shared" si="9"/>
        <v>3</v>
      </c>
      <c r="AR180" s="54">
        <f t="shared" si="10"/>
        <v>0</v>
      </c>
      <c r="AS180" s="55">
        <f t="shared" si="11"/>
        <v>3</v>
      </c>
      <c r="AT180" s="102" t="s">
        <v>575</v>
      </c>
      <c r="AU180" s="103" t="s">
        <v>2635</v>
      </c>
      <c r="AV180" s="104">
        <v>1.05</v>
      </c>
      <c r="AW180" s="105">
        <v>45574</v>
      </c>
      <c r="AX180" s="104">
        <v>1.05</v>
      </c>
      <c r="AY180" s="106">
        <v>45607</v>
      </c>
      <c r="AZ180" s="102" t="s">
        <v>575</v>
      </c>
      <c r="BA180" s="103" t="s">
        <v>2635</v>
      </c>
      <c r="BB180" s="104">
        <v>0.89</v>
      </c>
      <c r="BC180" s="106">
        <v>45574</v>
      </c>
      <c r="BD180" s="104">
        <v>0.89</v>
      </c>
      <c r="BE180" s="106">
        <v>45607</v>
      </c>
      <c r="BF180" s="102" t="s">
        <v>575</v>
      </c>
      <c r="BG180" s="103" t="s">
        <v>2635</v>
      </c>
      <c r="BH180" s="104">
        <v>0.85</v>
      </c>
      <c r="BI180" s="106">
        <v>45574</v>
      </c>
      <c r="BJ180" s="104">
        <v>0.85</v>
      </c>
      <c r="BK180" s="106">
        <v>45607</v>
      </c>
      <c r="BL180" s="102"/>
      <c r="BM180" s="103" t="s">
        <v>1356</v>
      </c>
      <c r="BN180" s="104"/>
      <c r="BO180" s="106"/>
      <c r="BP180" s="104"/>
      <c r="BQ180" s="106"/>
      <c r="BR180" s="102"/>
      <c r="BS180" s="103" t="s">
        <v>1356</v>
      </c>
      <c r="BT180" s="104"/>
      <c r="BU180" s="106"/>
      <c r="BV180" s="104"/>
      <c r="BW180" s="106"/>
      <c r="BX180" s="121"/>
      <c r="BY180" s="122" t="s">
        <v>1356</v>
      </c>
      <c r="BZ180" s="123"/>
      <c r="CA180" s="124"/>
      <c r="CB180" s="123"/>
      <c r="CC180" s="124"/>
      <c r="CD180" s="121"/>
      <c r="CE180" s="122" t="s">
        <v>1356</v>
      </c>
      <c r="CF180" s="123"/>
      <c r="CG180" s="124"/>
      <c r="CH180" s="123"/>
      <c r="CI180" s="124"/>
      <c r="CJ180" s="121"/>
      <c r="CK180" s="122" t="s">
        <v>1356</v>
      </c>
      <c r="CL180" s="123"/>
      <c r="CM180" s="124"/>
      <c r="CN180" s="123"/>
      <c r="CO180" s="124"/>
      <c r="CP180" s="121"/>
      <c r="CQ180" s="122" t="s">
        <v>1356</v>
      </c>
      <c r="CR180" s="123"/>
      <c r="CS180" s="124"/>
      <c r="CT180" s="123"/>
      <c r="CU180" s="124"/>
      <c r="CV180" s="121"/>
      <c r="CW180" s="122" t="s">
        <v>1356</v>
      </c>
      <c r="CX180" s="123"/>
      <c r="CY180" s="124"/>
      <c r="CZ180" s="123"/>
      <c r="DA180" s="124"/>
      <c r="DB180" s="129" t="s">
        <v>6962</v>
      </c>
      <c r="DC180" s="129" t="s">
        <v>105</v>
      </c>
    </row>
    <row r="181" spans="1:107" s="40" customFormat="1" ht="14.55" customHeight="1" x14ac:dyDescent="0.3">
      <c r="A181" s="25" t="s">
        <v>3500</v>
      </c>
      <c r="B181" s="25" t="s">
        <v>3844</v>
      </c>
      <c r="C181" s="26" t="s">
        <v>3845</v>
      </c>
      <c r="D181" s="25" t="s">
        <v>1762</v>
      </c>
      <c r="E181" s="25" t="s">
        <v>1763</v>
      </c>
      <c r="F181" s="25" t="s">
        <v>327</v>
      </c>
      <c r="G181" s="26" t="s">
        <v>72</v>
      </c>
      <c r="H181" s="27" t="s">
        <v>251</v>
      </c>
      <c r="I181" s="26">
        <v>1701</v>
      </c>
      <c r="J181" s="26">
        <v>170150</v>
      </c>
      <c r="K181" s="28">
        <v>4</v>
      </c>
      <c r="L181" s="25" t="s">
        <v>1764</v>
      </c>
      <c r="M181" s="25" t="s">
        <v>1765</v>
      </c>
      <c r="N181" s="25" t="s">
        <v>1766</v>
      </c>
      <c r="O181" s="25"/>
      <c r="P181" s="25"/>
      <c r="Q181" s="25" t="s">
        <v>1767</v>
      </c>
      <c r="R181" s="25" t="s">
        <v>113</v>
      </c>
      <c r="S181" s="25"/>
      <c r="T181" s="25"/>
      <c r="U181" s="25" t="s">
        <v>1321</v>
      </c>
      <c r="V181" s="25"/>
      <c r="W181" s="25" t="s">
        <v>1768</v>
      </c>
      <c r="X181" s="25" t="s">
        <v>1769</v>
      </c>
      <c r="Y181" s="25" t="s">
        <v>1770</v>
      </c>
      <c r="Z181" s="25">
        <v>-78.461798000000002</v>
      </c>
      <c r="AA181" s="25">
        <v>-0.106973</v>
      </c>
      <c r="AB181" s="25">
        <v>170150040</v>
      </c>
      <c r="AC181" s="25">
        <v>170150040009</v>
      </c>
      <c r="AD181" s="25">
        <v>170150040009002</v>
      </c>
      <c r="AE181" s="28">
        <v>3</v>
      </c>
      <c r="AF181" s="28" t="s">
        <v>377</v>
      </c>
      <c r="AG181" s="29" t="s">
        <v>65</v>
      </c>
      <c r="AH181" s="30"/>
      <c r="AI181" s="31" t="s">
        <v>66</v>
      </c>
      <c r="AJ181" s="32" t="s">
        <v>6938</v>
      </c>
      <c r="AK181" s="33" t="s">
        <v>67</v>
      </c>
      <c r="AL181" s="34">
        <v>45573</v>
      </c>
      <c r="AM181" s="36" t="s">
        <v>66</v>
      </c>
      <c r="AN181" s="36"/>
      <c r="AO181" s="36"/>
      <c r="AP181" s="36"/>
      <c r="AQ181" s="37">
        <f t="shared" si="9"/>
        <v>0</v>
      </c>
      <c r="AR181" s="38">
        <f t="shared" si="10"/>
        <v>0</v>
      </c>
      <c r="AS181" s="39">
        <f t="shared" si="11"/>
        <v>0</v>
      </c>
      <c r="AT181" s="91"/>
      <c r="AU181" s="92" t="s">
        <v>1356</v>
      </c>
      <c r="AV181" s="93"/>
      <c r="AW181" s="94"/>
      <c r="AX181" s="93"/>
      <c r="AY181" s="95"/>
      <c r="AZ181" s="91"/>
      <c r="BA181" s="92" t="s">
        <v>1356</v>
      </c>
      <c r="BB181" s="93"/>
      <c r="BC181" s="95"/>
      <c r="BD181" s="93"/>
      <c r="BE181" s="95"/>
      <c r="BF181" s="91"/>
      <c r="BG181" s="92" t="s">
        <v>1356</v>
      </c>
      <c r="BH181" s="93"/>
      <c r="BI181" s="95"/>
      <c r="BJ181" s="93"/>
      <c r="BK181" s="95"/>
      <c r="BL181" s="91"/>
      <c r="BM181" s="92" t="s">
        <v>1356</v>
      </c>
      <c r="BN181" s="93"/>
      <c r="BO181" s="95"/>
      <c r="BP181" s="93"/>
      <c r="BQ181" s="95"/>
      <c r="BR181" s="91"/>
      <c r="BS181" s="92" t="s">
        <v>1356</v>
      </c>
      <c r="BT181" s="93"/>
      <c r="BU181" s="95"/>
      <c r="BV181" s="93"/>
      <c r="BW181" s="95"/>
      <c r="BX181" s="113"/>
      <c r="BY181" s="114" t="s">
        <v>1356</v>
      </c>
      <c r="BZ181" s="115"/>
      <c r="CA181" s="116"/>
      <c r="CB181" s="115"/>
      <c r="CC181" s="116"/>
      <c r="CD181" s="113"/>
      <c r="CE181" s="114" t="s">
        <v>1356</v>
      </c>
      <c r="CF181" s="115"/>
      <c r="CG181" s="116"/>
      <c r="CH181" s="115"/>
      <c r="CI181" s="116"/>
      <c r="CJ181" s="113"/>
      <c r="CK181" s="114" t="s">
        <v>1356</v>
      </c>
      <c r="CL181" s="115"/>
      <c r="CM181" s="116"/>
      <c r="CN181" s="115"/>
      <c r="CO181" s="116"/>
      <c r="CP181" s="113"/>
      <c r="CQ181" s="114" t="s">
        <v>1356</v>
      </c>
      <c r="CR181" s="115"/>
      <c r="CS181" s="116"/>
      <c r="CT181" s="115"/>
      <c r="CU181" s="116"/>
      <c r="CV181" s="113"/>
      <c r="CW181" s="114" t="s">
        <v>1356</v>
      </c>
      <c r="CX181" s="115"/>
      <c r="CY181" s="116"/>
      <c r="CZ181" s="115"/>
      <c r="DA181" s="116"/>
      <c r="DB181" s="128" t="s">
        <v>7085</v>
      </c>
      <c r="DC181" s="128" t="s">
        <v>78</v>
      </c>
    </row>
    <row r="182" spans="1:107" s="40" customFormat="1" ht="14.55" customHeight="1" x14ac:dyDescent="0.3">
      <c r="A182" s="25" t="s">
        <v>3500</v>
      </c>
      <c r="B182" s="25" t="s">
        <v>3846</v>
      </c>
      <c r="C182" s="25" t="s">
        <v>3847</v>
      </c>
      <c r="D182" s="25" t="s">
        <v>1771</v>
      </c>
      <c r="E182" s="25" t="s">
        <v>1771</v>
      </c>
      <c r="F182" s="25" t="s">
        <v>567</v>
      </c>
      <c r="G182" s="26" t="s">
        <v>72</v>
      </c>
      <c r="H182" s="27" t="s">
        <v>251</v>
      </c>
      <c r="I182" s="26">
        <v>1701</v>
      </c>
      <c r="J182" s="26">
        <v>170150</v>
      </c>
      <c r="K182" s="28">
        <v>4</v>
      </c>
      <c r="L182" s="25" t="s">
        <v>1772</v>
      </c>
      <c r="M182" s="25" t="s">
        <v>1773</v>
      </c>
      <c r="N182" s="25" t="s">
        <v>1774</v>
      </c>
      <c r="O182" s="25"/>
      <c r="P182" s="25"/>
      <c r="Q182" s="25"/>
      <c r="R182" s="25" t="s">
        <v>60</v>
      </c>
      <c r="S182" s="25"/>
      <c r="T182" s="25"/>
      <c r="U182" s="25" t="s">
        <v>1775</v>
      </c>
      <c r="V182" s="25"/>
      <c r="W182" s="25" t="s">
        <v>1776</v>
      </c>
      <c r="X182" s="25" t="s">
        <v>1777</v>
      </c>
      <c r="Y182" s="25" t="s">
        <v>1778</v>
      </c>
      <c r="Z182" s="25"/>
      <c r="AA182" s="25"/>
      <c r="AB182" s="25">
        <v>170150140</v>
      </c>
      <c r="AC182" s="25">
        <v>170150140002</v>
      </c>
      <c r="AD182" s="25">
        <v>170150140002001</v>
      </c>
      <c r="AE182" s="28">
        <v>4</v>
      </c>
      <c r="AF182" s="28" t="s">
        <v>499</v>
      </c>
      <c r="AG182" s="29" t="s">
        <v>65</v>
      </c>
      <c r="AH182" s="30"/>
      <c r="AI182" s="31" t="s">
        <v>66</v>
      </c>
      <c r="AJ182" s="32" t="s">
        <v>6938</v>
      </c>
      <c r="AK182" s="33" t="s">
        <v>67</v>
      </c>
      <c r="AL182" s="34">
        <v>45575</v>
      </c>
      <c r="AM182" s="36" t="s">
        <v>66</v>
      </c>
      <c r="AN182" s="36"/>
      <c r="AO182" s="36"/>
      <c r="AP182" s="36"/>
      <c r="AQ182" s="37">
        <f t="shared" si="9"/>
        <v>0</v>
      </c>
      <c r="AR182" s="38">
        <f t="shared" si="10"/>
        <v>0</v>
      </c>
      <c r="AS182" s="39">
        <f t="shared" si="11"/>
        <v>0</v>
      </c>
      <c r="AT182" s="91"/>
      <c r="AU182" s="92"/>
      <c r="AV182" s="93"/>
      <c r="AW182" s="94"/>
      <c r="AX182" s="93"/>
      <c r="AY182" s="95"/>
      <c r="AZ182" s="91"/>
      <c r="BA182" s="92" t="s">
        <v>1356</v>
      </c>
      <c r="BB182" s="93"/>
      <c r="BC182" s="95"/>
      <c r="BD182" s="93"/>
      <c r="BE182" s="95"/>
      <c r="BF182" s="91"/>
      <c r="BG182" s="92" t="s">
        <v>1356</v>
      </c>
      <c r="BH182" s="93"/>
      <c r="BI182" s="95"/>
      <c r="BJ182" s="93"/>
      <c r="BK182" s="95"/>
      <c r="BL182" s="91"/>
      <c r="BM182" s="92" t="s">
        <v>1356</v>
      </c>
      <c r="BN182" s="93"/>
      <c r="BO182" s="95"/>
      <c r="BP182" s="93"/>
      <c r="BQ182" s="95"/>
      <c r="BR182" s="91"/>
      <c r="BS182" s="92" t="s">
        <v>1356</v>
      </c>
      <c r="BT182" s="93"/>
      <c r="BU182" s="95"/>
      <c r="BV182" s="93"/>
      <c r="BW182" s="95"/>
      <c r="BX182" s="113"/>
      <c r="BY182" s="114" t="s">
        <v>1356</v>
      </c>
      <c r="BZ182" s="115"/>
      <c r="CA182" s="116"/>
      <c r="CB182" s="115"/>
      <c r="CC182" s="116"/>
      <c r="CD182" s="113"/>
      <c r="CE182" s="114" t="s">
        <v>1356</v>
      </c>
      <c r="CF182" s="115"/>
      <c r="CG182" s="116"/>
      <c r="CH182" s="115"/>
      <c r="CI182" s="116"/>
      <c r="CJ182" s="113"/>
      <c r="CK182" s="114" t="s">
        <v>1356</v>
      </c>
      <c r="CL182" s="115"/>
      <c r="CM182" s="116"/>
      <c r="CN182" s="115"/>
      <c r="CO182" s="116"/>
      <c r="CP182" s="113"/>
      <c r="CQ182" s="114" t="s">
        <v>1356</v>
      </c>
      <c r="CR182" s="115"/>
      <c r="CS182" s="116"/>
      <c r="CT182" s="115"/>
      <c r="CU182" s="116"/>
      <c r="CV182" s="113"/>
      <c r="CW182" s="114" t="s">
        <v>1356</v>
      </c>
      <c r="CX182" s="115"/>
      <c r="CY182" s="116"/>
      <c r="CZ182" s="115"/>
      <c r="DA182" s="116"/>
      <c r="DB182" s="128" t="s">
        <v>7085</v>
      </c>
      <c r="DC182" s="128" t="s">
        <v>105</v>
      </c>
    </row>
    <row r="183" spans="1:107" s="40" customFormat="1" ht="14.55" customHeight="1" x14ac:dyDescent="0.3">
      <c r="A183" s="25" t="s">
        <v>3500</v>
      </c>
      <c r="B183" s="25" t="s">
        <v>3848</v>
      </c>
      <c r="C183" s="25" t="s">
        <v>3849</v>
      </c>
      <c r="D183" s="25" t="s">
        <v>1781</v>
      </c>
      <c r="E183" s="25" t="s">
        <v>1782</v>
      </c>
      <c r="F183" s="25" t="s">
        <v>651</v>
      </c>
      <c r="G183" s="26" t="s">
        <v>72</v>
      </c>
      <c r="H183" s="27" t="s">
        <v>251</v>
      </c>
      <c r="I183" s="26">
        <v>1701</v>
      </c>
      <c r="J183" s="26">
        <v>170150</v>
      </c>
      <c r="K183" s="28">
        <v>4</v>
      </c>
      <c r="L183" s="25" t="s">
        <v>1783</v>
      </c>
      <c r="M183" s="25" t="s">
        <v>1784</v>
      </c>
      <c r="N183" s="25" t="s">
        <v>1785</v>
      </c>
      <c r="O183" s="25"/>
      <c r="P183" s="25"/>
      <c r="Q183" s="25" t="s">
        <v>1786</v>
      </c>
      <c r="R183" s="25" t="s">
        <v>60</v>
      </c>
      <c r="S183" s="25"/>
      <c r="T183" s="25"/>
      <c r="U183" s="25"/>
      <c r="V183" s="25"/>
      <c r="W183" s="25" t="s">
        <v>1787</v>
      </c>
      <c r="X183" s="25" t="s">
        <v>1788</v>
      </c>
      <c r="Y183" s="25" t="s">
        <v>1789</v>
      </c>
      <c r="Z183" s="25">
        <v>-78.473543000000006</v>
      </c>
      <c r="AA183" s="25">
        <v>-9.3377000000000002E-2</v>
      </c>
      <c r="AB183" s="25">
        <v>170150044</v>
      </c>
      <c r="AC183" s="25">
        <v>170150044001</v>
      </c>
      <c r="AD183" s="25">
        <v>170150044001003</v>
      </c>
      <c r="AE183" s="28">
        <v>4</v>
      </c>
      <c r="AF183" s="28" t="s">
        <v>499</v>
      </c>
      <c r="AG183" s="29" t="s">
        <v>65</v>
      </c>
      <c r="AH183" s="30"/>
      <c r="AI183" s="31" t="s">
        <v>66</v>
      </c>
      <c r="AJ183" s="32" t="s">
        <v>6938</v>
      </c>
      <c r="AK183" s="33" t="s">
        <v>67</v>
      </c>
      <c r="AL183" s="34">
        <v>45575</v>
      </c>
      <c r="AM183" s="36" t="s">
        <v>66</v>
      </c>
      <c r="AN183" s="36"/>
      <c r="AO183" s="36"/>
      <c r="AP183" s="36"/>
      <c r="AQ183" s="37">
        <f t="shared" si="9"/>
        <v>0</v>
      </c>
      <c r="AR183" s="38">
        <f t="shared" si="10"/>
        <v>0</v>
      </c>
      <c r="AS183" s="39">
        <f t="shared" si="11"/>
        <v>0</v>
      </c>
      <c r="AT183" s="91"/>
      <c r="AU183" s="92" t="s">
        <v>1356</v>
      </c>
      <c r="AV183" s="93"/>
      <c r="AW183" s="94"/>
      <c r="AX183" s="93"/>
      <c r="AY183" s="95"/>
      <c r="AZ183" s="91"/>
      <c r="BA183" s="92" t="s">
        <v>1356</v>
      </c>
      <c r="BB183" s="93"/>
      <c r="BC183" s="95"/>
      <c r="BD183" s="93"/>
      <c r="BE183" s="95"/>
      <c r="BF183" s="91"/>
      <c r="BG183" s="92" t="s">
        <v>1356</v>
      </c>
      <c r="BH183" s="93"/>
      <c r="BI183" s="95"/>
      <c r="BJ183" s="93"/>
      <c r="BK183" s="95"/>
      <c r="BL183" s="91"/>
      <c r="BM183" s="92" t="s">
        <v>1356</v>
      </c>
      <c r="BN183" s="93"/>
      <c r="BO183" s="95"/>
      <c r="BP183" s="93"/>
      <c r="BQ183" s="95"/>
      <c r="BR183" s="91"/>
      <c r="BS183" s="92" t="s">
        <v>1356</v>
      </c>
      <c r="BT183" s="93"/>
      <c r="BU183" s="95"/>
      <c r="BV183" s="93"/>
      <c r="BW183" s="95"/>
      <c r="BX183" s="113"/>
      <c r="BY183" s="114"/>
      <c r="BZ183" s="115"/>
      <c r="CA183" s="116"/>
      <c r="CB183" s="115"/>
      <c r="CC183" s="116"/>
      <c r="CD183" s="113"/>
      <c r="CE183" s="114" t="s">
        <v>1356</v>
      </c>
      <c r="CF183" s="115"/>
      <c r="CG183" s="116"/>
      <c r="CH183" s="115"/>
      <c r="CI183" s="116"/>
      <c r="CJ183" s="113"/>
      <c r="CK183" s="114" t="s">
        <v>1356</v>
      </c>
      <c r="CL183" s="115"/>
      <c r="CM183" s="116"/>
      <c r="CN183" s="115"/>
      <c r="CO183" s="116"/>
      <c r="CP183" s="113"/>
      <c r="CQ183" s="114" t="s">
        <v>1356</v>
      </c>
      <c r="CR183" s="115"/>
      <c r="CS183" s="116"/>
      <c r="CT183" s="115"/>
      <c r="CU183" s="116"/>
      <c r="CV183" s="113"/>
      <c r="CW183" s="114" t="s">
        <v>1356</v>
      </c>
      <c r="CX183" s="115"/>
      <c r="CY183" s="116"/>
      <c r="CZ183" s="115"/>
      <c r="DA183" s="116"/>
      <c r="DB183" s="128" t="s">
        <v>7085</v>
      </c>
      <c r="DC183" s="128" t="s">
        <v>105</v>
      </c>
    </row>
    <row r="184" spans="1:107" s="40" customFormat="1" ht="14.55" customHeight="1" x14ac:dyDescent="0.3">
      <c r="A184" s="66" t="s">
        <v>3500</v>
      </c>
      <c r="B184" s="66" t="s">
        <v>3850</v>
      </c>
      <c r="C184" s="66" t="s">
        <v>3851</v>
      </c>
      <c r="D184" s="66" t="s">
        <v>1790</v>
      </c>
      <c r="E184" s="66" t="s">
        <v>1791</v>
      </c>
      <c r="F184" s="66" t="s">
        <v>265</v>
      </c>
      <c r="G184" s="68" t="s">
        <v>72</v>
      </c>
      <c r="H184" s="43" t="s">
        <v>251</v>
      </c>
      <c r="I184" s="68">
        <v>1701</v>
      </c>
      <c r="J184" s="68">
        <v>170150</v>
      </c>
      <c r="K184" s="69">
        <v>4</v>
      </c>
      <c r="L184" s="66" t="s">
        <v>1792</v>
      </c>
      <c r="M184" s="66" t="s">
        <v>1793</v>
      </c>
      <c r="N184" s="66" t="s">
        <v>1794</v>
      </c>
      <c r="O184" s="66"/>
      <c r="P184" s="66"/>
      <c r="Q184" s="66"/>
      <c r="R184" s="66"/>
      <c r="S184" s="66"/>
      <c r="T184" s="66"/>
      <c r="U184" s="66"/>
      <c r="V184" s="66"/>
      <c r="W184" s="66" t="s">
        <v>1795</v>
      </c>
      <c r="X184" s="66" t="s">
        <v>1796</v>
      </c>
      <c r="Y184" s="66" t="s">
        <v>1797</v>
      </c>
      <c r="Z184" s="66">
        <v>-78.475002000000003</v>
      </c>
      <c r="AA184" s="66">
        <v>-9.8605999999999999E-2</v>
      </c>
      <c r="AB184" s="66">
        <v>170150117</v>
      </c>
      <c r="AC184" s="66">
        <v>170150117001</v>
      </c>
      <c r="AD184" s="66">
        <v>170150117001002</v>
      </c>
      <c r="AE184" s="69">
        <v>4</v>
      </c>
      <c r="AF184" s="69" t="s">
        <v>499</v>
      </c>
      <c r="AG184" s="29" t="s">
        <v>65</v>
      </c>
      <c r="AH184" s="70"/>
      <c r="AI184" s="71" t="s">
        <v>66</v>
      </c>
      <c r="AJ184" s="49" t="s">
        <v>6938</v>
      </c>
      <c r="AK184" s="50" t="s">
        <v>67</v>
      </c>
      <c r="AL184" s="58">
        <v>45574</v>
      </c>
      <c r="AM184" s="52" t="s">
        <v>66</v>
      </c>
      <c r="AN184" s="52"/>
      <c r="AO184" s="52"/>
      <c r="AP184" s="52"/>
      <c r="AQ184" s="53">
        <f t="shared" si="9"/>
        <v>0</v>
      </c>
      <c r="AR184" s="54">
        <f t="shared" si="10"/>
        <v>0</v>
      </c>
      <c r="AS184" s="55">
        <f t="shared" si="11"/>
        <v>0</v>
      </c>
      <c r="AT184" s="102"/>
      <c r="AU184" s="103"/>
      <c r="AV184" s="104"/>
      <c r="AW184" s="105"/>
      <c r="AX184" s="104"/>
      <c r="AY184" s="106"/>
      <c r="AZ184" s="102"/>
      <c r="BA184" s="103" t="s">
        <v>1356</v>
      </c>
      <c r="BB184" s="104"/>
      <c r="BC184" s="106"/>
      <c r="BD184" s="104"/>
      <c r="BE184" s="106"/>
      <c r="BF184" s="102"/>
      <c r="BG184" s="103" t="s">
        <v>1356</v>
      </c>
      <c r="BH184" s="104"/>
      <c r="BI184" s="106"/>
      <c r="BJ184" s="104"/>
      <c r="BK184" s="106"/>
      <c r="BL184" s="102"/>
      <c r="BM184" s="103" t="s">
        <v>1356</v>
      </c>
      <c r="BN184" s="104"/>
      <c r="BO184" s="106"/>
      <c r="BP184" s="104"/>
      <c r="BQ184" s="106"/>
      <c r="BR184" s="102"/>
      <c r="BS184" s="103" t="s">
        <v>1356</v>
      </c>
      <c r="BT184" s="104"/>
      <c r="BU184" s="106"/>
      <c r="BV184" s="104"/>
      <c r="BW184" s="106"/>
      <c r="BX184" s="121"/>
      <c r="BY184" s="122" t="s">
        <v>1356</v>
      </c>
      <c r="BZ184" s="123"/>
      <c r="CA184" s="124"/>
      <c r="CB184" s="123"/>
      <c r="CC184" s="124"/>
      <c r="CD184" s="121"/>
      <c r="CE184" s="122" t="s">
        <v>1356</v>
      </c>
      <c r="CF184" s="123"/>
      <c r="CG184" s="124"/>
      <c r="CH184" s="123"/>
      <c r="CI184" s="124"/>
      <c r="CJ184" s="121"/>
      <c r="CK184" s="122" t="s">
        <v>1356</v>
      </c>
      <c r="CL184" s="123"/>
      <c r="CM184" s="124"/>
      <c r="CN184" s="123"/>
      <c r="CO184" s="124"/>
      <c r="CP184" s="121"/>
      <c r="CQ184" s="122" t="s">
        <v>1356</v>
      </c>
      <c r="CR184" s="123"/>
      <c r="CS184" s="124"/>
      <c r="CT184" s="123"/>
      <c r="CU184" s="124"/>
      <c r="CV184" s="121"/>
      <c r="CW184" s="122" t="s">
        <v>1356</v>
      </c>
      <c r="CX184" s="123"/>
      <c r="CY184" s="124"/>
      <c r="CZ184" s="123"/>
      <c r="DA184" s="124"/>
      <c r="DB184" s="128" t="s">
        <v>7085</v>
      </c>
      <c r="DC184" s="129" t="s">
        <v>105</v>
      </c>
    </row>
    <row r="185" spans="1:107" s="40" customFormat="1" ht="14.55" customHeight="1" x14ac:dyDescent="0.3">
      <c r="A185" s="25" t="s">
        <v>3500</v>
      </c>
      <c r="B185" s="25" t="s">
        <v>3852</v>
      </c>
      <c r="C185" s="25" t="s">
        <v>3853</v>
      </c>
      <c r="D185" s="25" t="s">
        <v>1799</v>
      </c>
      <c r="E185" s="25" t="s">
        <v>1800</v>
      </c>
      <c r="F185" s="25" t="s">
        <v>825</v>
      </c>
      <c r="G185" s="26" t="s">
        <v>72</v>
      </c>
      <c r="H185" s="27" t="s">
        <v>251</v>
      </c>
      <c r="I185" s="26">
        <v>1701</v>
      </c>
      <c r="J185" s="26">
        <v>170155</v>
      </c>
      <c r="K185" s="28">
        <v>4</v>
      </c>
      <c r="L185" s="25" t="s">
        <v>1017</v>
      </c>
      <c r="M185" s="25" t="s">
        <v>1801</v>
      </c>
      <c r="N185" s="25" t="s">
        <v>1802</v>
      </c>
      <c r="O185" s="25" t="s">
        <v>1803</v>
      </c>
      <c r="P185" s="25"/>
      <c r="Q185" s="25"/>
      <c r="R185" s="25" t="s">
        <v>60</v>
      </c>
      <c r="S185" s="25"/>
      <c r="T185" s="25"/>
      <c r="U185" s="25"/>
      <c r="V185" s="25"/>
      <c r="W185" s="25" t="s">
        <v>1804</v>
      </c>
      <c r="X185" s="25" t="s">
        <v>1805</v>
      </c>
      <c r="Y185" s="25" t="s">
        <v>1806</v>
      </c>
      <c r="Z185" s="25"/>
      <c r="AA185" s="25"/>
      <c r="AB185" s="25">
        <v>170155043</v>
      </c>
      <c r="AC185" s="25">
        <v>170155043004</v>
      </c>
      <c r="AD185" s="25">
        <v>170155043004001</v>
      </c>
      <c r="AE185" s="28">
        <v>4</v>
      </c>
      <c r="AF185" s="28" t="s">
        <v>499</v>
      </c>
      <c r="AG185" s="29" t="s">
        <v>65</v>
      </c>
      <c r="AH185" s="30"/>
      <c r="AI185" s="31" t="s">
        <v>66</v>
      </c>
      <c r="AJ185" s="32" t="s">
        <v>6938</v>
      </c>
      <c r="AK185" s="33" t="s">
        <v>67</v>
      </c>
      <c r="AL185" s="34">
        <v>45575</v>
      </c>
      <c r="AM185" s="36" t="s">
        <v>66</v>
      </c>
      <c r="AN185" s="36"/>
      <c r="AO185" s="36"/>
      <c r="AP185" s="36"/>
      <c r="AQ185" s="37">
        <f t="shared" si="9"/>
        <v>0</v>
      </c>
      <c r="AR185" s="38">
        <f t="shared" si="10"/>
        <v>0</v>
      </c>
      <c r="AS185" s="39">
        <f t="shared" si="11"/>
        <v>0</v>
      </c>
      <c r="AT185" s="91"/>
      <c r="AU185" s="92" t="s">
        <v>1356</v>
      </c>
      <c r="AV185" s="93"/>
      <c r="AW185" s="94"/>
      <c r="AX185" s="93"/>
      <c r="AY185" s="95"/>
      <c r="AZ185" s="91"/>
      <c r="BA185" s="92" t="s">
        <v>1356</v>
      </c>
      <c r="BB185" s="93"/>
      <c r="BC185" s="95"/>
      <c r="BD185" s="93"/>
      <c r="BE185" s="95"/>
      <c r="BF185" s="91"/>
      <c r="BG185" s="92" t="s">
        <v>1356</v>
      </c>
      <c r="BH185" s="93"/>
      <c r="BI185" s="95"/>
      <c r="BJ185" s="93"/>
      <c r="BK185" s="95"/>
      <c r="BL185" s="91"/>
      <c r="BM185" s="92" t="s">
        <v>1356</v>
      </c>
      <c r="BN185" s="93"/>
      <c r="BO185" s="95"/>
      <c r="BP185" s="93"/>
      <c r="BQ185" s="95"/>
      <c r="BR185" s="91"/>
      <c r="BS185" s="92" t="s">
        <v>1356</v>
      </c>
      <c r="BT185" s="93"/>
      <c r="BU185" s="95"/>
      <c r="BV185" s="93"/>
      <c r="BW185" s="95"/>
      <c r="BX185" s="113"/>
      <c r="BY185" s="114" t="s">
        <v>1356</v>
      </c>
      <c r="BZ185" s="115"/>
      <c r="CA185" s="116"/>
      <c r="CB185" s="115"/>
      <c r="CC185" s="116"/>
      <c r="CD185" s="113"/>
      <c r="CE185" s="114" t="s">
        <v>1356</v>
      </c>
      <c r="CF185" s="115"/>
      <c r="CG185" s="116"/>
      <c r="CH185" s="115"/>
      <c r="CI185" s="116"/>
      <c r="CJ185" s="113"/>
      <c r="CK185" s="114" t="s">
        <v>1356</v>
      </c>
      <c r="CL185" s="115"/>
      <c r="CM185" s="116"/>
      <c r="CN185" s="115"/>
      <c r="CO185" s="116"/>
      <c r="CP185" s="113"/>
      <c r="CQ185" s="114" t="s">
        <v>1356</v>
      </c>
      <c r="CR185" s="115"/>
      <c r="CS185" s="116"/>
      <c r="CT185" s="115"/>
      <c r="CU185" s="116"/>
      <c r="CV185" s="113"/>
      <c r="CW185" s="114" t="s">
        <v>1356</v>
      </c>
      <c r="CX185" s="115"/>
      <c r="CY185" s="116"/>
      <c r="CZ185" s="115"/>
      <c r="DA185" s="116"/>
      <c r="DB185" s="128" t="s">
        <v>7085</v>
      </c>
      <c r="DC185" s="131" t="s">
        <v>6751</v>
      </c>
    </row>
    <row r="186" spans="1:107" s="40" customFormat="1" ht="14.55" customHeight="1" x14ac:dyDescent="0.3">
      <c r="A186" s="25" t="s">
        <v>3500</v>
      </c>
      <c r="B186" s="25" t="s">
        <v>3854</v>
      </c>
      <c r="C186" s="25" t="s">
        <v>3855</v>
      </c>
      <c r="D186" s="25" t="s">
        <v>1807</v>
      </c>
      <c r="E186" s="25" t="s">
        <v>1808</v>
      </c>
      <c r="F186" s="25" t="s">
        <v>825</v>
      </c>
      <c r="G186" s="26" t="s">
        <v>72</v>
      </c>
      <c r="H186" s="27" t="s">
        <v>251</v>
      </c>
      <c r="I186" s="26">
        <v>1701</v>
      </c>
      <c r="J186" s="26">
        <v>170150</v>
      </c>
      <c r="K186" s="28">
        <v>4</v>
      </c>
      <c r="L186" s="25" t="s">
        <v>1809</v>
      </c>
      <c r="M186" s="25" t="s">
        <v>1810</v>
      </c>
      <c r="N186" s="25" t="s">
        <v>294</v>
      </c>
      <c r="O186" s="25"/>
      <c r="P186" s="25"/>
      <c r="Q186" s="25"/>
      <c r="R186" s="25" t="s">
        <v>113</v>
      </c>
      <c r="S186" s="25"/>
      <c r="T186" s="25"/>
      <c r="U186" s="25" t="s">
        <v>392</v>
      </c>
      <c r="V186" s="25"/>
      <c r="W186" s="25" t="s">
        <v>1811</v>
      </c>
      <c r="X186" s="25" t="s">
        <v>1812</v>
      </c>
      <c r="Y186" s="25" t="s">
        <v>1813</v>
      </c>
      <c r="Z186" s="25">
        <v>-78.473367691040039</v>
      </c>
      <c r="AA186" s="25">
        <v>-9.6977902838065649E-2</v>
      </c>
      <c r="AB186" s="25">
        <v>170150043</v>
      </c>
      <c r="AC186" s="25">
        <v>170150043004</v>
      </c>
      <c r="AD186" s="25">
        <v>170150043004002</v>
      </c>
      <c r="AE186" s="28">
        <v>4</v>
      </c>
      <c r="AF186" s="28" t="s">
        <v>499</v>
      </c>
      <c r="AG186" s="29" t="s">
        <v>65</v>
      </c>
      <c r="AH186" s="30"/>
      <c r="AI186" s="31" t="s">
        <v>66</v>
      </c>
      <c r="AJ186" s="32" t="s">
        <v>6938</v>
      </c>
      <c r="AK186" s="33" t="s">
        <v>67</v>
      </c>
      <c r="AL186" s="34">
        <v>45584</v>
      </c>
      <c r="AM186" s="36" t="s">
        <v>66</v>
      </c>
      <c r="AN186" s="36"/>
      <c r="AO186" s="36"/>
      <c r="AP186" s="36"/>
      <c r="AQ186" s="37">
        <f t="shared" si="9"/>
        <v>0</v>
      </c>
      <c r="AR186" s="38">
        <f t="shared" si="10"/>
        <v>0</v>
      </c>
      <c r="AS186" s="39">
        <f t="shared" si="11"/>
        <v>0</v>
      </c>
      <c r="AT186" s="91"/>
      <c r="AU186" s="92" t="s">
        <v>1356</v>
      </c>
      <c r="AV186" s="93"/>
      <c r="AW186" s="94"/>
      <c r="AX186" s="93"/>
      <c r="AY186" s="95"/>
      <c r="AZ186" s="91"/>
      <c r="BA186" s="92" t="s">
        <v>1356</v>
      </c>
      <c r="BB186" s="93"/>
      <c r="BC186" s="95"/>
      <c r="BD186" s="93"/>
      <c r="BE186" s="95"/>
      <c r="BF186" s="91"/>
      <c r="BG186" s="92" t="s">
        <v>1356</v>
      </c>
      <c r="BH186" s="93"/>
      <c r="BI186" s="95"/>
      <c r="BJ186" s="93"/>
      <c r="BK186" s="95"/>
      <c r="BL186" s="91"/>
      <c r="BM186" s="92" t="s">
        <v>1356</v>
      </c>
      <c r="BN186" s="93"/>
      <c r="BO186" s="95"/>
      <c r="BP186" s="93"/>
      <c r="BQ186" s="95"/>
      <c r="BR186" s="91"/>
      <c r="BS186" s="92" t="s">
        <v>1356</v>
      </c>
      <c r="BT186" s="93"/>
      <c r="BU186" s="95"/>
      <c r="BV186" s="93"/>
      <c r="BW186" s="95"/>
      <c r="BX186" s="113"/>
      <c r="BY186" s="114" t="s">
        <v>1356</v>
      </c>
      <c r="BZ186" s="115"/>
      <c r="CA186" s="116"/>
      <c r="CB186" s="115"/>
      <c r="CC186" s="116"/>
      <c r="CD186" s="113"/>
      <c r="CE186" s="114" t="s">
        <v>1356</v>
      </c>
      <c r="CF186" s="115"/>
      <c r="CG186" s="116"/>
      <c r="CH186" s="115"/>
      <c r="CI186" s="116"/>
      <c r="CJ186" s="113"/>
      <c r="CK186" s="114" t="s">
        <v>1356</v>
      </c>
      <c r="CL186" s="115"/>
      <c r="CM186" s="116"/>
      <c r="CN186" s="115"/>
      <c r="CO186" s="116"/>
      <c r="CP186" s="113"/>
      <c r="CQ186" s="114" t="s">
        <v>1356</v>
      </c>
      <c r="CR186" s="115"/>
      <c r="CS186" s="116"/>
      <c r="CT186" s="115"/>
      <c r="CU186" s="116"/>
      <c r="CV186" s="113"/>
      <c r="CW186" s="114" t="s">
        <v>1356</v>
      </c>
      <c r="CX186" s="115"/>
      <c r="CY186" s="116"/>
      <c r="CZ186" s="115"/>
      <c r="DA186" s="116"/>
      <c r="DB186" s="128" t="s">
        <v>7085</v>
      </c>
      <c r="DC186" s="128" t="s">
        <v>78</v>
      </c>
    </row>
    <row r="187" spans="1:107" s="40" customFormat="1" ht="14.55" customHeight="1" x14ac:dyDescent="0.3">
      <c r="A187" s="25" t="s">
        <v>3500</v>
      </c>
      <c r="B187" s="25" t="s">
        <v>3856</v>
      </c>
      <c r="C187" s="25" t="s">
        <v>3857</v>
      </c>
      <c r="D187" s="25" t="s">
        <v>1814</v>
      </c>
      <c r="E187" s="25" t="s">
        <v>1815</v>
      </c>
      <c r="F187" s="25" t="s">
        <v>319</v>
      </c>
      <c r="G187" s="26" t="s">
        <v>72</v>
      </c>
      <c r="H187" s="27" t="s">
        <v>251</v>
      </c>
      <c r="I187" s="26">
        <v>1701</v>
      </c>
      <c r="J187" s="26">
        <v>170150</v>
      </c>
      <c r="K187" s="28">
        <v>4</v>
      </c>
      <c r="L187" s="25" t="s">
        <v>1816</v>
      </c>
      <c r="M187" s="25" t="s">
        <v>1817</v>
      </c>
      <c r="N187" s="25" t="s">
        <v>221</v>
      </c>
      <c r="O187" s="25"/>
      <c r="P187" s="25"/>
      <c r="Q187" s="25"/>
      <c r="R187" s="25" t="s">
        <v>113</v>
      </c>
      <c r="S187" s="25" t="s">
        <v>60</v>
      </c>
      <c r="T187" s="25"/>
      <c r="U187" s="25" t="s">
        <v>237</v>
      </c>
      <c r="V187" s="25"/>
      <c r="W187" s="25" t="s">
        <v>1818</v>
      </c>
      <c r="X187" s="25" t="s">
        <v>1819</v>
      </c>
      <c r="Y187" s="25" t="s">
        <v>1820</v>
      </c>
      <c r="Z187" s="25">
        <v>-78.473989963531494</v>
      </c>
      <c r="AA187" s="25">
        <v>-0.1120948076414469</v>
      </c>
      <c r="AB187" s="25">
        <v>170150073</v>
      </c>
      <c r="AC187" s="25">
        <v>170150073009</v>
      </c>
      <c r="AD187" s="25">
        <v>170150073009001</v>
      </c>
      <c r="AE187" s="28">
        <v>4</v>
      </c>
      <c r="AF187" s="28" t="s">
        <v>499</v>
      </c>
      <c r="AG187" s="29" t="s">
        <v>65</v>
      </c>
      <c r="AH187" s="30"/>
      <c r="AI187" s="31" t="s">
        <v>66</v>
      </c>
      <c r="AJ187" s="32" t="s">
        <v>6938</v>
      </c>
      <c r="AK187" s="33" t="s">
        <v>67</v>
      </c>
      <c r="AL187" s="34">
        <v>45588</v>
      </c>
      <c r="AM187" s="36" t="s">
        <v>66</v>
      </c>
      <c r="AN187" s="36"/>
      <c r="AO187" s="36"/>
      <c r="AP187" s="36"/>
      <c r="AQ187" s="37">
        <f t="shared" si="9"/>
        <v>0</v>
      </c>
      <c r="AR187" s="38">
        <f t="shared" si="10"/>
        <v>0</v>
      </c>
      <c r="AS187" s="39">
        <f t="shared" si="11"/>
        <v>0</v>
      </c>
      <c r="AT187" s="91"/>
      <c r="AU187" s="92" t="s">
        <v>1356</v>
      </c>
      <c r="AV187" s="93"/>
      <c r="AW187" s="94"/>
      <c r="AX187" s="93"/>
      <c r="AY187" s="95"/>
      <c r="AZ187" s="91"/>
      <c r="BA187" s="92" t="s">
        <v>1356</v>
      </c>
      <c r="BB187" s="93"/>
      <c r="BC187" s="95"/>
      <c r="BD187" s="93"/>
      <c r="BE187" s="95"/>
      <c r="BF187" s="91"/>
      <c r="BG187" s="92" t="s">
        <v>1356</v>
      </c>
      <c r="BH187" s="93"/>
      <c r="BI187" s="95"/>
      <c r="BJ187" s="93"/>
      <c r="BK187" s="95"/>
      <c r="BL187" s="91"/>
      <c r="BM187" s="92" t="s">
        <v>1356</v>
      </c>
      <c r="BN187" s="93"/>
      <c r="BO187" s="95"/>
      <c r="BP187" s="93"/>
      <c r="BQ187" s="95"/>
      <c r="BR187" s="91"/>
      <c r="BS187" s="92" t="s">
        <v>1356</v>
      </c>
      <c r="BT187" s="93"/>
      <c r="BU187" s="95"/>
      <c r="BV187" s="93"/>
      <c r="BW187" s="95"/>
      <c r="BX187" s="113"/>
      <c r="BY187" s="114" t="s">
        <v>1356</v>
      </c>
      <c r="BZ187" s="115"/>
      <c r="CA187" s="116"/>
      <c r="CB187" s="115"/>
      <c r="CC187" s="116"/>
      <c r="CD187" s="113"/>
      <c r="CE187" s="114" t="s">
        <v>1356</v>
      </c>
      <c r="CF187" s="115"/>
      <c r="CG187" s="116"/>
      <c r="CH187" s="115"/>
      <c r="CI187" s="116"/>
      <c r="CJ187" s="113"/>
      <c r="CK187" s="114" t="s">
        <v>1356</v>
      </c>
      <c r="CL187" s="115"/>
      <c r="CM187" s="116"/>
      <c r="CN187" s="115"/>
      <c r="CO187" s="116"/>
      <c r="CP187" s="113"/>
      <c r="CQ187" s="114" t="s">
        <v>1356</v>
      </c>
      <c r="CR187" s="115"/>
      <c r="CS187" s="116"/>
      <c r="CT187" s="115"/>
      <c r="CU187" s="116"/>
      <c r="CV187" s="113"/>
      <c r="CW187" s="114" t="s">
        <v>1356</v>
      </c>
      <c r="CX187" s="115"/>
      <c r="CY187" s="116"/>
      <c r="CZ187" s="115"/>
      <c r="DA187" s="116"/>
      <c r="DB187" s="128" t="s">
        <v>7085</v>
      </c>
      <c r="DC187" s="128" t="s">
        <v>105</v>
      </c>
    </row>
    <row r="188" spans="1:107" s="40" customFormat="1" ht="14.55" customHeight="1" x14ac:dyDescent="0.3">
      <c r="A188" s="25" t="s">
        <v>3500</v>
      </c>
      <c r="B188" s="25" t="s">
        <v>3858</v>
      </c>
      <c r="C188" s="25" t="s">
        <v>3859</v>
      </c>
      <c r="D188" s="25" t="s">
        <v>1821</v>
      </c>
      <c r="E188" s="25" t="s">
        <v>1822</v>
      </c>
      <c r="F188" s="25" t="s">
        <v>327</v>
      </c>
      <c r="G188" s="26" t="s">
        <v>72</v>
      </c>
      <c r="H188" s="27" t="s">
        <v>251</v>
      </c>
      <c r="I188" s="26">
        <v>1701</v>
      </c>
      <c r="J188" s="26">
        <v>170155</v>
      </c>
      <c r="K188" s="28">
        <v>4</v>
      </c>
      <c r="L188" s="25" t="s">
        <v>1823</v>
      </c>
      <c r="M188" s="25" t="s">
        <v>1824</v>
      </c>
      <c r="N188" s="25" t="s">
        <v>1825</v>
      </c>
      <c r="O188" s="25"/>
      <c r="P188" s="25"/>
      <c r="Q188" s="25"/>
      <c r="R188" s="25"/>
      <c r="S188" s="25"/>
      <c r="T188" s="25"/>
      <c r="U188" s="25"/>
      <c r="V188" s="25"/>
      <c r="W188" s="25"/>
      <c r="X188" s="25" t="s">
        <v>1826</v>
      </c>
      <c r="Y188" s="25" t="s">
        <v>1827</v>
      </c>
      <c r="Z188" s="25">
        <v>-78.416826</v>
      </c>
      <c r="AA188" s="25">
        <v>-7.6192999999999997E-2</v>
      </c>
      <c r="AB188" s="25">
        <v>170155015</v>
      </c>
      <c r="AC188" s="25">
        <v>170155015009</v>
      </c>
      <c r="AD188" s="25">
        <v>170155015009006</v>
      </c>
      <c r="AE188" s="28">
        <v>4</v>
      </c>
      <c r="AF188" s="28" t="s">
        <v>499</v>
      </c>
      <c r="AG188" s="29" t="s">
        <v>65</v>
      </c>
      <c r="AH188" s="30"/>
      <c r="AI188" s="31" t="s">
        <v>66</v>
      </c>
      <c r="AJ188" s="32" t="s">
        <v>6938</v>
      </c>
      <c r="AK188" s="33" t="s">
        <v>67</v>
      </c>
      <c r="AL188" s="34">
        <v>45603</v>
      </c>
      <c r="AM188" s="36" t="s">
        <v>66</v>
      </c>
      <c r="AN188" s="36"/>
      <c r="AO188" s="36"/>
      <c r="AP188" s="36"/>
      <c r="AQ188" s="37">
        <f t="shared" si="9"/>
        <v>0</v>
      </c>
      <c r="AR188" s="38">
        <f t="shared" si="10"/>
        <v>0</v>
      </c>
      <c r="AS188" s="39">
        <f t="shared" si="11"/>
        <v>0</v>
      </c>
      <c r="AT188" s="91"/>
      <c r="AU188" s="92" t="s">
        <v>1356</v>
      </c>
      <c r="AV188" s="93"/>
      <c r="AW188" s="94"/>
      <c r="AX188" s="93"/>
      <c r="AY188" s="95"/>
      <c r="AZ188" s="91"/>
      <c r="BA188" s="92" t="s">
        <v>1356</v>
      </c>
      <c r="BB188" s="93"/>
      <c r="BC188" s="95"/>
      <c r="BD188" s="93"/>
      <c r="BE188" s="95"/>
      <c r="BF188" s="91"/>
      <c r="BG188" s="92" t="s">
        <v>1356</v>
      </c>
      <c r="BH188" s="93"/>
      <c r="BI188" s="95"/>
      <c r="BJ188" s="93"/>
      <c r="BK188" s="95"/>
      <c r="BL188" s="91"/>
      <c r="BM188" s="92" t="s">
        <v>1356</v>
      </c>
      <c r="BN188" s="93"/>
      <c r="BO188" s="95"/>
      <c r="BP188" s="93"/>
      <c r="BQ188" s="95"/>
      <c r="BR188" s="91"/>
      <c r="BS188" s="92" t="s">
        <v>1356</v>
      </c>
      <c r="BT188" s="93"/>
      <c r="BU188" s="95"/>
      <c r="BV188" s="93"/>
      <c r="BW188" s="95"/>
      <c r="BX188" s="113"/>
      <c r="BY188" s="114" t="s">
        <v>1356</v>
      </c>
      <c r="BZ188" s="115"/>
      <c r="CA188" s="116"/>
      <c r="CB188" s="115"/>
      <c r="CC188" s="116"/>
      <c r="CD188" s="113"/>
      <c r="CE188" s="114" t="s">
        <v>1356</v>
      </c>
      <c r="CF188" s="115"/>
      <c r="CG188" s="116"/>
      <c r="CH188" s="115"/>
      <c r="CI188" s="116"/>
      <c r="CJ188" s="113"/>
      <c r="CK188" s="114" t="s">
        <v>1356</v>
      </c>
      <c r="CL188" s="115"/>
      <c r="CM188" s="116"/>
      <c r="CN188" s="115"/>
      <c r="CO188" s="116"/>
      <c r="CP188" s="113"/>
      <c r="CQ188" s="114" t="s">
        <v>1356</v>
      </c>
      <c r="CR188" s="115"/>
      <c r="CS188" s="116"/>
      <c r="CT188" s="115"/>
      <c r="CU188" s="116"/>
      <c r="CV188" s="113"/>
      <c r="CW188" s="114" t="s">
        <v>1356</v>
      </c>
      <c r="CX188" s="115"/>
      <c r="CY188" s="116"/>
      <c r="CZ188" s="115"/>
      <c r="DA188" s="116"/>
      <c r="DB188" s="128" t="s">
        <v>7085</v>
      </c>
      <c r="DC188" s="128" t="s">
        <v>105</v>
      </c>
    </row>
    <row r="189" spans="1:107" s="40" customFormat="1" ht="14.55" customHeight="1" x14ac:dyDescent="0.3">
      <c r="A189" s="25" t="s">
        <v>3500</v>
      </c>
      <c r="B189" s="25" t="s">
        <v>3860</v>
      </c>
      <c r="C189" s="25" t="s">
        <v>3861</v>
      </c>
      <c r="D189" s="25" t="s">
        <v>1828</v>
      </c>
      <c r="E189" s="25" t="s">
        <v>1829</v>
      </c>
      <c r="F189" s="25" t="s">
        <v>210</v>
      </c>
      <c r="G189" s="26" t="s">
        <v>72</v>
      </c>
      <c r="H189" s="27" t="s">
        <v>251</v>
      </c>
      <c r="I189" s="26">
        <v>1701</v>
      </c>
      <c r="J189" s="26">
        <v>170150</v>
      </c>
      <c r="K189" s="28">
        <v>4</v>
      </c>
      <c r="L189" s="25" t="s">
        <v>913</v>
      </c>
      <c r="M189" s="25" t="s">
        <v>1830</v>
      </c>
      <c r="N189" s="25" t="s">
        <v>1831</v>
      </c>
      <c r="O189" s="25"/>
      <c r="P189" s="25"/>
      <c r="Q189" s="25"/>
      <c r="R189" s="25" t="s">
        <v>60</v>
      </c>
      <c r="S189" s="25"/>
      <c r="T189" s="25"/>
      <c r="U189" s="25" t="s">
        <v>1832</v>
      </c>
      <c r="V189" s="25"/>
      <c r="W189" s="25" t="s">
        <v>1833</v>
      </c>
      <c r="X189" s="25" t="s">
        <v>1834</v>
      </c>
      <c r="Y189" s="25" t="s">
        <v>1835</v>
      </c>
      <c r="Z189" s="25"/>
      <c r="AA189" s="25"/>
      <c r="AB189" s="25">
        <v>170150073</v>
      </c>
      <c r="AC189" s="25">
        <v>170150073011</v>
      </c>
      <c r="AD189" s="25">
        <v>170150073011009</v>
      </c>
      <c r="AE189" s="28">
        <v>5</v>
      </c>
      <c r="AF189" s="28" t="s">
        <v>772</v>
      </c>
      <c r="AG189" s="29" t="s">
        <v>65</v>
      </c>
      <c r="AH189" s="30"/>
      <c r="AI189" s="31" t="s">
        <v>66</v>
      </c>
      <c r="AJ189" s="32" t="s">
        <v>6938</v>
      </c>
      <c r="AK189" s="33" t="s">
        <v>67</v>
      </c>
      <c r="AL189" s="34">
        <v>45573</v>
      </c>
      <c r="AM189" s="36" t="s">
        <v>66</v>
      </c>
      <c r="AN189" s="36"/>
      <c r="AO189" s="36"/>
      <c r="AP189" s="36"/>
      <c r="AQ189" s="37">
        <f t="shared" si="9"/>
        <v>0</v>
      </c>
      <c r="AR189" s="38">
        <f t="shared" si="10"/>
        <v>0</v>
      </c>
      <c r="AS189" s="39">
        <f t="shared" si="11"/>
        <v>0</v>
      </c>
      <c r="AT189" s="91"/>
      <c r="AU189" s="92" t="s">
        <v>1356</v>
      </c>
      <c r="AV189" s="93"/>
      <c r="AW189" s="94"/>
      <c r="AX189" s="93"/>
      <c r="AY189" s="95"/>
      <c r="AZ189" s="91"/>
      <c r="BA189" s="92" t="s">
        <v>1356</v>
      </c>
      <c r="BB189" s="93"/>
      <c r="BC189" s="95"/>
      <c r="BD189" s="93"/>
      <c r="BE189" s="95"/>
      <c r="BF189" s="91"/>
      <c r="BG189" s="92" t="s">
        <v>1356</v>
      </c>
      <c r="BH189" s="93"/>
      <c r="BI189" s="95"/>
      <c r="BJ189" s="93"/>
      <c r="BK189" s="95"/>
      <c r="BL189" s="91"/>
      <c r="BM189" s="92" t="s">
        <v>1356</v>
      </c>
      <c r="BN189" s="93"/>
      <c r="BO189" s="95"/>
      <c r="BP189" s="93"/>
      <c r="BQ189" s="95"/>
      <c r="BR189" s="91"/>
      <c r="BS189" s="92" t="s">
        <v>1356</v>
      </c>
      <c r="BT189" s="93"/>
      <c r="BU189" s="95"/>
      <c r="BV189" s="93"/>
      <c r="BW189" s="95"/>
      <c r="BX189" s="113"/>
      <c r="BY189" s="114" t="s">
        <v>1356</v>
      </c>
      <c r="BZ189" s="115"/>
      <c r="CA189" s="116"/>
      <c r="CB189" s="115"/>
      <c r="CC189" s="116"/>
      <c r="CD189" s="113"/>
      <c r="CE189" s="114" t="s">
        <v>1356</v>
      </c>
      <c r="CF189" s="115"/>
      <c r="CG189" s="116"/>
      <c r="CH189" s="115"/>
      <c r="CI189" s="116"/>
      <c r="CJ189" s="113"/>
      <c r="CK189" s="114" t="s">
        <v>1356</v>
      </c>
      <c r="CL189" s="115"/>
      <c r="CM189" s="116"/>
      <c r="CN189" s="115"/>
      <c r="CO189" s="116"/>
      <c r="CP189" s="113"/>
      <c r="CQ189" s="114" t="s">
        <v>1356</v>
      </c>
      <c r="CR189" s="115"/>
      <c r="CS189" s="116"/>
      <c r="CT189" s="115"/>
      <c r="CU189" s="116"/>
      <c r="CV189" s="113"/>
      <c r="CW189" s="114" t="s">
        <v>1356</v>
      </c>
      <c r="CX189" s="115"/>
      <c r="CY189" s="116"/>
      <c r="CZ189" s="115"/>
      <c r="DA189" s="116"/>
      <c r="DB189" s="128" t="s">
        <v>7085</v>
      </c>
      <c r="DC189" s="131" t="s">
        <v>6751</v>
      </c>
    </row>
    <row r="190" spans="1:107" s="40" customFormat="1" ht="14.55" customHeight="1" x14ac:dyDescent="0.3">
      <c r="A190" s="25" t="s">
        <v>3500</v>
      </c>
      <c r="B190" s="25" t="s">
        <v>3862</v>
      </c>
      <c r="C190" s="25" t="s">
        <v>3863</v>
      </c>
      <c r="D190" s="25" t="s">
        <v>1836</v>
      </c>
      <c r="E190" s="25" t="s">
        <v>1837</v>
      </c>
      <c r="F190" s="25" t="s">
        <v>134</v>
      </c>
      <c r="G190" s="26" t="s">
        <v>72</v>
      </c>
      <c r="H190" s="27" t="s">
        <v>251</v>
      </c>
      <c r="I190" s="26">
        <v>1701</v>
      </c>
      <c r="J190" s="26">
        <v>170155</v>
      </c>
      <c r="K190" s="28">
        <v>4</v>
      </c>
      <c r="L190" s="25" t="s">
        <v>1318</v>
      </c>
      <c r="M190" s="25" t="s">
        <v>1838</v>
      </c>
      <c r="N190" s="25" t="s">
        <v>1839</v>
      </c>
      <c r="O190" s="25"/>
      <c r="P190" s="25"/>
      <c r="Q190" s="25"/>
      <c r="R190" s="25" t="s">
        <v>60</v>
      </c>
      <c r="S190" s="25"/>
      <c r="T190" s="25"/>
      <c r="U190" s="25"/>
      <c r="V190" s="25"/>
      <c r="W190" s="25" t="s">
        <v>1840</v>
      </c>
      <c r="X190" s="25" t="s">
        <v>1841</v>
      </c>
      <c r="Y190" s="25" t="s">
        <v>1842</v>
      </c>
      <c r="Z190" s="25">
        <v>-78.448008999999999</v>
      </c>
      <c r="AA190" s="25">
        <v>-0.102256</v>
      </c>
      <c r="AB190" s="25">
        <v>170155044</v>
      </c>
      <c r="AC190" s="25">
        <v>170155044005</v>
      </c>
      <c r="AD190" s="25">
        <v>170155044005001</v>
      </c>
      <c r="AE190" s="28">
        <v>5</v>
      </c>
      <c r="AF190" s="28" t="s">
        <v>772</v>
      </c>
      <c r="AG190" s="29" t="s">
        <v>65</v>
      </c>
      <c r="AH190" s="30"/>
      <c r="AI190" s="31" t="s">
        <v>66</v>
      </c>
      <c r="AJ190" s="32" t="s">
        <v>6938</v>
      </c>
      <c r="AK190" s="33" t="s">
        <v>67</v>
      </c>
      <c r="AL190" s="34">
        <v>45567</v>
      </c>
      <c r="AM190" s="36" t="s">
        <v>66</v>
      </c>
      <c r="AN190" s="36"/>
      <c r="AO190" s="36"/>
      <c r="AP190" s="36"/>
      <c r="AQ190" s="37">
        <f t="shared" si="9"/>
        <v>0</v>
      </c>
      <c r="AR190" s="38">
        <f t="shared" si="10"/>
        <v>0</v>
      </c>
      <c r="AS190" s="39">
        <f t="shared" si="11"/>
        <v>0</v>
      </c>
      <c r="AT190" s="91"/>
      <c r="AU190" s="92" t="s">
        <v>1356</v>
      </c>
      <c r="AV190" s="93"/>
      <c r="AW190" s="94"/>
      <c r="AX190" s="93"/>
      <c r="AY190" s="95"/>
      <c r="AZ190" s="91"/>
      <c r="BA190" s="92" t="s">
        <v>1356</v>
      </c>
      <c r="BB190" s="93"/>
      <c r="BC190" s="95"/>
      <c r="BD190" s="93"/>
      <c r="BE190" s="95"/>
      <c r="BF190" s="91"/>
      <c r="BG190" s="92" t="s">
        <v>1356</v>
      </c>
      <c r="BH190" s="93"/>
      <c r="BI190" s="95"/>
      <c r="BJ190" s="93"/>
      <c r="BK190" s="95"/>
      <c r="BL190" s="91"/>
      <c r="BM190" s="92" t="s">
        <v>1356</v>
      </c>
      <c r="BN190" s="93"/>
      <c r="BO190" s="95"/>
      <c r="BP190" s="93"/>
      <c r="BQ190" s="95"/>
      <c r="BR190" s="91"/>
      <c r="BS190" s="92" t="s">
        <v>1356</v>
      </c>
      <c r="BT190" s="93"/>
      <c r="BU190" s="95"/>
      <c r="BV190" s="93"/>
      <c r="BW190" s="95"/>
      <c r="BX190" s="113"/>
      <c r="BY190" s="114" t="s">
        <v>1356</v>
      </c>
      <c r="BZ190" s="115"/>
      <c r="CA190" s="116"/>
      <c r="CB190" s="115"/>
      <c r="CC190" s="116"/>
      <c r="CD190" s="113"/>
      <c r="CE190" s="114" t="s">
        <v>1356</v>
      </c>
      <c r="CF190" s="115"/>
      <c r="CG190" s="116"/>
      <c r="CH190" s="115"/>
      <c r="CI190" s="116"/>
      <c r="CJ190" s="113"/>
      <c r="CK190" s="114" t="s">
        <v>1356</v>
      </c>
      <c r="CL190" s="115"/>
      <c r="CM190" s="116"/>
      <c r="CN190" s="115"/>
      <c r="CO190" s="116"/>
      <c r="CP190" s="113"/>
      <c r="CQ190" s="114" t="s">
        <v>1356</v>
      </c>
      <c r="CR190" s="115"/>
      <c r="CS190" s="116"/>
      <c r="CT190" s="115"/>
      <c r="CU190" s="116"/>
      <c r="CV190" s="113"/>
      <c r="CW190" s="114" t="s">
        <v>1356</v>
      </c>
      <c r="CX190" s="115"/>
      <c r="CY190" s="116"/>
      <c r="CZ190" s="115"/>
      <c r="DA190" s="116"/>
      <c r="DB190" s="128" t="s">
        <v>7085</v>
      </c>
      <c r="DC190" s="128" t="s">
        <v>78</v>
      </c>
    </row>
    <row r="191" spans="1:107" s="40" customFormat="1" ht="14.55" customHeight="1" x14ac:dyDescent="0.3">
      <c r="A191" s="25" t="s">
        <v>3500</v>
      </c>
      <c r="B191" s="25" t="s">
        <v>3864</v>
      </c>
      <c r="C191" s="25" t="s">
        <v>3865</v>
      </c>
      <c r="D191" s="25" t="s">
        <v>1843</v>
      </c>
      <c r="E191" s="25" t="s">
        <v>1844</v>
      </c>
      <c r="F191" s="25" t="s">
        <v>134</v>
      </c>
      <c r="G191" s="26" t="s">
        <v>72</v>
      </c>
      <c r="H191" s="27" t="s">
        <v>251</v>
      </c>
      <c r="I191" s="26">
        <v>1701</v>
      </c>
      <c r="J191" s="26">
        <v>170155</v>
      </c>
      <c r="K191" s="28">
        <v>4</v>
      </c>
      <c r="L191" s="25" t="s">
        <v>1845</v>
      </c>
      <c r="M191" s="25"/>
      <c r="N191" s="25" t="s">
        <v>1017</v>
      </c>
      <c r="O191" s="25"/>
      <c r="P191" s="25"/>
      <c r="Q191" s="25"/>
      <c r="R191" s="25" t="s">
        <v>60</v>
      </c>
      <c r="S191" s="25"/>
      <c r="T191" s="25"/>
      <c r="U191" s="25" t="s">
        <v>1655</v>
      </c>
      <c r="V191" s="25"/>
      <c r="W191" s="25" t="s">
        <v>1846</v>
      </c>
      <c r="X191" s="25" t="s">
        <v>1841</v>
      </c>
      <c r="Y191" s="25" t="s">
        <v>1842</v>
      </c>
      <c r="Z191" s="25"/>
      <c r="AA191" s="25"/>
      <c r="AB191" s="25">
        <v>170155046</v>
      </c>
      <c r="AC191" s="25">
        <v>170155046003</v>
      </c>
      <c r="AD191" s="25">
        <v>170155046003004</v>
      </c>
      <c r="AE191" s="28">
        <v>5</v>
      </c>
      <c r="AF191" s="28" t="s">
        <v>772</v>
      </c>
      <c r="AG191" s="29" t="s">
        <v>65</v>
      </c>
      <c r="AH191" s="30"/>
      <c r="AI191" s="31" t="s">
        <v>66</v>
      </c>
      <c r="AJ191" s="32" t="s">
        <v>6938</v>
      </c>
      <c r="AK191" s="33" t="s">
        <v>67</v>
      </c>
      <c r="AL191" s="34">
        <v>45568</v>
      </c>
      <c r="AM191" s="36" t="s">
        <v>66</v>
      </c>
      <c r="AN191" s="36"/>
      <c r="AO191" s="36"/>
      <c r="AP191" s="36"/>
      <c r="AQ191" s="37">
        <f t="shared" si="9"/>
        <v>0</v>
      </c>
      <c r="AR191" s="38">
        <f t="shared" si="10"/>
        <v>0</v>
      </c>
      <c r="AS191" s="39">
        <f t="shared" si="11"/>
        <v>0</v>
      </c>
      <c r="AT191" s="91"/>
      <c r="AU191" s="92" t="s">
        <v>1356</v>
      </c>
      <c r="AV191" s="93"/>
      <c r="AW191" s="94"/>
      <c r="AX191" s="93"/>
      <c r="AY191" s="95"/>
      <c r="AZ191" s="91"/>
      <c r="BA191" s="92" t="s">
        <v>1356</v>
      </c>
      <c r="BB191" s="93"/>
      <c r="BC191" s="95"/>
      <c r="BD191" s="93"/>
      <c r="BE191" s="95"/>
      <c r="BF191" s="91"/>
      <c r="BG191" s="92" t="s">
        <v>1356</v>
      </c>
      <c r="BH191" s="93"/>
      <c r="BI191" s="95"/>
      <c r="BJ191" s="93"/>
      <c r="BK191" s="95"/>
      <c r="BL191" s="91"/>
      <c r="BM191" s="92" t="s">
        <v>1356</v>
      </c>
      <c r="BN191" s="93"/>
      <c r="BO191" s="95"/>
      <c r="BP191" s="93"/>
      <c r="BQ191" s="95"/>
      <c r="BR191" s="91"/>
      <c r="BS191" s="92" t="s">
        <v>1356</v>
      </c>
      <c r="BT191" s="93"/>
      <c r="BU191" s="95"/>
      <c r="BV191" s="93"/>
      <c r="BW191" s="95"/>
      <c r="BX191" s="113"/>
      <c r="BY191" s="114" t="s">
        <v>1356</v>
      </c>
      <c r="BZ191" s="115"/>
      <c r="CA191" s="116"/>
      <c r="CB191" s="115"/>
      <c r="CC191" s="116"/>
      <c r="CD191" s="113"/>
      <c r="CE191" s="114" t="s">
        <v>1356</v>
      </c>
      <c r="CF191" s="115"/>
      <c r="CG191" s="116"/>
      <c r="CH191" s="115"/>
      <c r="CI191" s="116"/>
      <c r="CJ191" s="113"/>
      <c r="CK191" s="114" t="s">
        <v>1356</v>
      </c>
      <c r="CL191" s="115"/>
      <c r="CM191" s="116"/>
      <c r="CN191" s="115"/>
      <c r="CO191" s="116"/>
      <c r="CP191" s="113"/>
      <c r="CQ191" s="114" t="s">
        <v>1356</v>
      </c>
      <c r="CR191" s="115"/>
      <c r="CS191" s="116"/>
      <c r="CT191" s="115"/>
      <c r="CU191" s="116"/>
      <c r="CV191" s="113"/>
      <c r="CW191" s="114" t="s">
        <v>1356</v>
      </c>
      <c r="CX191" s="115"/>
      <c r="CY191" s="116"/>
      <c r="CZ191" s="115"/>
      <c r="DA191" s="116"/>
      <c r="DB191" s="128" t="s">
        <v>7085</v>
      </c>
      <c r="DC191" s="128" t="s">
        <v>78</v>
      </c>
    </row>
    <row r="192" spans="1:107" s="40" customFormat="1" ht="14.55" customHeight="1" x14ac:dyDescent="0.3">
      <c r="A192" s="66" t="s">
        <v>3500</v>
      </c>
      <c r="B192" s="66" t="s">
        <v>3601</v>
      </c>
      <c r="C192" s="66" t="s">
        <v>3602</v>
      </c>
      <c r="D192" s="66" t="s">
        <v>594</v>
      </c>
      <c r="E192" s="66" t="s">
        <v>595</v>
      </c>
      <c r="F192" s="66" t="s">
        <v>596</v>
      </c>
      <c r="G192" s="68" t="s">
        <v>72</v>
      </c>
      <c r="H192" s="43" t="s">
        <v>251</v>
      </c>
      <c r="I192" s="68">
        <v>1701</v>
      </c>
      <c r="J192" s="68">
        <v>170156</v>
      </c>
      <c r="K192" s="69">
        <v>3</v>
      </c>
      <c r="L192" s="66" t="s">
        <v>597</v>
      </c>
      <c r="M192" s="66"/>
      <c r="N192" s="66" t="s">
        <v>598</v>
      </c>
      <c r="O192" s="66"/>
      <c r="P192" s="66"/>
      <c r="Q192" s="66"/>
      <c r="R192" s="66"/>
      <c r="S192" s="66"/>
      <c r="T192" s="66"/>
      <c r="U192" s="66"/>
      <c r="V192" s="66"/>
      <c r="W192" s="66" t="s">
        <v>599</v>
      </c>
      <c r="X192" s="66"/>
      <c r="Y192" s="66" t="s">
        <v>600</v>
      </c>
      <c r="Z192" s="66">
        <v>-78.480338000000003</v>
      </c>
      <c r="AA192" s="66">
        <v>-0.29271900000000001</v>
      </c>
      <c r="AB192" s="66">
        <v>170156003</v>
      </c>
      <c r="AC192" s="66">
        <v>170156003009</v>
      </c>
      <c r="AD192" s="66">
        <v>170156003009005</v>
      </c>
      <c r="AE192" s="69">
        <v>4</v>
      </c>
      <c r="AF192" s="69" t="s">
        <v>499</v>
      </c>
      <c r="AG192" s="46" t="s">
        <v>66</v>
      </c>
      <c r="AH192" s="70" t="s">
        <v>601</v>
      </c>
      <c r="AI192" s="71" t="s">
        <v>66</v>
      </c>
      <c r="AJ192" s="49" t="s">
        <v>6938</v>
      </c>
      <c r="AK192" s="50" t="s">
        <v>67</v>
      </c>
      <c r="AL192" s="58">
        <v>45574</v>
      </c>
      <c r="AM192" s="52" t="s">
        <v>66</v>
      </c>
      <c r="AN192" s="52"/>
      <c r="AO192" s="52"/>
      <c r="AP192" s="52"/>
      <c r="AQ192" s="53">
        <f t="shared" si="9"/>
        <v>2</v>
      </c>
      <c r="AR192" s="54">
        <f t="shared" si="10"/>
        <v>0</v>
      </c>
      <c r="AS192" s="55">
        <f t="shared" si="11"/>
        <v>2</v>
      </c>
      <c r="AT192" s="102" t="s">
        <v>602</v>
      </c>
      <c r="AU192" s="103" t="s">
        <v>2814</v>
      </c>
      <c r="AV192" s="104">
        <v>81.37</v>
      </c>
      <c r="AW192" s="105">
        <v>45574</v>
      </c>
      <c r="AX192" s="104">
        <v>81.37</v>
      </c>
      <c r="AY192" s="106">
        <v>45607</v>
      </c>
      <c r="AZ192" s="102" t="s">
        <v>602</v>
      </c>
      <c r="BA192" s="103" t="s">
        <v>2814</v>
      </c>
      <c r="BB192" s="104">
        <v>105</v>
      </c>
      <c r="BC192" s="106">
        <v>45574</v>
      </c>
      <c r="BD192" s="104">
        <v>105</v>
      </c>
      <c r="BE192" s="106">
        <v>45607</v>
      </c>
      <c r="BF192" s="102"/>
      <c r="BG192" s="103" t="s">
        <v>1356</v>
      </c>
      <c r="BH192" s="104"/>
      <c r="BI192" s="106"/>
      <c r="BJ192" s="104"/>
      <c r="BK192" s="106"/>
      <c r="BL192" s="102"/>
      <c r="BM192" s="103" t="s">
        <v>1356</v>
      </c>
      <c r="BN192" s="104"/>
      <c r="BO192" s="106"/>
      <c r="BP192" s="104"/>
      <c r="BQ192" s="106"/>
      <c r="BR192" s="102"/>
      <c r="BS192" s="103" t="s">
        <v>1356</v>
      </c>
      <c r="BT192" s="104"/>
      <c r="BU192" s="106"/>
      <c r="BV192" s="104"/>
      <c r="BW192" s="106"/>
      <c r="BX192" s="121"/>
      <c r="BY192" s="122" t="s">
        <v>1356</v>
      </c>
      <c r="BZ192" s="123"/>
      <c r="CA192" s="124"/>
      <c r="CB192" s="123"/>
      <c r="CC192" s="124"/>
      <c r="CD192" s="121"/>
      <c r="CE192" s="122" t="s">
        <v>1356</v>
      </c>
      <c r="CF192" s="123"/>
      <c r="CG192" s="124"/>
      <c r="CH192" s="123"/>
      <c r="CI192" s="124"/>
      <c r="CJ192" s="121"/>
      <c r="CK192" s="122" t="s">
        <v>1356</v>
      </c>
      <c r="CL192" s="123"/>
      <c r="CM192" s="124"/>
      <c r="CN192" s="123"/>
      <c r="CO192" s="124"/>
      <c r="CP192" s="121"/>
      <c r="CQ192" s="122" t="s">
        <v>1356</v>
      </c>
      <c r="CR192" s="123"/>
      <c r="CS192" s="124"/>
      <c r="CT192" s="123"/>
      <c r="CU192" s="124"/>
      <c r="CV192" s="121"/>
      <c r="CW192" s="122" t="s">
        <v>1356</v>
      </c>
      <c r="CX192" s="123"/>
      <c r="CY192" s="124"/>
      <c r="CZ192" s="123"/>
      <c r="DA192" s="124"/>
      <c r="DB192" s="129" t="s">
        <v>6962</v>
      </c>
      <c r="DC192" s="129" t="s">
        <v>105</v>
      </c>
    </row>
    <row r="193" spans="1:107" s="40" customFormat="1" ht="14.55" customHeight="1" x14ac:dyDescent="0.3">
      <c r="A193" s="25" t="s">
        <v>3500</v>
      </c>
      <c r="B193" s="25" t="s">
        <v>3868</v>
      </c>
      <c r="C193" s="25" t="s">
        <v>3869</v>
      </c>
      <c r="D193" s="25" t="s">
        <v>1854</v>
      </c>
      <c r="E193" s="25" t="s">
        <v>1855</v>
      </c>
      <c r="F193" s="25" t="s">
        <v>175</v>
      </c>
      <c r="G193" s="26" t="s">
        <v>72</v>
      </c>
      <c r="H193" s="27" t="s">
        <v>251</v>
      </c>
      <c r="I193" s="26">
        <v>1701</v>
      </c>
      <c r="J193" s="26">
        <v>170155</v>
      </c>
      <c r="K193" s="28">
        <v>4</v>
      </c>
      <c r="L193" s="25" t="s">
        <v>1856</v>
      </c>
      <c r="M193" s="25" t="s">
        <v>258</v>
      </c>
      <c r="N193" s="25" t="s">
        <v>1017</v>
      </c>
      <c r="O193" s="25"/>
      <c r="P193" s="25"/>
      <c r="Q193" s="25"/>
      <c r="R193" s="25" t="s">
        <v>60</v>
      </c>
      <c r="S193" s="25"/>
      <c r="T193" s="25"/>
      <c r="U193" s="25"/>
      <c r="V193" s="25"/>
      <c r="W193" s="25" t="s">
        <v>1857</v>
      </c>
      <c r="X193" s="25" t="s">
        <v>1858</v>
      </c>
      <c r="Y193" s="25" t="s">
        <v>1859</v>
      </c>
      <c r="Z193" s="25"/>
      <c r="AA193" s="25"/>
      <c r="AB193" s="25">
        <v>170155047</v>
      </c>
      <c r="AC193" s="25">
        <v>170155047004</v>
      </c>
      <c r="AD193" s="25">
        <v>170155047004001</v>
      </c>
      <c r="AE193" s="28">
        <v>5</v>
      </c>
      <c r="AF193" s="28" t="s">
        <v>772</v>
      </c>
      <c r="AG193" s="29" t="s">
        <v>65</v>
      </c>
      <c r="AH193" s="30"/>
      <c r="AI193" s="31" t="s">
        <v>66</v>
      </c>
      <c r="AJ193" s="32" t="s">
        <v>6938</v>
      </c>
      <c r="AK193" s="33" t="s">
        <v>67</v>
      </c>
      <c r="AL193" s="34">
        <v>45585</v>
      </c>
      <c r="AM193" s="36" t="s">
        <v>66</v>
      </c>
      <c r="AN193" s="36"/>
      <c r="AO193" s="36"/>
      <c r="AP193" s="36"/>
      <c r="AQ193" s="37">
        <f t="shared" si="9"/>
        <v>0</v>
      </c>
      <c r="AR193" s="38">
        <f t="shared" si="10"/>
        <v>0</v>
      </c>
      <c r="AS193" s="39">
        <f t="shared" si="11"/>
        <v>0</v>
      </c>
      <c r="AT193" s="91"/>
      <c r="AU193" s="92" t="s">
        <v>1356</v>
      </c>
      <c r="AV193" s="93"/>
      <c r="AW193" s="94"/>
      <c r="AX193" s="93"/>
      <c r="AY193" s="95"/>
      <c r="AZ193" s="91"/>
      <c r="BA193" s="92" t="s">
        <v>1356</v>
      </c>
      <c r="BB193" s="93"/>
      <c r="BC193" s="95"/>
      <c r="BD193" s="93"/>
      <c r="BE193" s="95"/>
      <c r="BF193" s="91"/>
      <c r="BG193" s="92" t="s">
        <v>1356</v>
      </c>
      <c r="BH193" s="93"/>
      <c r="BI193" s="95"/>
      <c r="BJ193" s="93"/>
      <c r="BK193" s="95"/>
      <c r="BL193" s="91"/>
      <c r="BM193" s="92" t="s">
        <v>1356</v>
      </c>
      <c r="BN193" s="93"/>
      <c r="BO193" s="95"/>
      <c r="BP193" s="93"/>
      <c r="BQ193" s="95"/>
      <c r="BR193" s="91"/>
      <c r="BS193" s="92" t="s">
        <v>1356</v>
      </c>
      <c r="BT193" s="93"/>
      <c r="BU193" s="95"/>
      <c r="BV193" s="93"/>
      <c r="BW193" s="95"/>
      <c r="BX193" s="113"/>
      <c r="BY193" s="114" t="s">
        <v>1356</v>
      </c>
      <c r="BZ193" s="115"/>
      <c r="CA193" s="116"/>
      <c r="CB193" s="115"/>
      <c r="CC193" s="116"/>
      <c r="CD193" s="113"/>
      <c r="CE193" s="114" t="s">
        <v>1356</v>
      </c>
      <c r="CF193" s="115"/>
      <c r="CG193" s="116"/>
      <c r="CH193" s="115"/>
      <c r="CI193" s="116"/>
      <c r="CJ193" s="113"/>
      <c r="CK193" s="114" t="s">
        <v>1356</v>
      </c>
      <c r="CL193" s="115"/>
      <c r="CM193" s="116"/>
      <c r="CN193" s="115"/>
      <c r="CO193" s="116"/>
      <c r="CP193" s="113"/>
      <c r="CQ193" s="114" t="s">
        <v>1356</v>
      </c>
      <c r="CR193" s="115"/>
      <c r="CS193" s="116"/>
      <c r="CT193" s="115"/>
      <c r="CU193" s="116"/>
      <c r="CV193" s="113"/>
      <c r="CW193" s="114" t="s">
        <v>1356</v>
      </c>
      <c r="CX193" s="115"/>
      <c r="CY193" s="116"/>
      <c r="CZ193" s="115"/>
      <c r="DA193" s="116"/>
      <c r="DB193" s="128" t="s">
        <v>7085</v>
      </c>
      <c r="DC193" s="128" t="s">
        <v>78</v>
      </c>
    </row>
    <row r="194" spans="1:107" s="40" customFormat="1" ht="14.55" customHeight="1" x14ac:dyDescent="0.3">
      <c r="A194" s="25" t="s">
        <v>3500</v>
      </c>
      <c r="B194" s="25" t="s">
        <v>3870</v>
      </c>
      <c r="C194" s="25" t="s">
        <v>3871</v>
      </c>
      <c r="D194" s="25" t="s">
        <v>1860</v>
      </c>
      <c r="E194" s="25"/>
      <c r="F194" s="25" t="s">
        <v>256</v>
      </c>
      <c r="G194" s="26" t="s">
        <v>72</v>
      </c>
      <c r="H194" s="27" t="s">
        <v>251</v>
      </c>
      <c r="I194" s="26">
        <v>1701</v>
      </c>
      <c r="J194" s="26">
        <v>170150</v>
      </c>
      <c r="K194" s="28">
        <v>4</v>
      </c>
      <c r="L194" s="25" t="s">
        <v>531</v>
      </c>
      <c r="M194" s="25" t="s">
        <v>1861</v>
      </c>
      <c r="N194" s="25" t="s">
        <v>1862</v>
      </c>
      <c r="O194" s="25"/>
      <c r="P194" s="25"/>
      <c r="Q194" s="25"/>
      <c r="R194" s="25" t="s">
        <v>60</v>
      </c>
      <c r="S194" s="25"/>
      <c r="T194" s="25"/>
      <c r="U194" s="25" t="s">
        <v>609</v>
      </c>
      <c r="V194" s="25"/>
      <c r="W194" s="25" t="s">
        <v>1863</v>
      </c>
      <c r="X194" s="25" t="s">
        <v>1864</v>
      </c>
      <c r="Y194" s="25" t="s">
        <v>1865</v>
      </c>
      <c r="Z194" s="25"/>
      <c r="AA194" s="25"/>
      <c r="AB194" s="25">
        <v>170150043</v>
      </c>
      <c r="AC194" s="25">
        <v>170150043003</v>
      </c>
      <c r="AD194" s="25">
        <v>170150043003007</v>
      </c>
      <c r="AE194" s="28">
        <v>5</v>
      </c>
      <c r="AF194" s="28" t="s">
        <v>772</v>
      </c>
      <c r="AG194" s="29" t="s">
        <v>65</v>
      </c>
      <c r="AH194" s="30"/>
      <c r="AI194" s="31" t="s">
        <v>66</v>
      </c>
      <c r="AJ194" s="32" t="s">
        <v>6938</v>
      </c>
      <c r="AK194" s="33" t="s">
        <v>67</v>
      </c>
      <c r="AL194" s="34">
        <v>45568</v>
      </c>
      <c r="AM194" s="35" t="s">
        <v>66</v>
      </c>
      <c r="AN194" s="36"/>
      <c r="AO194" s="36"/>
      <c r="AP194" s="36"/>
      <c r="AQ194" s="37">
        <f t="shared" si="9"/>
        <v>0</v>
      </c>
      <c r="AR194" s="38">
        <f t="shared" si="10"/>
        <v>0</v>
      </c>
      <c r="AS194" s="39">
        <f t="shared" si="11"/>
        <v>0</v>
      </c>
      <c r="AT194" s="91"/>
      <c r="AU194" s="92" t="s">
        <v>1356</v>
      </c>
      <c r="AV194" s="93"/>
      <c r="AW194" s="94"/>
      <c r="AX194" s="93"/>
      <c r="AY194" s="95"/>
      <c r="AZ194" s="91"/>
      <c r="BA194" s="92" t="s">
        <v>1356</v>
      </c>
      <c r="BB194" s="93"/>
      <c r="BC194" s="95"/>
      <c r="BD194" s="93"/>
      <c r="BE194" s="95"/>
      <c r="BF194" s="91"/>
      <c r="BG194" s="92" t="s">
        <v>1356</v>
      </c>
      <c r="BH194" s="93"/>
      <c r="BI194" s="95"/>
      <c r="BJ194" s="93"/>
      <c r="BK194" s="95"/>
      <c r="BL194" s="91"/>
      <c r="BM194" s="92" t="s">
        <v>1356</v>
      </c>
      <c r="BN194" s="93"/>
      <c r="BO194" s="95"/>
      <c r="BP194" s="93"/>
      <c r="BQ194" s="95"/>
      <c r="BR194" s="91"/>
      <c r="BS194" s="92" t="s">
        <v>1356</v>
      </c>
      <c r="BT194" s="93"/>
      <c r="BU194" s="95"/>
      <c r="BV194" s="93"/>
      <c r="BW194" s="95"/>
      <c r="BX194" s="113"/>
      <c r="BY194" s="114" t="s">
        <v>1356</v>
      </c>
      <c r="BZ194" s="115"/>
      <c r="CA194" s="116"/>
      <c r="CB194" s="115"/>
      <c r="CC194" s="116"/>
      <c r="CD194" s="113"/>
      <c r="CE194" s="114" t="s">
        <v>1356</v>
      </c>
      <c r="CF194" s="115"/>
      <c r="CG194" s="116"/>
      <c r="CH194" s="115"/>
      <c r="CI194" s="116"/>
      <c r="CJ194" s="113"/>
      <c r="CK194" s="114" t="s">
        <v>1356</v>
      </c>
      <c r="CL194" s="115"/>
      <c r="CM194" s="116"/>
      <c r="CN194" s="115"/>
      <c r="CO194" s="116"/>
      <c r="CP194" s="113"/>
      <c r="CQ194" s="114" t="s">
        <v>1356</v>
      </c>
      <c r="CR194" s="115"/>
      <c r="CS194" s="116"/>
      <c r="CT194" s="115"/>
      <c r="CU194" s="116"/>
      <c r="CV194" s="113"/>
      <c r="CW194" s="114" t="s">
        <v>1356</v>
      </c>
      <c r="CX194" s="115"/>
      <c r="CY194" s="116"/>
      <c r="CZ194" s="115"/>
      <c r="DA194" s="116"/>
      <c r="DB194" s="128" t="s">
        <v>7085</v>
      </c>
      <c r="DC194" s="128" t="s">
        <v>87</v>
      </c>
    </row>
    <row r="195" spans="1:107" s="40" customFormat="1" ht="14.55" customHeight="1" x14ac:dyDescent="0.3">
      <c r="A195" s="25" t="s">
        <v>3500</v>
      </c>
      <c r="B195" s="25" t="s">
        <v>3872</v>
      </c>
      <c r="C195" s="25" t="s">
        <v>3873</v>
      </c>
      <c r="D195" s="25" t="s">
        <v>1866</v>
      </c>
      <c r="E195" s="25" t="s">
        <v>1867</v>
      </c>
      <c r="F195" s="25" t="s">
        <v>71</v>
      </c>
      <c r="G195" s="26" t="s">
        <v>72</v>
      </c>
      <c r="H195" s="27" t="s">
        <v>251</v>
      </c>
      <c r="I195" s="26">
        <v>1701</v>
      </c>
      <c r="J195" s="26">
        <v>170150</v>
      </c>
      <c r="K195" s="28">
        <v>3</v>
      </c>
      <c r="L195" s="25" t="s">
        <v>1868</v>
      </c>
      <c r="M195" s="25" t="s">
        <v>1869</v>
      </c>
      <c r="N195" s="25" t="s">
        <v>1870</v>
      </c>
      <c r="O195" s="25"/>
      <c r="P195" s="25"/>
      <c r="Q195" s="25"/>
      <c r="R195" s="25"/>
      <c r="S195" s="25"/>
      <c r="T195" s="25"/>
      <c r="U195" s="25"/>
      <c r="V195" s="25"/>
      <c r="W195" s="25" t="s">
        <v>1871</v>
      </c>
      <c r="X195" s="25"/>
      <c r="Y195" s="25" t="s">
        <v>1872</v>
      </c>
      <c r="Z195" s="25"/>
      <c r="AA195" s="25"/>
      <c r="AB195" s="25"/>
      <c r="AC195" s="25"/>
      <c r="AD195" s="25"/>
      <c r="AE195" s="28">
        <v>2</v>
      </c>
      <c r="AF195" s="28" t="s">
        <v>64</v>
      </c>
      <c r="AG195" s="29" t="s">
        <v>65</v>
      </c>
      <c r="AH195" s="30"/>
      <c r="AI195" s="31" t="s">
        <v>65</v>
      </c>
      <c r="AJ195" s="32" t="s">
        <v>6938</v>
      </c>
      <c r="AK195" s="33" t="s">
        <v>92</v>
      </c>
      <c r="AL195" s="34">
        <v>45559</v>
      </c>
      <c r="AM195" s="36"/>
      <c r="AN195" s="36"/>
      <c r="AO195" s="36"/>
      <c r="AP195" s="36"/>
      <c r="AQ195" s="37">
        <f t="shared" si="9"/>
        <v>0</v>
      </c>
      <c r="AR195" s="38">
        <f t="shared" si="10"/>
        <v>0</v>
      </c>
      <c r="AS195" s="39">
        <f t="shared" si="11"/>
        <v>0</v>
      </c>
      <c r="AT195" s="91"/>
      <c r="AU195" s="92" t="s">
        <v>1356</v>
      </c>
      <c r="AV195" s="93"/>
      <c r="AW195" s="94"/>
      <c r="AX195" s="93"/>
      <c r="AY195" s="95"/>
      <c r="AZ195" s="91"/>
      <c r="BA195" s="92" t="s">
        <v>1356</v>
      </c>
      <c r="BB195" s="93"/>
      <c r="BC195" s="95"/>
      <c r="BD195" s="93"/>
      <c r="BE195" s="95"/>
      <c r="BF195" s="91"/>
      <c r="BG195" s="92" t="s">
        <v>1356</v>
      </c>
      <c r="BH195" s="93"/>
      <c r="BI195" s="95"/>
      <c r="BJ195" s="93"/>
      <c r="BK195" s="95"/>
      <c r="BL195" s="91"/>
      <c r="BM195" s="92" t="s">
        <v>1356</v>
      </c>
      <c r="BN195" s="93"/>
      <c r="BO195" s="95"/>
      <c r="BP195" s="93"/>
      <c r="BQ195" s="95"/>
      <c r="BR195" s="91"/>
      <c r="BS195" s="92" t="s">
        <v>1356</v>
      </c>
      <c r="BT195" s="93"/>
      <c r="BU195" s="95"/>
      <c r="BV195" s="93"/>
      <c r="BW195" s="95"/>
      <c r="BX195" s="113"/>
      <c r="BY195" s="114" t="s">
        <v>1356</v>
      </c>
      <c r="BZ195" s="115"/>
      <c r="CA195" s="116"/>
      <c r="CB195" s="115"/>
      <c r="CC195" s="116"/>
      <c r="CD195" s="113"/>
      <c r="CE195" s="114" t="s">
        <v>1356</v>
      </c>
      <c r="CF195" s="115"/>
      <c r="CG195" s="116"/>
      <c r="CH195" s="115"/>
      <c r="CI195" s="116"/>
      <c r="CJ195" s="113"/>
      <c r="CK195" s="114" t="s">
        <v>1356</v>
      </c>
      <c r="CL195" s="115"/>
      <c r="CM195" s="116"/>
      <c r="CN195" s="115"/>
      <c r="CO195" s="116"/>
      <c r="CP195" s="113"/>
      <c r="CQ195" s="114" t="s">
        <v>1356</v>
      </c>
      <c r="CR195" s="115"/>
      <c r="CS195" s="116"/>
      <c r="CT195" s="115"/>
      <c r="CU195" s="116"/>
      <c r="CV195" s="113"/>
      <c r="CW195" s="114" t="s">
        <v>1356</v>
      </c>
      <c r="CX195" s="115"/>
      <c r="CY195" s="116"/>
      <c r="CZ195" s="115"/>
      <c r="DA195" s="116"/>
      <c r="DB195" s="128" t="s">
        <v>7085</v>
      </c>
      <c r="DC195" s="128" t="s">
        <v>253</v>
      </c>
    </row>
    <row r="196" spans="1:107" s="40" customFormat="1" ht="14.55" customHeight="1" x14ac:dyDescent="0.3">
      <c r="A196" s="25" t="s">
        <v>3500</v>
      </c>
      <c r="B196" s="25" t="s">
        <v>3874</v>
      </c>
      <c r="C196" s="25" t="s">
        <v>3875</v>
      </c>
      <c r="D196" s="25" t="s">
        <v>1873</v>
      </c>
      <c r="E196" s="25" t="s">
        <v>70</v>
      </c>
      <c r="F196" s="25" t="s">
        <v>71</v>
      </c>
      <c r="G196" s="26" t="s">
        <v>72</v>
      </c>
      <c r="H196" s="27" t="s">
        <v>251</v>
      </c>
      <c r="I196" s="26">
        <v>1701</v>
      </c>
      <c r="J196" s="26">
        <v>170150</v>
      </c>
      <c r="K196" s="28">
        <v>3</v>
      </c>
      <c r="L196" s="25" t="s">
        <v>1874</v>
      </c>
      <c r="M196" s="25" t="s">
        <v>1875</v>
      </c>
      <c r="N196" s="25" t="s">
        <v>1876</v>
      </c>
      <c r="O196" s="25"/>
      <c r="P196" s="25"/>
      <c r="Q196" s="25"/>
      <c r="R196" s="25"/>
      <c r="S196" s="25"/>
      <c r="T196" s="25"/>
      <c r="U196" s="25"/>
      <c r="V196" s="25"/>
      <c r="W196" s="25" t="s">
        <v>1877</v>
      </c>
      <c r="X196" s="25" t="s">
        <v>1878</v>
      </c>
      <c r="Y196" s="25" t="s">
        <v>1879</v>
      </c>
      <c r="Z196" s="25"/>
      <c r="AA196" s="25"/>
      <c r="AB196" s="25"/>
      <c r="AC196" s="25"/>
      <c r="AD196" s="25"/>
      <c r="AE196" s="28">
        <v>2</v>
      </c>
      <c r="AF196" s="28" t="s">
        <v>64</v>
      </c>
      <c r="AG196" s="29" t="s">
        <v>65</v>
      </c>
      <c r="AH196" s="30"/>
      <c r="AI196" s="31" t="s">
        <v>66</v>
      </c>
      <c r="AJ196" s="32" t="s">
        <v>6938</v>
      </c>
      <c r="AK196" s="33" t="s">
        <v>67</v>
      </c>
      <c r="AL196" s="34">
        <v>45568</v>
      </c>
      <c r="AM196" s="35" t="s">
        <v>66</v>
      </c>
      <c r="AN196" s="36"/>
      <c r="AO196" s="36"/>
      <c r="AP196" s="36"/>
      <c r="AQ196" s="37">
        <f t="shared" si="9"/>
        <v>0</v>
      </c>
      <c r="AR196" s="38">
        <f t="shared" si="10"/>
        <v>0</v>
      </c>
      <c r="AS196" s="39">
        <f t="shared" si="11"/>
        <v>0</v>
      </c>
      <c r="AT196" s="91"/>
      <c r="AU196" s="92" t="s">
        <v>1356</v>
      </c>
      <c r="AV196" s="93"/>
      <c r="AW196" s="94"/>
      <c r="AX196" s="93"/>
      <c r="AY196" s="95"/>
      <c r="AZ196" s="91"/>
      <c r="BA196" s="92" t="s">
        <v>1356</v>
      </c>
      <c r="BB196" s="93"/>
      <c r="BC196" s="95"/>
      <c r="BD196" s="93"/>
      <c r="BE196" s="95"/>
      <c r="BF196" s="91"/>
      <c r="BG196" s="92" t="s">
        <v>1356</v>
      </c>
      <c r="BH196" s="93"/>
      <c r="BI196" s="95"/>
      <c r="BJ196" s="93"/>
      <c r="BK196" s="95"/>
      <c r="BL196" s="91"/>
      <c r="BM196" s="92" t="s">
        <v>1356</v>
      </c>
      <c r="BN196" s="93"/>
      <c r="BO196" s="95"/>
      <c r="BP196" s="93"/>
      <c r="BQ196" s="95"/>
      <c r="BR196" s="91"/>
      <c r="BS196" s="92" t="s">
        <v>1356</v>
      </c>
      <c r="BT196" s="93"/>
      <c r="BU196" s="95"/>
      <c r="BV196" s="93"/>
      <c r="BW196" s="95"/>
      <c r="BX196" s="113"/>
      <c r="BY196" s="114" t="s">
        <v>1356</v>
      </c>
      <c r="BZ196" s="115"/>
      <c r="CA196" s="116"/>
      <c r="CB196" s="115"/>
      <c r="CC196" s="116"/>
      <c r="CD196" s="113"/>
      <c r="CE196" s="114" t="s">
        <v>1356</v>
      </c>
      <c r="CF196" s="115"/>
      <c r="CG196" s="116"/>
      <c r="CH196" s="115"/>
      <c r="CI196" s="116"/>
      <c r="CJ196" s="113"/>
      <c r="CK196" s="114" t="s">
        <v>1356</v>
      </c>
      <c r="CL196" s="115"/>
      <c r="CM196" s="116"/>
      <c r="CN196" s="115"/>
      <c r="CO196" s="116"/>
      <c r="CP196" s="113"/>
      <c r="CQ196" s="114" t="s">
        <v>1356</v>
      </c>
      <c r="CR196" s="115"/>
      <c r="CS196" s="116"/>
      <c r="CT196" s="115"/>
      <c r="CU196" s="116"/>
      <c r="CV196" s="113"/>
      <c r="CW196" s="114" t="s">
        <v>1356</v>
      </c>
      <c r="CX196" s="115"/>
      <c r="CY196" s="116"/>
      <c r="CZ196" s="115"/>
      <c r="DA196" s="116"/>
      <c r="DB196" s="128" t="s">
        <v>7085</v>
      </c>
      <c r="DC196" s="128" t="s">
        <v>105</v>
      </c>
    </row>
    <row r="197" spans="1:107" s="40" customFormat="1" ht="14.55" customHeight="1" x14ac:dyDescent="0.3">
      <c r="A197" s="25" t="s">
        <v>3500</v>
      </c>
      <c r="B197" s="25" t="s">
        <v>3876</v>
      </c>
      <c r="C197" s="25" t="s">
        <v>3877</v>
      </c>
      <c r="D197" s="25" t="s">
        <v>1880</v>
      </c>
      <c r="E197" s="25" t="s">
        <v>70</v>
      </c>
      <c r="F197" s="25" t="s">
        <v>108</v>
      </c>
      <c r="G197" s="26" t="s">
        <v>72</v>
      </c>
      <c r="H197" s="27" t="s">
        <v>251</v>
      </c>
      <c r="I197" s="26">
        <v>1701</v>
      </c>
      <c r="J197" s="26">
        <v>170150</v>
      </c>
      <c r="K197" s="28">
        <v>3</v>
      </c>
      <c r="L197" s="25" t="s">
        <v>320</v>
      </c>
      <c r="M197" s="25" t="s">
        <v>1881</v>
      </c>
      <c r="N197" s="25" t="s">
        <v>221</v>
      </c>
      <c r="O197" s="25"/>
      <c r="P197" s="25"/>
      <c r="Q197" s="25"/>
      <c r="R197" s="25" t="s">
        <v>146</v>
      </c>
      <c r="S197" s="25"/>
      <c r="T197" s="25"/>
      <c r="U197" s="25" t="s">
        <v>1882</v>
      </c>
      <c r="V197" s="25"/>
      <c r="W197" s="25" t="s">
        <v>1883</v>
      </c>
      <c r="X197" s="25" t="s">
        <v>1884</v>
      </c>
      <c r="Y197" s="25" t="s">
        <v>1885</v>
      </c>
      <c r="Z197" s="25">
        <v>-78.473520040479343</v>
      </c>
      <c r="AA197" s="25">
        <v>-0.1121570348041718</v>
      </c>
      <c r="AB197" s="25">
        <v>170150073</v>
      </c>
      <c r="AC197" s="25">
        <v>170150073009</v>
      </c>
      <c r="AD197" s="25">
        <v>170150073009001</v>
      </c>
      <c r="AE197" s="28">
        <v>2</v>
      </c>
      <c r="AF197" s="28" t="s">
        <v>64</v>
      </c>
      <c r="AG197" s="29" t="s">
        <v>65</v>
      </c>
      <c r="AH197" s="30"/>
      <c r="AI197" s="31" t="s">
        <v>66</v>
      </c>
      <c r="AJ197" s="32" t="s">
        <v>6938</v>
      </c>
      <c r="AK197" s="33" t="s">
        <v>67</v>
      </c>
      <c r="AL197" s="34">
        <v>45568</v>
      </c>
      <c r="AM197" s="35" t="s">
        <v>66</v>
      </c>
      <c r="AN197" s="36"/>
      <c r="AO197" s="36"/>
      <c r="AP197" s="36"/>
      <c r="AQ197" s="37">
        <f t="shared" si="9"/>
        <v>0</v>
      </c>
      <c r="AR197" s="38">
        <f t="shared" si="10"/>
        <v>0</v>
      </c>
      <c r="AS197" s="39">
        <f t="shared" si="11"/>
        <v>0</v>
      </c>
      <c r="AT197" s="91"/>
      <c r="AU197" s="92" t="s">
        <v>1356</v>
      </c>
      <c r="AV197" s="93"/>
      <c r="AW197" s="94"/>
      <c r="AX197" s="93"/>
      <c r="AY197" s="95"/>
      <c r="AZ197" s="91"/>
      <c r="BA197" s="92" t="s">
        <v>1356</v>
      </c>
      <c r="BB197" s="93"/>
      <c r="BC197" s="95"/>
      <c r="BD197" s="93"/>
      <c r="BE197" s="95"/>
      <c r="BF197" s="91"/>
      <c r="BG197" s="92" t="s">
        <v>1356</v>
      </c>
      <c r="BH197" s="93"/>
      <c r="BI197" s="95"/>
      <c r="BJ197" s="93"/>
      <c r="BK197" s="95"/>
      <c r="BL197" s="91"/>
      <c r="BM197" s="92" t="s">
        <v>1356</v>
      </c>
      <c r="BN197" s="93"/>
      <c r="BO197" s="95"/>
      <c r="BP197" s="93"/>
      <c r="BQ197" s="95"/>
      <c r="BR197" s="91"/>
      <c r="BS197" s="92" t="s">
        <v>1356</v>
      </c>
      <c r="BT197" s="93"/>
      <c r="BU197" s="95"/>
      <c r="BV197" s="93"/>
      <c r="BW197" s="95"/>
      <c r="BX197" s="113"/>
      <c r="BY197" s="114" t="s">
        <v>1356</v>
      </c>
      <c r="BZ197" s="115"/>
      <c r="CA197" s="116"/>
      <c r="CB197" s="115"/>
      <c r="CC197" s="116"/>
      <c r="CD197" s="113"/>
      <c r="CE197" s="114" t="s">
        <v>1356</v>
      </c>
      <c r="CF197" s="115"/>
      <c r="CG197" s="116"/>
      <c r="CH197" s="115"/>
      <c r="CI197" s="116"/>
      <c r="CJ197" s="113"/>
      <c r="CK197" s="114" t="s">
        <v>1356</v>
      </c>
      <c r="CL197" s="115"/>
      <c r="CM197" s="116"/>
      <c r="CN197" s="115"/>
      <c r="CO197" s="116"/>
      <c r="CP197" s="113"/>
      <c r="CQ197" s="114" t="s">
        <v>1356</v>
      </c>
      <c r="CR197" s="115"/>
      <c r="CS197" s="116"/>
      <c r="CT197" s="115"/>
      <c r="CU197" s="116"/>
      <c r="CV197" s="113"/>
      <c r="CW197" s="114" t="s">
        <v>1356</v>
      </c>
      <c r="CX197" s="115"/>
      <c r="CY197" s="116"/>
      <c r="CZ197" s="115"/>
      <c r="DA197" s="116"/>
      <c r="DB197" s="128" t="s">
        <v>7085</v>
      </c>
      <c r="DC197" s="131" t="s">
        <v>6751</v>
      </c>
    </row>
    <row r="198" spans="1:107" s="40" customFormat="1" ht="14.55" customHeight="1" x14ac:dyDescent="0.3">
      <c r="A198" s="25" t="s">
        <v>3500</v>
      </c>
      <c r="B198" s="25" t="s">
        <v>3878</v>
      </c>
      <c r="C198" s="25" t="s">
        <v>3879</v>
      </c>
      <c r="D198" s="25" t="s">
        <v>1886</v>
      </c>
      <c r="E198" s="25" t="s">
        <v>1887</v>
      </c>
      <c r="F198" s="25" t="s">
        <v>134</v>
      </c>
      <c r="G198" s="26" t="s">
        <v>72</v>
      </c>
      <c r="H198" s="27" t="s">
        <v>251</v>
      </c>
      <c r="I198" s="26">
        <v>1701</v>
      </c>
      <c r="J198" s="26">
        <v>170150</v>
      </c>
      <c r="K198" s="28">
        <v>4</v>
      </c>
      <c r="L198" s="25" t="s">
        <v>1299</v>
      </c>
      <c r="M198" s="25" t="s">
        <v>1888</v>
      </c>
      <c r="N198" s="25" t="s">
        <v>1889</v>
      </c>
      <c r="O198" s="25"/>
      <c r="P198" s="25"/>
      <c r="Q198" s="25"/>
      <c r="R198" s="25"/>
      <c r="S198" s="25"/>
      <c r="T198" s="25"/>
      <c r="U198" s="25"/>
      <c r="V198" s="25"/>
      <c r="W198" s="25" t="s">
        <v>1890</v>
      </c>
      <c r="X198" s="25" t="s">
        <v>1891</v>
      </c>
      <c r="Y198" s="25" t="s">
        <v>1892</v>
      </c>
      <c r="Z198" s="25"/>
      <c r="AA198" s="25"/>
      <c r="AB198" s="25"/>
      <c r="AC198" s="25"/>
      <c r="AD198" s="25"/>
      <c r="AE198" s="28">
        <v>2</v>
      </c>
      <c r="AF198" s="28" t="s">
        <v>64</v>
      </c>
      <c r="AG198" s="29" t="s">
        <v>65</v>
      </c>
      <c r="AH198" s="30"/>
      <c r="AI198" s="31" t="s">
        <v>66</v>
      </c>
      <c r="AJ198" s="32" t="s">
        <v>6938</v>
      </c>
      <c r="AK198" s="33" t="s">
        <v>67</v>
      </c>
      <c r="AL198" s="34">
        <v>45568</v>
      </c>
      <c r="AM198" s="35" t="s">
        <v>66</v>
      </c>
      <c r="AN198" s="36"/>
      <c r="AO198" s="36"/>
      <c r="AP198" s="36"/>
      <c r="AQ198" s="37">
        <f t="shared" ref="AQ198:AQ261" si="12">+COUNTA(AT198,AZ198,BF198,BL198,BR198)</f>
        <v>0</v>
      </c>
      <c r="AR198" s="38">
        <f t="shared" ref="AR198:AR261" si="13">+COUNTA(BX198,CD198,CJ198,CP198,CV198)</f>
        <v>0</v>
      </c>
      <c r="AS198" s="39">
        <f t="shared" ref="AS198:AS261" si="14">+AQ198+AR198</f>
        <v>0</v>
      </c>
      <c r="AT198" s="91"/>
      <c r="AU198" s="92" t="s">
        <v>1356</v>
      </c>
      <c r="AV198" s="93"/>
      <c r="AW198" s="94"/>
      <c r="AX198" s="93"/>
      <c r="AY198" s="95"/>
      <c r="AZ198" s="91"/>
      <c r="BA198" s="92" t="s">
        <v>1356</v>
      </c>
      <c r="BB198" s="93"/>
      <c r="BC198" s="95"/>
      <c r="BD198" s="93"/>
      <c r="BE198" s="95"/>
      <c r="BF198" s="91"/>
      <c r="BG198" s="92" t="s">
        <v>1356</v>
      </c>
      <c r="BH198" s="93"/>
      <c r="BI198" s="95"/>
      <c r="BJ198" s="93"/>
      <c r="BK198" s="95"/>
      <c r="BL198" s="91"/>
      <c r="BM198" s="92" t="s">
        <v>1356</v>
      </c>
      <c r="BN198" s="93"/>
      <c r="BO198" s="95"/>
      <c r="BP198" s="93"/>
      <c r="BQ198" s="95"/>
      <c r="BR198" s="91"/>
      <c r="BS198" s="92" t="s">
        <v>1356</v>
      </c>
      <c r="BT198" s="93"/>
      <c r="BU198" s="95"/>
      <c r="BV198" s="93"/>
      <c r="BW198" s="95"/>
      <c r="BX198" s="113"/>
      <c r="BY198" s="114" t="s">
        <v>1356</v>
      </c>
      <c r="BZ198" s="115"/>
      <c r="CA198" s="116"/>
      <c r="CB198" s="115"/>
      <c r="CC198" s="116"/>
      <c r="CD198" s="113"/>
      <c r="CE198" s="114" t="s">
        <v>1356</v>
      </c>
      <c r="CF198" s="115"/>
      <c r="CG198" s="116"/>
      <c r="CH198" s="115"/>
      <c r="CI198" s="116"/>
      <c r="CJ198" s="113"/>
      <c r="CK198" s="114" t="s">
        <v>1356</v>
      </c>
      <c r="CL198" s="115"/>
      <c r="CM198" s="116"/>
      <c r="CN198" s="115"/>
      <c r="CO198" s="116"/>
      <c r="CP198" s="113"/>
      <c r="CQ198" s="114" t="s">
        <v>1356</v>
      </c>
      <c r="CR198" s="115"/>
      <c r="CS198" s="116"/>
      <c r="CT198" s="115"/>
      <c r="CU198" s="116"/>
      <c r="CV198" s="113"/>
      <c r="CW198" s="114" t="s">
        <v>1356</v>
      </c>
      <c r="CX198" s="115"/>
      <c r="CY198" s="116"/>
      <c r="CZ198" s="115"/>
      <c r="DA198" s="116"/>
      <c r="DB198" s="128" t="s">
        <v>7085</v>
      </c>
      <c r="DC198" s="128" t="s">
        <v>105</v>
      </c>
    </row>
    <row r="199" spans="1:107" s="40" customFormat="1" ht="14.55" customHeight="1" x14ac:dyDescent="0.3">
      <c r="A199" s="25" t="s">
        <v>3500</v>
      </c>
      <c r="B199" s="25" t="s">
        <v>3880</v>
      </c>
      <c r="C199" s="25" t="s">
        <v>3881</v>
      </c>
      <c r="D199" s="25" t="s">
        <v>1893</v>
      </c>
      <c r="E199" s="25" t="s">
        <v>1894</v>
      </c>
      <c r="F199" s="25" t="s">
        <v>567</v>
      </c>
      <c r="G199" s="26" t="s">
        <v>72</v>
      </c>
      <c r="H199" s="27" t="s">
        <v>251</v>
      </c>
      <c r="I199" s="26">
        <v>1701</v>
      </c>
      <c r="J199" s="26">
        <v>170150</v>
      </c>
      <c r="K199" s="28">
        <v>4</v>
      </c>
      <c r="L199" s="25" t="s">
        <v>401</v>
      </c>
      <c r="M199" s="25" t="s">
        <v>1895</v>
      </c>
      <c r="N199" s="25" t="s">
        <v>1896</v>
      </c>
      <c r="O199" s="25"/>
      <c r="P199" s="25"/>
      <c r="Q199" s="25" t="s">
        <v>1897</v>
      </c>
      <c r="R199" s="25" t="s">
        <v>146</v>
      </c>
      <c r="S199" s="25"/>
      <c r="T199" s="25"/>
      <c r="U199" s="25"/>
      <c r="V199" s="25"/>
      <c r="W199" s="25" t="s">
        <v>1898</v>
      </c>
      <c r="X199" s="25" t="s">
        <v>1899</v>
      </c>
      <c r="Y199" s="25" t="s">
        <v>1900</v>
      </c>
      <c r="Z199" s="25"/>
      <c r="AA199" s="25"/>
      <c r="AB199" s="25">
        <v>170150096</v>
      </c>
      <c r="AC199" s="25">
        <v>170150096009</v>
      </c>
      <c r="AD199" s="25">
        <v>170150096009001</v>
      </c>
      <c r="AE199" s="28">
        <v>2</v>
      </c>
      <c r="AF199" s="28" t="s">
        <v>64</v>
      </c>
      <c r="AG199" s="29" t="s">
        <v>65</v>
      </c>
      <c r="AH199" s="30"/>
      <c r="AI199" s="31" t="s">
        <v>65</v>
      </c>
      <c r="AJ199" s="32" t="s">
        <v>6938</v>
      </c>
      <c r="AK199" s="33" t="s">
        <v>92</v>
      </c>
      <c r="AL199" s="34">
        <v>45579</v>
      </c>
      <c r="AM199" s="36"/>
      <c r="AN199" s="36"/>
      <c r="AO199" s="36"/>
      <c r="AP199" s="36"/>
      <c r="AQ199" s="37">
        <f t="shared" si="12"/>
        <v>0</v>
      </c>
      <c r="AR199" s="38">
        <f t="shared" si="13"/>
        <v>0</v>
      </c>
      <c r="AS199" s="39">
        <f t="shared" si="14"/>
        <v>0</v>
      </c>
      <c r="AT199" s="91"/>
      <c r="AU199" s="92" t="s">
        <v>1356</v>
      </c>
      <c r="AV199" s="93"/>
      <c r="AW199" s="94"/>
      <c r="AX199" s="93"/>
      <c r="AY199" s="95"/>
      <c r="AZ199" s="91"/>
      <c r="BA199" s="92" t="s">
        <v>1356</v>
      </c>
      <c r="BB199" s="93"/>
      <c r="BC199" s="95"/>
      <c r="BD199" s="93"/>
      <c r="BE199" s="95"/>
      <c r="BF199" s="91"/>
      <c r="BG199" s="92" t="s">
        <v>1356</v>
      </c>
      <c r="BH199" s="93"/>
      <c r="BI199" s="95"/>
      <c r="BJ199" s="93"/>
      <c r="BK199" s="95"/>
      <c r="BL199" s="91"/>
      <c r="BM199" s="92" t="s">
        <v>1356</v>
      </c>
      <c r="BN199" s="93"/>
      <c r="BO199" s="95"/>
      <c r="BP199" s="93"/>
      <c r="BQ199" s="95"/>
      <c r="BR199" s="91"/>
      <c r="BS199" s="92" t="s">
        <v>1356</v>
      </c>
      <c r="BT199" s="93"/>
      <c r="BU199" s="95"/>
      <c r="BV199" s="93"/>
      <c r="BW199" s="95"/>
      <c r="BX199" s="113"/>
      <c r="BY199" s="114" t="s">
        <v>1356</v>
      </c>
      <c r="BZ199" s="115"/>
      <c r="CA199" s="116"/>
      <c r="CB199" s="115"/>
      <c r="CC199" s="116"/>
      <c r="CD199" s="113"/>
      <c r="CE199" s="114" t="s">
        <v>1356</v>
      </c>
      <c r="CF199" s="115"/>
      <c r="CG199" s="116"/>
      <c r="CH199" s="115"/>
      <c r="CI199" s="116"/>
      <c r="CJ199" s="113"/>
      <c r="CK199" s="114" t="s">
        <v>1356</v>
      </c>
      <c r="CL199" s="115"/>
      <c r="CM199" s="116"/>
      <c r="CN199" s="115"/>
      <c r="CO199" s="116"/>
      <c r="CP199" s="113"/>
      <c r="CQ199" s="114" t="s">
        <v>1356</v>
      </c>
      <c r="CR199" s="115"/>
      <c r="CS199" s="116"/>
      <c r="CT199" s="115"/>
      <c r="CU199" s="116"/>
      <c r="CV199" s="113"/>
      <c r="CW199" s="114" t="s">
        <v>1356</v>
      </c>
      <c r="CX199" s="115"/>
      <c r="CY199" s="116"/>
      <c r="CZ199" s="115"/>
      <c r="DA199" s="116"/>
      <c r="DB199" s="128" t="s">
        <v>7085</v>
      </c>
      <c r="DC199" s="128" t="s">
        <v>92</v>
      </c>
    </row>
    <row r="200" spans="1:107" s="40" customFormat="1" ht="14.55" customHeight="1" x14ac:dyDescent="0.3">
      <c r="A200" s="25" t="s">
        <v>3500</v>
      </c>
      <c r="B200" s="25" t="s">
        <v>3882</v>
      </c>
      <c r="C200" s="25" t="s">
        <v>3883</v>
      </c>
      <c r="D200" s="25" t="s">
        <v>1901</v>
      </c>
      <c r="E200" s="25" t="s">
        <v>1902</v>
      </c>
      <c r="F200" s="25" t="s">
        <v>567</v>
      </c>
      <c r="G200" s="26" t="s">
        <v>72</v>
      </c>
      <c r="H200" s="27" t="s">
        <v>251</v>
      </c>
      <c r="I200" s="26">
        <v>1701</v>
      </c>
      <c r="J200" s="26">
        <v>170150</v>
      </c>
      <c r="K200" s="28">
        <v>3</v>
      </c>
      <c r="L200" s="25" t="s">
        <v>1903</v>
      </c>
      <c r="M200" s="25" t="s">
        <v>1904</v>
      </c>
      <c r="N200" s="25" t="s">
        <v>1905</v>
      </c>
      <c r="O200" s="25"/>
      <c r="P200" s="25"/>
      <c r="Q200" s="25"/>
      <c r="R200" s="25"/>
      <c r="S200" s="25"/>
      <c r="T200" s="25"/>
      <c r="U200" s="25"/>
      <c r="V200" s="25"/>
      <c r="W200" s="25" t="s">
        <v>1906</v>
      </c>
      <c r="X200" s="25" t="s">
        <v>1907</v>
      </c>
      <c r="Y200" s="25" t="s">
        <v>1908</v>
      </c>
      <c r="Z200" s="25">
        <v>-78.487606</v>
      </c>
      <c r="AA200" s="25">
        <v>-0.16031300000000001</v>
      </c>
      <c r="AB200" s="25">
        <v>170150113</v>
      </c>
      <c r="AC200" s="25">
        <v>170150113007</v>
      </c>
      <c r="AD200" s="25">
        <v>170150113007001</v>
      </c>
      <c r="AE200" s="28">
        <v>2</v>
      </c>
      <c r="AF200" s="28" t="s">
        <v>64</v>
      </c>
      <c r="AG200" s="29" t="s">
        <v>65</v>
      </c>
      <c r="AH200" s="30"/>
      <c r="AI200" s="31" t="s">
        <v>66</v>
      </c>
      <c r="AJ200" s="32" t="s">
        <v>6938</v>
      </c>
      <c r="AK200" s="33" t="s">
        <v>67</v>
      </c>
      <c r="AL200" s="34">
        <v>45565</v>
      </c>
      <c r="AM200" s="36" t="s">
        <v>66</v>
      </c>
      <c r="AN200" s="36"/>
      <c r="AO200" s="36"/>
      <c r="AP200" s="36"/>
      <c r="AQ200" s="37">
        <f t="shared" si="12"/>
        <v>0</v>
      </c>
      <c r="AR200" s="38">
        <f t="shared" si="13"/>
        <v>0</v>
      </c>
      <c r="AS200" s="39">
        <f t="shared" si="14"/>
        <v>0</v>
      </c>
      <c r="AT200" s="91"/>
      <c r="AU200" s="92" t="s">
        <v>1356</v>
      </c>
      <c r="AV200" s="93"/>
      <c r="AW200" s="94"/>
      <c r="AX200" s="93"/>
      <c r="AY200" s="95"/>
      <c r="AZ200" s="91"/>
      <c r="BA200" s="92" t="s">
        <v>1356</v>
      </c>
      <c r="BB200" s="93"/>
      <c r="BC200" s="95"/>
      <c r="BD200" s="93"/>
      <c r="BE200" s="95"/>
      <c r="BF200" s="91"/>
      <c r="BG200" s="92" t="s">
        <v>1356</v>
      </c>
      <c r="BH200" s="93"/>
      <c r="BI200" s="95"/>
      <c r="BJ200" s="93"/>
      <c r="BK200" s="95"/>
      <c r="BL200" s="91"/>
      <c r="BM200" s="92" t="s">
        <v>1356</v>
      </c>
      <c r="BN200" s="93"/>
      <c r="BO200" s="95"/>
      <c r="BP200" s="93"/>
      <c r="BQ200" s="95"/>
      <c r="BR200" s="91"/>
      <c r="BS200" s="92" t="s">
        <v>1356</v>
      </c>
      <c r="BT200" s="93"/>
      <c r="BU200" s="95"/>
      <c r="BV200" s="93"/>
      <c r="BW200" s="95"/>
      <c r="BX200" s="113"/>
      <c r="BY200" s="114"/>
      <c r="BZ200" s="115"/>
      <c r="CA200" s="116"/>
      <c r="CB200" s="115"/>
      <c r="CC200" s="116"/>
      <c r="CD200" s="113"/>
      <c r="CE200" s="114" t="s">
        <v>1356</v>
      </c>
      <c r="CF200" s="115"/>
      <c r="CG200" s="116"/>
      <c r="CH200" s="115"/>
      <c r="CI200" s="116"/>
      <c r="CJ200" s="113"/>
      <c r="CK200" s="114" t="s">
        <v>1356</v>
      </c>
      <c r="CL200" s="115"/>
      <c r="CM200" s="116"/>
      <c r="CN200" s="115"/>
      <c r="CO200" s="116"/>
      <c r="CP200" s="113"/>
      <c r="CQ200" s="114" t="s">
        <v>1356</v>
      </c>
      <c r="CR200" s="115"/>
      <c r="CS200" s="116"/>
      <c r="CT200" s="115"/>
      <c r="CU200" s="116"/>
      <c r="CV200" s="113"/>
      <c r="CW200" s="114" t="s">
        <v>1356</v>
      </c>
      <c r="CX200" s="115"/>
      <c r="CY200" s="116"/>
      <c r="CZ200" s="115"/>
      <c r="DA200" s="116"/>
      <c r="DB200" s="128" t="s">
        <v>7085</v>
      </c>
      <c r="DC200" s="128" t="s">
        <v>105</v>
      </c>
    </row>
    <row r="201" spans="1:107" s="40" customFormat="1" ht="14.55" customHeight="1" x14ac:dyDescent="0.3">
      <c r="A201" s="25" t="s">
        <v>3500</v>
      </c>
      <c r="B201" s="25" t="s">
        <v>3884</v>
      </c>
      <c r="C201" s="25" t="s">
        <v>3885</v>
      </c>
      <c r="D201" s="25" t="s">
        <v>1909</v>
      </c>
      <c r="E201" s="25" t="s">
        <v>70</v>
      </c>
      <c r="F201" s="25" t="s">
        <v>169</v>
      </c>
      <c r="G201" s="26" t="s">
        <v>72</v>
      </c>
      <c r="H201" s="27" t="s">
        <v>251</v>
      </c>
      <c r="I201" s="26">
        <v>1701</v>
      </c>
      <c r="J201" s="26">
        <v>170150</v>
      </c>
      <c r="K201" s="28">
        <v>4</v>
      </c>
      <c r="L201" s="25" t="s">
        <v>1910</v>
      </c>
      <c r="M201" s="25" t="s">
        <v>1911</v>
      </c>
      <c r="N201" s="25" t="s">
        <v>221</v>
      </c>
      <c r="O201" s="25"/>
      <c r="P201" s="25"/>
      <c r="Q201" s="25"/>
      <c r="R201" s="25"/>
      <c r="S201" s="25"/>
      <c r="T201" s="25"/>
      <c r="U201" s="25"/>
      <c r="V201" s="25"/>
      <c r="W201" s="25" t="s">
        <v>1912</v>
      </c>
      <c r="X201" s="25"/>
      <c r="Y201" s="25"/>
      <c r="Z201" s="25"/>
      <c r="AA201" s="25"/>
      <c r="AB201" s="25"/>
      <c r="AC201" s="25"/>
      <c r="AD201" s="25"/>
      <c r="AE201" s="28">
        <v>2</v>
      </c>
      <c r="AF201" s="28" t="s">
        <v>64</v>
      </c>
      <c r="AG201" s="29" t="s">
        <v>65</v>
      </c>
      <c r="AH201" s="30"/>
      <c r="AI201" s="31" t="s">
        <v>65</v>
      </c>
      <c r="AJ201" s="32" t="s">
        <v>6938</v>
      </c>
      <c r="AK201" s="33" t="s">
        <v>92</v>
      </c>
      <c r="AL201" s="34">
        <v>45579</v>
      </c>
      <c r="AM201" s="36"/>
      <c r="AN201" s="36"/>
      <c r="AO201" s="36"/>
      <c r="AP201" s="36"/>
      <c r="AQ201" s="37">
        <f t="shared" si="12"/>
        <v>0</v>
      </c>
      <c r="AR201" s="38">
        <f t="shared" si="13"/>
        <v>0</v>
      </c>
      <c r="AS201" s="39">
        <f t="shared" si="14"/>
        <v>0</v>
      </c>
      <c r="AT201" s="91"/>
      <c r="AU201" s="92" t="s">
        <v>1356</v>
      </c>
      <c r="AV201" s="93"/>
      <c r="AW201" s="94"/>
      <c r="AX201" s="93"/>
      <c r="AY201" s="95"/>
      <c r="AZ201" s="91"/>
      <c r="BA201" s="92" t="s">
        <v>1356</v>
      </c>
      <c r="BB201" s="93"/>
      <c r="BC201" s="95"/>
      <c r="BD201" s="93"/>
      <c r="BE201" s="95"/>
      <c r="BF201" s="91"/>
      <c r="BG201" s="92" t="s">
        <v>1356</v>
      </c>
      <c r="BH201" s="93"/>
      <c r="BI201" s="95"/>
      <c r="BJ201" s="93"/>
      <c r="BK201" s="95"/>
      <c r="BL201" s="91"/>
      <c r="BM201" s="92" t="s">
        <v>1356</v>
      </c>
      <c r="BN201" s="93"/>
      <c r="BO201" s="95"/>
      <c r="BP201" s="93"/>
      <c r="BQ201" s="95"/>
      <c r="BR201" s="91"/>
      <c r="BS201" s="92" t="s">
        <v>1356</v>
      </c>
      <c r="BT201" s="93"/>
      <c r="BU201" s="95"/>
      <c r="BV201" s="93"/>
      <c r="BW201" s="95"/>
      <c r="BX201" s="113"/>
      <c r="BY201" s="114" t="s">
        <v>1356</v>
      </c>
      <c r="BZ201" s="115"/>
      <c r="CA201" s="116"/>
      <c r="CB201" s="115"/>
      <c r="CC201" s="116"/>
      <c r="CD201" s="113"/>
      <c r="CE201" s="114" t="s">
        <v>1356</v>
      </c>
      <c r="CF201" s="115"/>
      <c r="CG201" s="116"/>
      <c r="CH201" s="115"/>
      <c r="CI201" s="116"/>
      <c r="CJ201" s="113"/>
      <c r="CK201" s="114" t="s">
        <v>1356</v>
      </c>
      <c r="CL201" s="115"/>
      <c r="CM201" s="116"/>
      <c r="CN201" s="115"/>
      <c r="CO201" s="116"/>
      <c r="CP201" s="113"/>
      <c r="CQ201" s="114" t="s">
        <v>1356</v>
      </c>
      <c r="CR201" s="115"/>
      <c r="CS201" s="116"/>
      <c r="CT201" s="115"/>
      <c r="CU201" s="116"/>
      <c r="CV201" s="113"/>
      <c r="CW201" s="114" t="s">
        <v>1356</v>
      </c>
      <c r="CX201" s="115"/>
      <c r="CY201" s="116"/>
      <c r="CZ201" s="115"/>
      <c r="DA201" s="116"/>
      <c r="DB201" s="128" t="s">
        <v>7085</v>
      </c>
      <c r="DC201" s="128" t="s">
        <v>92</v>
      </c>
    </row>
    <row r="202" spans="1:107" s="40" customFormat="1" ht="14.55" customHeight="1" x14ac:dyDescent="0.3">
      <c r="A202" s="25" t="s">
        <v>3500</v>
      </c>
      <c r="B202" s="25" t="s">
        <v>3886</v>
      </c>
      <c r="C202" s="25" t="s">
        <v>3887</v>
      </c>
      <c r="D202" s="25" t="s">
        <v>1913</v>
      </c>
      <c r="E202" s="25" t="s">
        <v>1914</v>
      </c>
      <c r="F202" s="25" t="s">
        <v>420</v>
      </c>
      <c r="G202" s="26" t="s">
        <v>72</v>
      </c>
      <c r="H202" s="27" t="s">
        <v>251</v>
      </c>
      <c r="I202" s="26">
        <v>1701</v>
      </c>
      <c r="J202" s="26">
        <v>170150</v>
      </c>
      <c r="K202" s="28">
        <v>4</v>
      </c>
      <c r="L202" s="25" t="s">
        <v>1816</v>
      </c>
      <c r="M202" s="25" t="s">
        <v>1915</v>
      </c>
      <c r="N202" s="25" t="s">
        <v>1916</v>
      </c>
      <c r="O202" s="25"/>
      <c r="P202" s="25"/>
      <c r="Q202" s="25"/>
      <c r="R202" s="25" t="s">
        <v>113</v>
      </c>
      <c r="S202" s="25"/>
      <c r="T202" s="25"/>
      <c r="U202" s="25" t="s">
        <v>1755</v>
      </c>
      <c r="V202" s="25"/>
      <c r="W202" s="25" t="s">
        <v>1917</v>
      </c>
      <c r="X202" s="25" t="s">
        <v>1918</v>
      </c>
      <c r="Y202" s="25" t="s">
        <v>1919</v>
      </c>
      <c r="Z202" s="25">
        <v>-78.477244734785927</v>
      </c>
      <c r="AA202" s="25">
        <v>-0.1115637312680592</v>
      </c>
      <c r="AB202" s="25">
        <v>170150073</v>
      </c>
      <c r="AC202" s="25">
        <v>170150073010</v>
      </c>
      <c r="AD202" s="25">
        <v>170150073010012</v>
      </c>
      <c r="AE202" s="28">
        <v>2</v>
      </c>
      <c r="AF202" s="28" t="s">
        <v>64</v>
      </c>
      <c r="AG202" s="29" t="s">
        <v>65</v>
      </c>
      <c r="AH202" s="30"/>
      <c r="AI202" s="31" t="s">
        <v>66</v>
      </c>
      <c r="AJ202" s="32" t="s">
        <v>6938</v>
      </c>
      <c r="AK202" s="33" t="s">
        <v>67</v>
      </c>
      <c r="AL202" s="34">
        <v>45569</v>
      </c>
      <c r="AM202" s="35" t="s">
        <v>66</v>
      </c>
      <c r="AN202" s="36"/>
      <c r="AO202" s="36"/>
      <c r="AP202" s="36"/>
      <c r="AQ202" s="37">
        <f t="shared" si="12"/>
        <v>0</v>
      </c>
      <c r="AR202" s="38">
        <f t="shared" si="13"/>
        <v>0</v>
      </c>
      <c r="AS202" s="39">
        <f t="shared" si="14"/>
        <v>0</v>
      </c>
      <c r="AT202" s="91"/>
      <c r="AU202" s="92" t="s">
        <v>1356</v>
      </c>
      <c r="AV202" s="93"/>
      <c r="AW202" s="94"/>
      <c r="AX202" s="93"/>
      <c r="AY202" s="95"/>
      <c r="AZ202" s="91"/>
      <c r="BA202" s="92" t="s">
        <v>1356</v>
      </c>
      <c r="BB202" s="93"/>
      <c r="BC202" s="95"/>
      <c r="BD202" s="93"/>
      <c r="BE202" s="95"/>
      <c r="BF202" s="91"/>
      <c r="BG202" s="92" t="s">
        <v>1356</v>
      </c>
      <c r="BH202" s="93"/>
      <c r="BI202" s="95"/>
      <c r="BJ202" s="93"/>
      <c r="BK202" s="95"/>
      <c r="BL202" s="91"/>
      <c r="BM202" s="92" t="s">
        <v>1356</v>
      </c>
      <c r="BN202" s="93"/>
      <c r="BO202" s="95"/>
      <c r="BP202" s="93"/>
      <c r="BQ202" s="95"/>
      <c r="BR202" s="91"/>
      <c r="BS202" s="92" t="s">
        <v>1356</v>
      </c>
      <c r="BT202" s="93"/>
      <c r="BU202" s="95"/>
      <c r="BV202" s="93"/>
      <c r="BW202" s="95"/>
      <c r="BX202" s="113"/>
      <c r="BY202" s="114" t="s">
        <v>1356</v>
      </c>
      <c r="BZ202" s="115"/>
      <c r="CA202" s="116"/>
      <c r="CB202" s="115"/>
      <c r="CC202" s="116"/>
      <c r="CD202" s="113"/>
      <c r="CE202" s="114" t="s">
        <v>1356</v>
      </c>
      <c r="CF202" s="115"/>
      <c r="CG202" s="116"/>
      <c r="CH202" s="115"/>
      <c r="CI202" s="116"/>
      <c r="CJ202" s="113"/>
      <c r="CK202" s="114" t="s">
        <v>1356</v>
      </c>
      <c r="CL202" s="115"/>
      <c r="CM202" s="116"/>
      <c r="CN202" s="115"/>
      <c r="CO202" s="116"/>
      <c r="CP202" s="113"/>
      <c r="CQ202" s="114" t="s">
        <v>1356</v>
      </c>
      <c r="CR202" s="115"/>
      <c r="CS202" s="116"/>
      <c r="CT202" s="115"/>
      <c r="CU202" s="116"/>
      <c r="CV202" s="113"/>
      <c r="CW202" s="114" t="s">
        <v>1356</v>
      </c>
      <c r="CX202" s="115"/>
      <c r="CY202" s="116"/>
      <c r="CZ202" s="115"/>
      <c r="DA202" s="116"/>
      <c r="DB202" s="128" t="s">
        <v>7085</v>
      </c>
      <c r="DC202" s="131" t="s">
        <v>6751</v>
      </c>
    </row>
    <row r="203" spans="1:107" s="40" customFormat="1" ht="14.55" customHeight="1" x14ac:dyDescent="0.3">
      <c r="A203" s="25" t="s">
        <v>3500</v>
      </c>
      <c r="B203" s="25" t="s">
        <v>3888</v>
      </c>
      <c r="C203" s="25" t="s">
        <v>3889</v>
      </c>
      <c r="D203" s="25" t="s">
        <v>1920</v>
      </c>
      <c r="E203" s="25"/>
      <c r="F203" s="25" t="s">
        <v>220</v>
      </c>
      <c r="G203" s="26" t="s">
        <v>72</v>
      </c>
      <c r="H203" s="27" t="s">
        <v>251</v>
      </c>
      <c r="I203" s="26">
        <v>1701</v>
      </c>
      <c r="J203" s="26">
        <v>170150</v>
      </c>
      <c r="K203" s="28">
        <v>4</v>
      </c>
      <c r="L203" s="25" t="s">
        <v>580</v>
      </c>
      <c r="M203" s="25" t="s">
        <v>1204</v>
      </c>
      <c r="N203" s="25" t="s">
        <v>607</v>
      </c>
      <c r="O203" s="25"/>
      <c r="P203" s="25"/>
      <c r="Q203" s="25"/>
      <c r="R203" s="25"/>
      <c r="S203" s="25"/>
      <c r="T203" s="25"/>
      <c r="U203" s="25"/>
      <c r="V203" s="25"/>
      <c r="W203" s="25"/>
      <c r="X203" s="25" t="s">
        <v>1921</v>
      </c>
      <c r="Y203" s="25" t="s">
        <v>1922</v>
      </c>
      <c r="Z203" s="25"/>
      <c r="AA203" s="25"/>
      <c r="AB203" s="25"/>
      <c r="AC203" s="25"/>
      <c r="AD203" s="25"/>
      <c r="AE203" s="28">
        <v>2</v>
      </c>
      <c r="AF203" s="28" t="s">
        <v>64</v>
      </c>
      <c r="AG203" s="29" t="s">
        <v>65</v>
      </c>
      <c r="AH203" s="30"/>
      <c r="AI203" s="31" t="s">
        <v>65</v>
      </c>
      <c r="AJ203" s="32" t="s">
        <v>6938</v>
      </c>
      <c r="AK203" s="33" t="s">
        <v>92</v>
      </c>
      <c r="AL203" s="34">
        <v>45579</v>
      </c>
      <c r="AM203" s="36"/>
      <c r="AN203" s="36"/>
      <c r="AO203" s="36"/>
      <c r="AP203" s="36"/>
      <c r="AQ203" s="37">
        <f t="shared" si="12"/>
        <v>0</v>
      </c>
      <c r="AR203" s="38">
        <f t="shared" si="13"/>
        <v>0</v>
      </c>
      <c r="AS203" s="39">
        <f t="shared" si="14"/>
        <v>0</v>
      </c>
      <c r="AT203" s="91"/>
      <c r="AU203" s="92" t="s">
        <v>1356</v>
      </c>
      <c r="AV203" s="93"/>
      <c r="AW203" s="94"/>
      <c r="AX203" s="93"/>
      <c r="AY203" s="95"/>
      <c r="AZ203" s="91"/>
      <c r="BA203" s="92" t="s">
        <v>1356</v>
      </c>
      <c r="BB203" s="93"/>
      <c r="BC203" s="95"/>
      <c r="BD203" s="93"/>
      <c r="BE203" s="95"/>
      <c r="BF203" s="91"/>
      <c r="BG203" s="92" t="s">
        <v>1356</v>
      </c>
      <c r="BH203" s="93"/>
      <c r="BI203" s="95"/>
      <c r="BJ203" s="93"/>
      <c r="BK203" s="95"/>
      <c r="BL203" s="91"/>
      <c r="BM203" s="92" t="s">
        <v>1356</v>
      </c>
      <c r="BN203" s="93"/>
      <c r="BO203" s="95"/>
      <c r="BP203" s="93"/>
      <c r="BQ203" s="95"/>
      <c r="BR203" s="91"/>
      <c r="BS203" s="92" t="s">
        <v>1356</v>
      </c>
      <c r="BT203" s="93"/>
      <c r="BU203" s="95"/>
      <c r="BV203" s="93"/>
      <c r="BW203" s="95"/>
      <c r="BX203" s="113"/>
      <c r="BY203" s="114" t="s">
        <v>1356</v>
      </c>
      <c r="BZ203" s="115"/>
      <c r="CA203" s="116"/>
      <c r="CB203" s="115"/>
      <c r="CC203" s="116"/>
      <c r="CD203" s="113"/>
      <c r="CE203" s="114" t="s">
        <v>1356</v>
      </c>
      <c r="CF203" s="115"/>
      <c r="CG203" s="116"/>
      <c r="CH203" s="115"/>
      <c r="CI203" s="116"/>
      <c r="CJ203" s="113"/>
      <c r="CK203" s="114" t="s">
        <v>1356</v>
      </c>
      <c r="CL203" s="115"/>
      <c r="CM203" s="116"/>
      <c r="CN203" s="115"/>
      <c r="CO203" s="116"/>
      <c r="CP203" s="113"/>
      <c r="CQ203" s="114" t="s">
        <v>1356</v>
      </c>
      <c r="CR203" s="115"/>
      <c r="CS203" s="116"/>
      <c r="CT203" s="115"/>
      <c r="CU203" s="116"/>
      <c r="CV203" s="113"/>
      <c r="CW203" s="114" t="s">
        <v>1356</v>
      </c>
      <c r="CX203" s="115"/>
      <c r="CY203" s="116"/>
      <c r="CZ203" s="115"/>
      <c r="DA203" s="116"/>
      <c r="DB203" s="128" t="s">
        <v>7085</v>
      </c>
      <c r="DC203" s="128" t="s">
        <v>92</v>
      </c>
    </row>
    <row r="204" spans="1:107" s="40" customFormat="1" ht="14.55" customHeight="1" x14ac:dyDescent="0.3">
      <c r="A204" s="25" t="s">
        <v>3500</v>
      </c>
      <c r="B204" s="25" t="s">
        <v>3890</v>
      </c>
      <c r="C204" s="25" t="s">
        <v>3891</v>
      </c>
      <c r="D204" s="25" t="s">
        <v>1923</v>
      </c>
      <c r="E204" s="25" t="s">
        <v>70</v>
      </c>
      <c r="F204" s="25" t="s">
        <v>439</v>
      </c>
      <c r="G204" s="26" t="s">
        <v>72</v>
      </c>
      <c r="H204" s="27" t="s">
        <v>251</v>
      </c>
      <c r="I204" s="26">
        <v>1701</v>
      </c>
      <c r="J204" s="26">
        <v>170150</v>
      </c>
      <c r="K204" s="28">
        <v>4</v>
      </c>
      <c r="L204" s="25" t="s">
        <v>1783</v>
      </c>
      <c r="M204" s="25" t="s">
        <v>1924</v>
      </c>
      <c r="N204" s="25" t="s">
        <v>1925</v>
      </c>
      <c r="O204" s="25"/>
      <c r="P204" s="25"/>
      <c r="Q204" s="25"/>
      <c r="R204" s="25"/>
      <c r="S204" s="25"/>
      <c r="T204" s="25"/>
      <c r="U204" s="25"/>
      <c r="V204" s="25"/>
      <c r="W204" s="25" t="s">
        <v>1926</v>
      </c>
      <c r="X204" s="25" t="s">
        <v>1927</v>
      </c>
      <c r="Y204" s="25" t="s">
        <v>1928</v>
      </c>
      <c r="Z204" s="25"/>
      <c r="AA204" s="25"/>
      <c r="AB204" s="25"/>
      <c r="AC204" s="25"/>
      <c r="AD204" s="25"/>
      <c r="AE204" s="28">
        <v>2</v>
      </c>
      <c r="AF204" s="28" t="s">
        <v>64</v>
      </c>
      <c r="AG204" s="29" t="s">
        <v>65</v>
      </c>
      <c r="AH204" s="30"/>
      <c r="AI204" s="31" t="s">
        <v>66</v>
      </c>
      <c r="AJ204" s="32" t="s">
        <v>6938</v>
      </c>
      <c r="AK204" s="33" t="s">
        <v>67</v>
      </c>
      <c r="AL204" s="34">
        <v>45569</v>
      </c>
      <c r="AM204" s="35" t="s">
        <v>66</v>
      </c>
      <c r="AN204" s="36"/>
      <c r="AO204" s="36"/>
      <c r="AP204" s="36"/>
      <c r="AQ204" s="37">
        <f t="shared" si="12"/>
        <v>0</v>
      </c>
      <c r="AR204" s="38">
        <f t="shared" si="13"/>
        <v>0</v>
      </c>
      <c r="AS204" s="39">
        <f t="shared" si="14"/>
        <v>0</v>
      </c>
      <c r="AT204" s="91"/>
      <c r="AU204" s="92" t="s">
        <v>1356</v>
      </c>
      <c r="AV204" s="93"/>
      <c r="AW204" s="94"/>
      <c r="AX204" s="93"/>
      <c r="AY204" s="95"/>
      <c r="AZ204" s="91"/>
      <c r="BA204" s="92" t="s">
        <v>1356</v>
      </c>
      <c r="BB204" s="93"/>
      <c r="BC204" s="95"/>
      <c r="BD204" s="93"/>
      <c r="BE204" s="95"/>
      <c r="BF204" s="91"/>
      <c r="BG204" s="92" t="s">
        <v>1356</v>
      </c>
      <c r="BH204" s="93"/>
      <c r="BI204" s="95"/>
      <c r="BJ204" s="93"/>
      <c r="BK204" s="95"/>
      <c r="BL204" s="91"/>
      <c r="BM204" s="92" t="s">
        <v>1356</v>
      </c>
      <c r="BN204" s="93"/>
      <c r="BO204" s="95"/>
      <c r="BP204" s="93"/>
      <c r="BQ204" s="95"/>
      <c r="BR204" s="91"/>
      <c r="BS204" s="92" t="s">
        <v>1356</v>
      </c>
      <c r="BT204" s="93"/>
      <c r="BU204" s="95"/>
      <c r="BV204" s="93"/>
      <c r="BW204" s="95"/>
      <c r="BX204" s="113"/>
      <c r="BY204" s="114" t="s">
        <v>1356</v>
      </c>
      <c r="BZ204" s="115"/>
      <c r="CA204" s="116"/>
      <c r="CB204" s="115"/>
      <c r="CC204" s="116"/>
      <c r="CD204" s="113"/>
      <c r="CE204" s="114" t="s">
        <v>1356</v>
      </c>
      <c r="CF204" s="115"/>
      <c r="CG204" s="116"/>
      <c r="CH204" s="115"/>
      <c r="CI204" s="116"/>
      <c r="CJ204" s="113"/>
      <c r="CK204" s="114" t="s">
        <v>1356</v>
      </c>
      <c r="CL204" s="115"/>
      <c r="CM204" s="116"/>
      <c r="CN204" s="115"/>
      <c r="CO204" s="116"/>
      <c r="CP204" s="113"/>
      <c r="CQ204" s="114" t="s">
        <v>1356</v>
      </c>
      <c r="CR204" s="115"/>
      <c r="CS204" s="116"/>
      <c r="CT204" s="115"/>
      <c r="CU204" s="116"/>
      <c r="CV204" s="113"/>
      <c r="CW204" s="114" t="s">
        <v>1356</v>
      </c>
      <c r="CX204" s="115"/>
      <c r="CY204" s="116"/>
      <c r="CZ204" s="115"/>
      <c r="DA204" s="116"/>
      <c r="DB204" s="128" t="s">
        <v>7085</v>
      </c>
      <c r="DC204" s="131" t="s">
        <v>6751</v>
      </c>
    </row>
    <row r="205" spans="1:107" s="40" customFormat="1" ht="14.55" customHeight="1" x14ac:dyDescent="0.3">
      <c r="A205" s="25" t="s">
        <v>3500</v>
      </c>
      <c r="B205" s="25" t="s">
        <v>3892</v>
      </c>
      <c r="C205" s="25" t="s">
        <v>3893</v>
      </c>
      <c r="D205" s="25" t="s">
        <v>1929</v>
      </c>
      <c r="E205" s="25" t="s">
        <v>1930</v>
      </c>
      <c r="F205" s="25" t="s">
        <v>233</v>
      </c>
      <c r="G205" s="26" t="s">
        <v>72</v>
      </c>
      <c r="H205" s="27" t="s">
        <v>251</v>
      </c>
      <c r="I205" s="26">
        <v>1701</v>
      </c>
      <c r="J205" s="26">
        <v>170150</v>
      </c>
      <c r="K205" s="28">
        <v>2</v>
      </c>
      <c r="L205" s="25" t="s">
        <v>1931</v>
      </c>
      <c r="M205" s="25" t="s">
        <v>1932</v>
      </c>
      <c r="N205" s="25" t="s">
        <v>1933</v>
      </c>
      <c r="O205" s="25"/>
      <c r="P205" s="25"/>
      <c r="Q205" s="25"/>
      <c r="R205" s="25" t="s">
        <v>391</v>
      </c>
      <c r="S205" s="25"/>
      <c r="T205" s="25"/>
      <c r="U205" s="25" t="s">
        <v>392</v>
      </c>
      <c r="V205" s="25"/>
      <c r="W205" s="25" t="s">
        <v>1934</v>
      </c>
      <c r="X205" s="25" t="s">
        <v>1935</v>
      </c>
      <c r="Y205" s="25" t="s">
        <v>1936</v>
      </c>
      <c r="Z205" s="25">
        <v>-78.469839870940632</v>
      </c>
      <c r="AA205" s="25">
        <v>-9.1956814388538338E-2</v>
      </c>
      <c r="AB205" s="25">
        <v>170150039</v>
      </c>
      <c r="AC205" s="25">
        <v>170150039002</v>
      </c>
      <c r="AD205" s="25">
        <v>170150039002002</v>
      </c>
      <c r="AE205" s="28">
        <v>2</v>
      </c>
      <c r="AF205" s="28" t="s">
        <v>64</v>
      </c>
      <c r="AG205" s="29" t="s">
        <v>65</v>
      </c>
      <c r="AH205" s="30"/>
      <c r="AI205" s="31" t="s">
        <v>66</v>
      </c>
      <c r="AJ205" s="32" t="s">
        <v>6938</v>
      </c>
      <c r="AK205" s="33" t="s">
        <v>67</v>
      </c>
      <c r="AL205" s="34">
        <v>45569</v>
      </c>
      <c r="AM205" s="35" t="s">
        <v>66</v>
      </c>
      <c r="AN205" s="36"/>
      <c r="AO205" s="36"/>
      <c r="AP205" s="36"/>
      <c r="AQ205" s="37">
        <f t="shared" si="12"/>
        <v>0</v>
      </c>
      <c r="AR205" s="38">
        <f t="shared" si="13"/>
        <v>0</v>
      </c>
      <c r="AS205" s="39">
        <f t="shared" si="14"/>
        <v>0</v>
      </c>
      <c r="AT205" s="91"/>
      <c r="AU205" s="92" t="s">
        <v>1356</v>
      </c>
      <c r="AV205" s="93"/>
      <c r="AW205" s="94"/>
      <c r="AX205" s="93"/>
      <c r="AY205" s="95"/>
      <c r="AZ205" s="91"/>
      <c r="BA205" s="92" t="s">
        <v>1356</v>
      </c>
      <c r="BB205" s="93"/>
      <c r="BC205" s="95"/>
      <c r="BD205" s="93"/>
      <c r="BE205" s="95"/>
      <c r="BF205" s="91"/>
      <c r="BG205" s="92" t="s">
        <v>1356</v>
      </c>
      <c r="BH205" s="93"/>
      <c r="BI205" s="95"/>
      <c r="BJ205" s="93"/>
      <c r="BK205" s="95"/>
      <c r="BL205" s="91"/>
      <c r="BM205" s="92" t="s">
        <v>1356</v>
      </c>
      <c r="BN205" s="93"/>
      <c r="BO205" s="95"/>
      <c r="BP205" s="93"/>
      <c r="BQ205" s="95"/>
      <c r="BR205" s="91"/>
      <c r="BS205" s="92" t="s">
        <v>1356</v>
      </c>
      <c r="BT205" s="93"/>
      <c r="BU205" s="95"/>
      <c r="BV205" s="93"/>
      <c r="BW205" s="95"/>
      <c r="BX205" s="113"/>
      <c r="BY205" s="114" t="s">
        <v>1356</v>
      </c>
      <c r="BZ205" s="115"/>
      <c r="CA205" s="116"/>
      <c r="CB205" s="115"/>
      <c r="CC205" s="116"/>
      <c r="CD205" s="113"/>
      <c r="CE205" s="114" t="s">
        <v>1356</v>
      </c>
      <c r="CF205" s="115"/>
      <c r="CG205" s="116"/>
      <c r="CH205" s="115"/>
      <c r="CI205" s="116"/>
      <c r="CJ205" s="113"/>
      <c r="CK205" s="114" t="s">
        <v>1356</v>
      </c>
      <c r="CL205" s="115"/>
      <c r="CM205" s="116"/>
      <c r="CN205" s="115"/>
      <c r="CO205" s="116"/>
      <c r="CP205" s="113"/>
      <c r="CQ205" s="114" t="s">
        <v>1356</v>
      </c>
      <c r="CR205" s="115"/>
      <c r="CS205" s="116"/>
      <c r="CT205" s="115"/>
      <c r="CU205" s="116"/>
      <c r="CV205" s="113"/>
      <c r="CW205" s="114" t="s">
        <v>1356</v>
      </c>
      <c r="CX205" s="115"/>
      <c r="CY205" s="116"/>
      <c r="CZ205" s="115"/>
      <c r="DA205" s="116"/>
      <c r="DB205" s="128" t="s">
        <v>7085</v>
      </c>
      <c r="DC205" s="128" t="s">
        <v>105</v>
      </c>
    </row>
    <row r="206" spans="1:107" s="40" customFormat="1" ht="14.55" customHeight="1" x14ac:dyDescent="0.3">
      <c r="A206" s="66" t="s">
        <v>3500</v>
      </c>
      <c r="B206" s="66" t="s">
        <v>3603</v>
      </c>
      <c r="C206" s="66" t="s">
        <v>3604</v>
      </c>
      <c r="D206" s="66" t="s">
        <v>603</v>
      </c>
      <c r="E206" s="66" t="s">
        <v>604</v>
      </c>
      <c r="F206" s="66" t="s">
        <v>596</v>
      </c>
      <c r="G206" s="68" t="s">
        <v>72</v>
      </c>
      <c r="H206" s="43" t="s">
        <v>251</v>
      </c>
      <c r="I206" s="68">
        <v>1701</v>
      </c>
      <c r="J206" s="68">
        <v>170150</v>
      </c>
      <c r="K206" s="69">
        <v>4</v>
      </c>
      <c r="L206" s="66" t="s">
        <v>605</v>
      </c>
      <c r="M206" s="66" t="s">
        <v>606</v>
      </c>
      <c r="N206" s="66" t="s">
        <v>607</v>
      </c>
      <c r="O206" s="66" t="s">
        <v>608</v>
      </c>
      <c r="P206" s="66" t="s">
        <v>609</v>
      </c>
      <c r="Q206" s="66" t="s">
        <v>610</v>
      </c>
      <c r="R206" s="66" t="s">
        <v>60</v>
      </c>
      <c r="S206" s="66"/>
      <c r="T206" s="66"/>
      <c r="U206" s="66"/>
      <c r="V206" s="66"/>
      <c r="W206" s="66" t="s">
        <v>611</v>
      </c>
      <c r="X206" s="66" t="s">
        <v>612</v>
      </c>
      <c r="Y206" s="66" t="s">
        <v>613</v>
      </c>
      <c r="Z206" s="66">
        <v>-78.477314000000007</v>
      </c>
      <c r="AA206" s="66">
        <v>-9.8964999999999997E-2</v>
      </c>
      <c r="AB206" s="66">
        <v>170150043</v>
      </c>
      <c r="AC206" s="66">
        <v>170150043005</v>
      </c>
      <c r="AD206" s="66">
        <v>170150043005007</v>
      </c>
      <c r="AE206" s="69">
        <v>4</v>
      </c>
      <c r="AF206" s="69" t="s">
        <v>499</v>
      </c>
      <c r="AG206" s="46" t="s">
        <v>66</v>
      </c>
      <c r="AH206" s="70" t="s">
        <v>614</v>
      </c>
      <c r="AI206" s="71" t="s">
        <v>66</v>
      </c>
      <c r="AJ206" s="49" t="s">
        <v>6938</v>
      </c>
      <c r="AK206" s="50" t="s">
        <v>67</v>
      </c>
      <c r="AL206" s="58">
        <v>45574</v>
      </c>
      <c r="AM206" s="52" t="s">
        <v>66</v>
      </c>
      <c r="AN206" s="52"/>
      <c r="AO206" s="52"/>
      <c r="AP206" s="52"/>
      <c r="AQ206" s="53">
        <f t="shared" si="12"/>
        <v>3</v>
      </c>
      <c r="AR206" s="54">
        <f t="shared" si="13"/>
        <v>0</v>
      </c>
      <c r="AS206" s="55">
        <f t="shared" si="14"/>
        <v>3</v>
      </c>
      <c r="AT206" s="102" t="s">
        <v>615</v>
      </c>
      <c r="AU206" s="103" t="s">
        <v>2702</v>
      </c>
      <c r="AV206" s="104">
        <v>13.04</v>
      </c>
      <c r="AW206" s="105">
        <v>45574</v>
      </c>
      <c r="AX206" s="104">
        <v>13.04</v>
      </c>
      <c r="AY206" s="106">
        <v>45607</v>
      </c>
      <c r="AZ206" s="102" t="s">
        <v>616</v>
      </c>
      <c r="BA206" s="103" t="s">
        <v>2815</v>
      </c>
      <c r="BB206" s="104">
        <v>31.65</v>
      </c>
      <c r="BC206" s="106">
        <v>45574</v>
      </c>
      <c r="BD206" s="104">
        <v>31.65</v>
      </c>
      <c r="BE206" s="106">
        <v>45607</v>
      </c>
      <c r="BF206" s="102" t="s">
        <v>616</v>
      </c>
      <c r="BG206" s="103" t="s">
        <v>2815</v>
      </c>
      <c r="BH206" s="104">
        <v>32.5</v>
      </c>
      <c r="BI206" s="106">
        <v>45574</v>
      </c>
      <c r="BJ206" s="104">
        <v>32.5</v>
      </c>
      <c r="BK206" s="106">
        <v>45607</v>
      </c>
      <c r="BL206" s="102"/>
      <c r="BM206" s="103" t="s">
        <v>1356</v>
      </c>
      <c r="BN206" s="104"/>
      <c r="BO206" s="106"/>
      <c r="BP206" s="104"/>
      <c r="BQ206" s="106"/>
      <c r="BR206" s="102"/>
      <c r="BS206" s="103" t="s">
        <v>1356</v>
      </c>
      <c r="BT206" s="104"/>
      <c r="BU206" s="106"/>
      <c r="BV206" s="104"/>
      <c r="BW206" s="106"/>
      <c r="BX206" s="121"/>
      <c r="BY206" s="122" t="s">
        <v>1356</v>
      </c>
      <c r="BZ206" s="123"/>
      <c r="CA206" s="124"/>
      <c r="CB206" s="123"/>
      <c r="CC206" s="124"/>
      <c r="CD206" s="121"/>
      <c r="CE206" s="122" t="s">
        <v>1356</v>
      </c>
      <c r="CF206" s="123"/>
      <c r="CG206" s="124"/>
      <c r="CH206" s="123"/>
      <c r="CI206" s="124"/>
      <c r="CJ206" s="121"/>
      <c r="CK206" s="122" t="s">
        <v>1356</v>
      </c>
      <c r="CL206" s="123"/>
      <c r="CM206" s="124"/>
      <c r="CN206" s="123"/>
      <c r="CO206" s="124"/>
      <c r="CP206" s="121"/>
      <c r="CQ206" s="122" t="s">
        <v>1356</v>
      </c>
      <c r="CR206" s="123"/>
      <c r="CS206" s="124"/>
      <c r="CT206" s="123"/>
      <c r="CU206" s="124"/>
      <c r="CV206" s="121"/>
      <c r="CW206" s="122" t="s">
        <v>1356</v>
      </c>
      <c r="CX206" s="123"/>
      <c r="CY206" s="124"/>
      <c r="CZ206" s="123"/>
      <c r="DA206" s="124"/>
      <c r="DB206" s="129" t="s">
        <v>6962</v>
      </c>
      <c r="DC206" s="129" t="s">
        <v>105</v>
      </c>
    </row>
    <row r="207" spans="1:107" s="40" customFormat="1" ht="14.55" customHeight="1" x14ac:dyDescent="0.3">
      <c r="A207" s="25" t="s">
        <v>3500</v>
      </c>
      <c r="B207" s="25" t="s">
        <v>3896</v>
      </c>
      <c r="C207" s="25" t="s">
        <v>3897</v>
      </c>
      <c r="D207" s="25" t="s">
        <v>1946</v>
      </c>
      <c r="E207" s="25" t="s">
        <v>70</v>
      </c>
      <c r="F207" s="25" t="s">
        <v>291</v>
      </c>
      <c r="G207" s="26" t="s">
        <v>72</v>
      </c>
      <c r="H207" s="27" t="s">
        <v>251</v>
      </c>
      <c r="I207" s="26">
        <v>1701</v>
      </c>
      <c r="J207" s="26">
        <v>170150</v>
      </c>
      <c r="K207" s="28">
        <v>4</v>
      </c>
      <c r="L207" s="25" t="s">
        <v>1947</v>
      </c>
      <c r="M207" s="25"/>
      <c r="N207" s="25" t="s">
        <v>221</v>
      </c>
      <c r="O207" s="25"/>
      <c r="P207" s="25"/>
      <c r="Q207" s="25"/>
      <c r="R207" s="25"/>
      <c r="S207" s="25"/>
      <c r="T207" s="25"/>
      <c r="U207" s="25" t="s">
        <v>1832</v>
      </c>
      <c r="V207" s="25"/>
      <c r="W207" s="25" t="s">
        <v>1948</v>
      </c>
      <c r="X207" s="25"/>
      <c r="Y207" s="25"/>
      <c r="Z207" s="25"/>
      <c r="AA207" s="25"/>
      <c r="AB207" s="25"/>
      <c r="AC207" s="25"/>
      <c r="AD207" s="25"/>
      <c r="AE207" s="28">
        <v>2</v>
      </c>
      <c r="AF207" s="28" t="s">
        <v>64</v>
      </c>
      <c r="AG207" s="29" t="s">
        <v>65</v>
      </c>
      <c r="AH207" s="30"/>
      <c r="AI207" s="31" t="s">
        <v>66</v>
      </c>
      <c r="AJ207" s="32" t="s">
        <v>6938</v>
      </c>
      <c r="AK207" s="33" t="s">
        <v>67</v>
      </c>
      <c r="AL207" s="34">
        <v>45569</v>
      </c>
      <c r="AM207" s="35" t="s">
        <v>66</v>
      </c>
      <c r="AN207" s="36" t="s">
        <v>6759</v>
      </c>
      <c r="AO207" s="36" t="s">
        <v>6760</v>
      </c>
      <c r="AP207" s="36" t="s">
        <v>6760</v>
      </c>
      <c r="AQ207" s="37">
        <f t="shared" si="12"/>
        <v>0</v>
      </c>
      <c r="AR207" s="38">
        <f t="shared" si="13"/>
        <v>0</v>
      </c>
      <c r="AS207" s="39">
        <f t="shared" si="14"/>
        <v>0</v>
      </c>
      <c r="AT207" s="91"/>
      <c r="AU207" s="92" t="s">
        <v>1356</v>
      </c>
      <c r="AV207" s="93"/>
      <c r="AW207" s="94"/>
      <c r="AX207" s="93"/>
      <c r="AY207" s="95"/>
      <c r="AZ207" s="91"/>
      <c r="BA207" s="92" t="s">
        <v>1356</v>
      </c>
      <c r="BB207" s="93"/>
      <c r="BC207" s="95"/>
      <c r="BD207" s="93"/>
      <c r="BE207" s="95"/>
      <c r="BF207" s="91"/>
      <c r="BG207" s="92" t="s">
        <v>1356</v>
      </c>
      <c r="BH207" s="93"/>
      <c r="BI207" s="95"/>
      <c r="BJ207" s="93"/>
      <c r="BK207" s="95"/>
      <c r="BL207" s="91"/>
      <c r="BM207" s="92" t="s">
        <v>1356</v>
      </c>
      <c r="BN207" s="93"/>
      <c r="BO207" s="95"/>
      <c r="BP207" s="93"/>
      <c r="BQ207" s="95"/>
      <c r="BR207" s="91"/>
      <c r="BS207" s="92" t="s">
        <v>1356</v>
      </c>
      <c r="BT207" s="93"/>
      <c r="BU207" s="95"/>
      <c r="BV207" s="93"/>
      <c r="BW207" s="95"/>
      <c r="BX207" s="113"/>
      <c r="BY207" s="114" t="s">
        <v>1356</v>
      </c>
      <c r="BZ207" s="115"/>
      <c r="CA207" s="116"/>
      <c r="CB207" s="115"/>
      <c r="CC207" s="116"/>
      <c r="CD207" s="113"/>
      <c r="CE207" s="114" t="s">
        <v>1356</v>
      </c>
      <c r="CF207" s="115"/>
      <c r="CG207" s="116"/>
      <c r="CH207" s="115"/>
      <c r="CI207" s="116"/>
      <c r="CJ207" s="113"/>
      <c r="CK207" s="114" t="s">
        <v>1356</v>
      </c>
      <c r="CL207" s="115"/>
      <c r="CM207" s="116"/>
      <c r="CN207" s="115"/>
      <c r="CO207" s="116"/>
      <c r="CP207" s="113"/>
      <c r="CQ207" s="114" t="s">
        <v>1356</v>
      </c>
      <c r="CR207" s="115"/>
      <c r="CS207" s="116"/>
      <c r="CT207" s="115"/>
      <c r="CU207" s="116"/>
      <c r="CV207" s="113"/>
      <c r="CW207" s="114" t="s">
        <v>1356</v>
      </c>
      <c r="CX207" s="115"/>
      <c r="CY207" s="116"/>
      <c r="CZ207" s="115"/>
      <c r="DA207" s="116"/>
      <c r="DB207" s="128" t="s">
        <v>7085</v>
      </c>
      <c r="DC207" s="128" t="s">
        <v>105</v>
      </c>
    </row>
    <row r="208" spans="1:107" s="40" customFormat="1" ht="14.55" customHeight="1" x14ac:dyDescent="0.3">
      <c r="A208" s="66" t="s">
        <v>3500</v>
      </c>
      <c r="B208" s="66" t="s">
        <v>3605</v>
      </c>
      <c r="C208" s="66" t="s">
        <v>3606</v>
      </c>
      <c r="D208" s="66" t="s">
        <v>617</v>
      </c>
      <c r="E208" s="66" t="s">
        <v>618</v>
      </c>
      <c r="F208" s="66" t="s">
        <v>596</v>
      </c>
      <c r="G208" s="68" t="s">
        <v>72</v>
      </c>
      <c r="H208" s="43" t="s">
        <v>251</v>
      </c>
      <c r="I208" s="68">
        <v>1701</v>
      </c>
      <c r="J208" s="68">
        <v>170150</v>
      </c>
      <c r="K208" s="69">
        <v>4</v>
      </c>
      <c r="L208" s="66" t="s">
        <v>619</v>
      </c>
      <c r="M208" s="66" t="s">
        <v>620</v>
      </c>
      <c r="N208" s="66" t="s">
        <v>621</v>
      </c>
      <c r="O208" s="66"/>
      <c r="P208" s="66"/>
      <c r="Q208" s="66"/>
      <c r="R208" s="66"/>
      <c r="S208" s="66"/>
      <c r="T208" s="66"/>
      <c r="U208" s="66"/>
      <c r="V208" s="66"/>
      <c r="W208" s="66" t="s">
        <v>622</v>
      </c>
      <c r="X208" s="66" t="s">
        <v>623</v>
      </c>
      <c r="Y208" s="66" t="s">
        <v>624</v>
      </c>
      <c r="Z208" s="66">
        <v>-78.472920000000002</v>
      </c>
      <c r="AA208" s="66">
        <v>-0.103523</v>
      </c>
      <c r="AB208" s="66">
        <v>170150117</v>
      </c>
      <c r="AC208" s="66">
        <v>170150117001</v>
      </c>
      <c r="AD208" s="66">
        <v>170150117001002</v>
      </c>
      <c r="AE208" s="69">
        <v>4</v>
      </c>
      <c r="AF208" s="69" t="s">
        <v>499</v>
      </c>
      <c r="AG208" s="46" t="s">
        <v>66</v>
      </c>
      <c r="AH208" s="70" t="s">
        <v>625</v>
      </c>
      <c r="AI208" s="71" t="s">
        <v>66</v>
      </c>
      <c r="AJ208" s="49" t="s">
        <v>6938</v>
      </c>
      <c r="AK208" s="50" t="s">
        <v>67</v>
      </c>
      <c r="AL208" s="58">
        <v>45574</v>
      </c>
      <c r="AM208" s="52" t="s">
        <v>66</v>
      </c>
      <c r="AN208" s="52"/>
      <c r="AO208" s="52"/>
      <c r="AP208" s="52"/>
      <c r="AQ208" s="53">
        <f t="shared" si="12"/>
        <v>2</v>
      </c>
      <c r="AR208" s="54">
        <f t="shared" si="13"/>
        <v>0</v>
      </c>
      <c r="AS208" s="55">
        <f t="shared" si="14"/>
        <v>2</v>
      </c>
      <c r="AT208" s="102" t="s">
        <v>602</v>
      </c>
      <c r="AU208" s="103" t="s">
        <v>2814</v>
      </c>
      <c r="AV208" s="104">
        <v>52.12</v>
      </c>
      <c r="AW208" s="105">
        <v>45574</v>
      </c>
      <c r="AX208" s="104">
        <v>52.12</v>
      </c>
      <c r="AY208" s="106">
        <v>45607</v>
      </c>
      <c r="AZ208" s="102" t="s">
        <v>602</v>
      </c>
      <c r="BA208" s="103" t="s">
        <v>2814</v>
      </c>
      <c r="BB208" s="104">
        <v>35.43</v>
      </c>
      <c r="BC208" s="106">
        <v>45574</v>
      </c>
      <c r="BD208" s="104">
        <v>35.43</v>
      </c>
      <c r="BE208" s="106">
        <v>45607</v>
      </c>
      <c r="BF208" s="102"/>
      <c r="BG208" s="103" t="s">
        <v>1356</v>
      </c>
      <c r="BH208" s="104"/>
      <c r="BI208" s="106"/>
      <c r="BJ208" s="104"/>
      <c r="BK208" s="106"/>
      <c r="BL208" s="102"/>
      <c r="BM208" s="103" t="s">
        <v>1356</v>
      </c>
      <c r="BN208" s="104"/>
      <c r="BO208" s="106"/>
      <c r="BP208" s="104"/>
      <c r="BQ208" s="106"/>
      <c r="BR208" s="102"/>
      <c r="BS208" s="103" t="s">
        <v>1356</v>
      </c>
      <c r="BT208" s="104"/>
      <c r="BU208" s="106"/>
      <c r="BV208" s="104"/>
      <c r="BW208" s="106"/>
      <c r="BX208" s="121"/>
      <c r="BY208" s="122" t="s">
        <v>1356</v>
      </c>
      <c r="BZ208" s="123"/>
      <c r="CA208" s="124"/>
      <c r="CB208" s="123"/>
      <c r="CC208" s="124"/>
      <c r="CD208" s="121"/>
      <c r="CE208" s="122" t="s">
        <v>1356</v>
      </c>
      <c r="CF208" s="123"/>
      <c r="CG208" s="124"/>
      <c r="CH208" s="123"/>
      <c r="CI208" s="124"/>
      <c r="CJ208" s="121"/>
      <c r="CK208" s="122" t="s">
        <v>1356</v>
      </c>
      <c r="CL208" s="123"/>
      <c r="CM208" s="124"/>
      <c r="CN208" s="123"/>
      <c r="CO208" s="124"/>
      <c r="CP208" s="121"/>
      <c r="CQ208" s="122" t="s">
        <v>1356</v>
      </c>
      <c r="CR208" s="123"/>
      <c r="CS208" s="124"/>
      <c r="CT208" s="123"/>
      <c r="CU208" s="124"/>
      <c r="CV208" s="121"/>
      <c r="CW208" s="122" t="s">
        <v>1356</v>
      </c>
      <c r="CX208" s="123"/>
      <c r="CY208" s="124"/>
      <c r="CZ208" s="123"/>
      <c r="DA208" s="124"/>
      <c r="DB208" s="129" t="s">
        <v>6962</v>
      </c>
      <c r="DC208" s="129" t="s">
        <v>105</v>
      </c>
    </row>
    <row r="209" spans="1:107" s="40" customFormat="1" ht="14.55" customHeight="1" x14ac:dyDescent="0.3">
      <c r="A209" s="25" t="s">
        <v>3500</v>
      </c>
      <c r="B209" s="25" t="s">
        <v>3900</v>
      </c>
      <c r="C209" s="25" t="s">
        <v>3901</v>
      </c>
      <c r="D209" s="25" t="s">
        <v>1964</v>
      </c>
      <c r="E209" s="25" t="s">
        <v>70</v>
      </c>
      <c r="F209" s="25" t="s">
        <v>361</v>
      </c>
      <c r="G209" s="26" t="s">
        <v>72</v>
      </c>
      <c r="H209" s="27" t="s">
        <v>251</v>
      </c>
      <c r="I209" s="26">
        <v>1701</v>
      </c>
      <c r="J209" s="26">
        <v>170150</v>
      </c>
      <c r="K209" s="28">
        <v>4</v>
      </c>
      <c r="L209" s="25" t="s">
        <v>1965</v>
      </c>
      <c r="M209" s="25" t="s">
        <v>1966</v>
      </c>
      <c r="N209" s="25" t="s">
        <v>221</v>
      </c>
      <c r="O209" s="25"/>
      <c r="P209" s="25"/>
      <c r="Q209" s="25"/>
      <c r="R209" s="25"/>
      <c r="S209" s="25"/>
      <c r="T209" s="25"/>
      <c r="U209" s="25" t="s">
        <v>1967</v>
      </c>
      <c r="V209" s="25"/>
      <c r="W209" s="25" t="s">
        <v>1968</v>
      </c>
      <c r="X209" s="25" t="s">
        <v>1969</v>
      </c>
      <c r="Y209" s="25"/>
      <c r="Z209" s="25"/>
      <c r="AA209" s="25"/>
      <c r="AB209" s="25"/>
      <c r="AC209" s="25"/>
      <c r="AD209" s="25"/>
      <c r="AE209" s="28">
        <v>2</v>
      </c>
      <c r="AF209" s="28" t="s">
        <v>64</v>
      </c>
      <c r="AG209" s="29" t="s">
        <v>65</v>
      </c>
      <c r="AH209" s="30"/>
      <c r="AI209" s="31" t="s">
        <v>66</v>
      </c>
      <c r="AJ209" s="32" t="s">
        <v>6938</v>
      </c>
      <c r="AK209" s="33" t="s">
        <v>67</v>
      </c>
      <c r="AL209" s="34">
        <v>45588</v>
      </c>
      <c r="AM209" s="36" t="s">
        <v>66</v>
      </c>
      <c r="AN209" s="36"/>
      <c r="AO209" s="36"/>
      <c r="AP209" s="36"/>
      <c r="AQ209" s="37">
        <f t="shared" si="12"/>
        <v>0</v>
      </c>
      <c r="AR209" s="38">
        <f t="shared" si="13"/>
        <v>0</v>
      </c>
      <c r="AS209" s="39">
        <f t="shared" si="14"/>
        <v>0</v>
      </c>
      <c r="AT209" s="91"/>
      <c r="AU209" s="92" t="s">
        <v>1356</v>
      </c>
      <c r="AV209" s="93"/>
      <c r="AW209" s="94"/>
      <c r="AX209" s="93"/>
      <c r="AY209" s="95"/>
      <c r="AZ209" s="91"/>
      <c r="BA209" s="92" t="s">
        <v>1356</v>
      </c>
      <c r="BB209" s="93"/>
      <c r="BC209" s="95"/>
      <c r="BD209" s="93"/>
      <c r="BE209" s="95"/>
      <c r="BF209" s="91"/>
      <c r="BG209" s="92" t="s">
        <v>1356</v>
      </c>
      <c r="BH209" s="93"/>
      <c r="BI209" s="95"/>
      <c r="BJ209" s="93"/>
      <c r="BK209" s="95"/>
      <c r="BL209" s="91"/>
      <c r="BM209" s="92" t="s">
        <v>1356</v>
      </c>
      <c r="BN209" s="93"/>
      <c r="BO209" s="95"/>
      <c r="BP209" s="93"/>
      <c r="BQ209" s="95"/>
      <c r="BR209" s="91"/>
      <c r="BS209" s="92" t="s">
        <v>1356</v>
      </c>
      <c r="BT209" s="93"/>
      <c r="BU209" s="95"/>
      <c r="BV209" s="93"/>
      <c r="BW209" s="95"/>
      <c r="BX209" s="113"/>
      <c r="BY209" s="114" t="s">
        <v>1356</v>
      </c>
      <c r="BZ209" s="115"/>
      <c r="CA209" s="116"/>
      <c r="CB209" s="115"/>
      <c r="CC209" s="116"/>
      <c r="CD209" s="113"/>
      <c r="CE209" s="114" t="s">
        <v>1356</v>
      </c>
      <c r="CF209" s="115"/>
      <c r="CG209" s="116"/>
      <c r="CH209" s="115"/>
      <c r="CI209" s="116"/>
      <c r="CJ209" s="113"/>
      <c r="CK209" s="114" t="s">
        <v>1356</v>
      </c>
      <c r="CL209" s="115"/>
      <c r="CM209" s="116"/>
      <c r="CN209" s="115"/>
      <c r="CO209" s="116"/>
      <c r="CP209" s="113"/>
      <c r="CQ209" s="114" t="s">
        <v>1356</v>
      </c>
      <c r="CR209" s="115"/>
      <c r="CS209" s="116"/>
      <c r="CT209" s="115"/>
      <c r="CU209" s="116"/>
      <c r="CV209" s="113"/>
      <c r="CW209" s="114" t="s">
        <v>1356</v>
      </c>
      <c r="CX209" s="115"/>
      <c r="CY209" s="116"/>
      <c r="CZ209" s="115"/>
      <c r="DA209" s="116"/>
      <c r="DB209" s="128" t="s">
        <v>7085</v>
      </c>
      <c r="DC209" s="131" t="s">
        <v>6751</v>
      </c>
    </row>
    <row r="210" spans="1:107" s="40" customFormat="1" ht="14.55" customHeight="1" x14ac:dyDescent="0.3">
      <c r="A210" s="25" t="s">
        <v>3500</v>
      </c>
      <c r="B210" s="25" t="s">
        <v>3902</v>
      </c>
      <c r="C210" s="25" t="s">
        <v>3903</v>
      </c>
      <c r="D210" s="25" t="s">
        <v>1970</v>
      </c>
      <c r="E210" s="25" t="s">
        <v>70</v>
      </c>
      <c r="F210" s="25" t="s">
        <v>81</v>
      </c>
      <c r="G210" s="26" t="s">
        <v>72</v>
      </c>
      <c r="H210" s="27" t="s">
        <v>251</v>
      </c>
      <c r="I210" s="26">
        <v>1709</v>
      </c>
      <c r="J210" s="26">
        <v>170950</v>
      </c>
      <c r="K210" s="28">
        <v>4</v>
      </c>
      <c r="L210" s="25" t="s">
        <v>1971</v>
      </c>
      <c r="M210" s="25" t="s">
        <v>810</v>
      </c>
      <c r="N210" s="25"/>
      <c r="O210" s="25"/>
      <c r="P210" s="25"/>
      <c r="Q210" s="25"/>
      <c r="R210" s="25"/>
      <c r="S210" s="25"/>
      <c r="T210" s="25"/>
      <c r="U210" s="25" t="s">
        <v>1972</v>
      </c>
      <c r="V210" s="25"/>
      <c r="W210" s="25" t="s">
        <v>1973</v>
      </c>
      <c r="X210" s="25"/>
      <c r="Y210" s="25" t="s">
        <v>1974</v>
      </c>
      <c r="Z210" s="25"/>
      <c r="AA210" s="25"/>
      <c r="AB210" s="25"/>
      <c r="AC210" s="25"/>
      <c r="AD210" s="25"/>
      <c r="AE210" s="28">
        <v>3</v>
      </c>
      <c r="AF210" s="28" t="s">
        <v>377</v>
      </c>
      <c r="AG210" s="29" t="s">
        <v>65</v>
      </c>
      <c r="AH210" s="30"/>
      <c r="AI210" s="31" t="s">
        <v>65</v>
      </c>
      <c r="AJ210" s="32" t="s">
        <v>6938</v>
      </c>
      <c r="AK210" s="33" t="s">
        <v>92</v>
      </c>
      <c r="AL210" s="34">
        <v>45579</v>
      </c>
      <c r="AM210" s="36"/>
      <c r="AN210" s="36"/>
      <c r="AO210" s="36"/>
      <c r="AP210" s="36"/>
      <c r="AQ210" s="37">
        <f t="shared" si="12"/>
        <v>0</v>
      </c>
      <c r="AR210" s="38">
        <f t="shared" si="13"/>
        <v>0</v>
      </c>
      <c r="AS210" s="39">
        <f t="shared" si="14"/>
        <v>0</v>
      </c>
      <c r="AT210" s="91"/>
      <c r="AU210" s="92" t="s">
        <v>1356</v>
      </c>
      <c r="AV210" s="93"/>
      <c r="AW210" s="94"/>
      <c r="AX210" s="93"/>
      <c r="AY210" s="95"/>
      <c r="AZ210" s="91"/>
      <c r="BA210" s="92" t="s">
        <v>1356</v>
      </c>
      <c r="BB210" s="93"/>
      <c r="BC210" s="95"/>
      <c r="BD210" s="93"/>
      <c r="BE210" s="95"/>
      <c r="BF210" s="91"/>
      <c r="BG210" s="92" t="s">
        <v>1356</v>
      </c>
      <c r="BH210" s="93"/>
      <c r="BI210" s="95"/>
      <c r="BJ210" s="93"/>
      <c r="BK210" s="95"/>
      <c r="BL210" s="91"/>
      <c r="BM210" s="92" t="s">
        <v>1356</v>
      </c>
      <c r="BN210" s="93"/>
      <c r="BO210" s="95"/>
      <c r="BP210" s="93"/>
      <c r="BQ210" s="95"/>
      <c r="BR210" s="91"/>
      <c r="BS210" s="92" t="s">
        <v>1356</v>
      </c>
      <c r="BT210" s="93"/>
      <c r="BU210" s="95"/>
      <c r="BV210" s="93"/>
      <c r="BW210" s="95"/>
      <c r="BX210" s="113"/>
      <c r="BY210" s="114" t="s">
        <v>1356</v>
      </c>
      <c r="BZ210" s="115"/>
      <c r="CA210" s="116"/>
      <c r="CB210" s="115"/>
      <c r="CC210" s="116"/>
      <c r="CD210" s="113"/>
      <c r="CE210" s="114" t="s">
        <v>1356</v>
      </c>
      <c r="CF210" s="115"/>
      <c r="CG210" s="116"/>
      <c r="CH210" s="115"/>
      <c r="CI210" s="116"/>
      <c r="CJ210" s="113"/>
      <c r="CK210" s="114" t="s">
        <v>1356</v>
      </c>
      <c r="CL210" s="115"/>
      <c r="CM210" s="116"/>
      <c r="CN210" s="115"/>
      <c r="CO210" s="116"/>
      <c r="CP210" s="113"/>
      <c r="CQ210" s="114" t="s">
        <v>1356</v>
      </c>
      <c r="CR210" s="115"/>
      <c r="CS210" s="116"/>
      <c r="CT210" s="115"/>
      <c r="CU210" s="116"/>
      <c r="CV210" s="113"/>
      <c r="CW210" s="114" t="s">
        <v>1356</v>
      </c>
      <c r="CX210" s="115"/>
      <c r="CY210" s="116"/>
      <c r="CZ210" s="115"/>
      <c r="DA210" s="116"/>
      <c r="DB210" s="128" t="s">
        <v>7085</v>
      </c>
      <c r="DC210" s="128" t="s">
        <v>92</v>
      </c>
    </row>
    <row r="211" spans="1:107" s="40" customFormat="1" ht="14.55" customHeight="1" x14ac:dyDescent="0.3">
      <c r="A211" s="25" t="s">
        <v>3500</v>
      </c>
      <c r="B211" s="25" t="s">
        <v>3904</v>
      </c>
      <c r="C211" s="25" t="s">
        <v>3905</v>
      </c>
      <c r="D211" s="25" t="s">
        <v>1975</v>
      </c>
      <c r="E211" s="25" t="s">
        <v>1976</v>
      </c>
      <c r="F211" s="25" t="s">
        <v>89</v>
      </c>
      <c r="G211" s="26" t="s">
        <v>72</v>
      </c>
      <c r="H211" s="27" t="s">
        <v>251</v>
      </c>
      <c r="I211" s="26">
        <v>1701</v>
      </c>
      <c r="J211" s="26">
        <v>170154</v>
      </c>
      <c r="K211" s="28">
        <v>3</v>
      </c>
      <c r="L211" s="25" t="s">
        <v>1977</v>
      </c>
      <c r="M211" s="25" t="s">
        <v>1978</v>
      </c>
      <c r="N211" s="25" t="s">
        <v>1979</v>
      </c>
      <c r="O211" s="25"/>
      <c r="P211" s="25"/>
      <c r="Q211" s="25"/>
      <c r="R211" s="25" t="s">
        <v>60</v>
      </c>
      <c r="S211" s="25"/>
      <c r="T211" s="25" t="s">
        <v>787</v>
      </c>
      <c r="U211" s="25" t="s">
        <v>787</v>
      </c>
      <c r="V211" s="25"/>
      <c r="W211" s="25" t="s">
        <v>1980</v>
      </c>
      <c r="X211" s="25" t="s">
        <v>1981</v>
      </c>
      <c r="Y211" s="25" t="s">
        <v>1982</v>
      </c>
      <c r="Z211" s="25">
        <v>-78.511886000000004</v>
      </c>
      <c r="AA211" s="25">
        <v>6.1399999999999996E-4</v>
      </c>
      <c r="AB211" s="25">
        <v>170154001</v>
      </c>
      <c r="AC211" s="25">
        <v>170154001006</v>
      </c>
      <c r="AD211" s="25">
        <v>170154001006001</v>
      </c>
      <c r="AE211" s="28">
        <v>3</v>
      </c>
      <c r="AF211" s="28" t="s">
        <v>377</v>
      </c>
      <c r="AG211" s="29" t="s">
        <v>65</v>
      </c>
      <c r="AH211" s="30"/>
      <c r="AI211" s="31" t="s">
        <v>66</v>
      </c>
      <c r="AJ211" s="32" t="s">
        <v>6938</v>
      </c>
      <c r="AK211" s="33" t="s">
        <v>67</v>
      </c>
      <c r="AL211" s="34">
        <v>45581</v>
      </c>
      <c r="AM211" s="36" t="s">
        <v>66</v>
      </c>
      <c r="AN211" s="36"/>
      <c r="AO211" s="36"/>
      <c r="AP211" s="36"/>
      <c r="AQ211" s="37">
        <f t="shared" si="12"/>
        <v>0</v>
      </c>
      <c r="AR211" s="38">
        <f t="shared" si="13"/>
        <v>0</v>
      </c>
      <c r="AS211" s="39">
        <f t="shared" si="14"/>
        <v>0</v>
      </c>
      <c r="AT211" s="91"/>
      <c r="AU211" s="92" t="s">
        <v>1356</v>
      </c>
      <c r="AV211" s="93"/>
      <c r="AW211" s="94"/>
      <c r="AX211" s="93"/>
      <c r="AY211" s="95"/>
      <c r="AZ211" s="91"/>
      <c r="BA211" s="92" t="s">
        <v>1356</v>
      </c>
      <c r="BB211" s="93"/>
      <c r="BC211" s="95"/>
      <c r="BD211" s="93"/>
      <c r="BE211" s="95"/>
      <c r="BF211" s="91"/>
      <c r="BG211" s="92" t="s">
        <v>1356</v>
      </c>
      <c r="BH211" s="93"/>
      <c r="BI211" s="95"/>
      <c r="BJ211" s="93"/>
      <c r="BK211" s="95"/>
      <c r="BL211" s="91"/>
      <c r="BM211" s="92" t="s">
        <v>1356</v>
      </c>
      <c r="BN211" s="93"/>
      <c r="BO211" s="95"/>
      <c r="BP211" s="93"/>
      <c r="BQ211" s="95"/>
      <c r="BR211" s="91"/>
      <c r="BS211" s="92" t="s">
        <v>1356</v>
      </c>
      <c r="BT211" s="93"/>
      <c r="BU211" s="95"/>
      <c r="BV211" s="93"/>
      <c r="BW211" s="95"/>
      <c r="BX211" s="113"/>
      <c r="BY211" s="114" t="s">
        <v>1356</v>
      </c>
      <c r="BZ211" s="115"/>
      <c r="CA211" s="116"/>
      <c r="CB211" s="115"/>
      <c r="CC211" s="116"/>
      <c r="CD211" s="113"/>
      <c r="CE211" s="114" t="s">
        <v>1356</v>
      </c>
      <c r="CF211" s="115"/>
      <c r="CG211" s="116"/>
      <c r="CH211" s="115"/>
      <c r="CI211" s="116"/>
      <c r="CJ211" s="113"/>
      <c r="CK211" s="114" t="s">
        <v>1356</v>
      </c>
      <c r="CL211" s="115"/>
      <c r="CM211" s="116"/>
      <c r="CN211" s="115"/>
      <c r="CO211" s="116"/>
      <c r="CP211" s="113"/>
      <c r="CQ211" s="114" t="s">
        <v>1356</v>
      </c>
      <c r="CR211" s="115"/>
      <c r="CS211" s="116"/>
      <c r="CT211" s="115"/>
      <c r="CU211" s="116"/>
      <c r="CV211" s="113"/>
      <c r="CW211" s="114" t="s">
        <v>1356</v>
      </c>
      <c r="CX211" s="115"/>
      <c r="CY211" s="116"/>
      <c r="CZ211" s="115"/>
      <c r="DA211" s="116"/>
      <c r="DB211" s="128" t="s">
        <v>7085</v>
      </c>
      <c r="DC211" s="131" t="s">
        <v>6751</v>
      </c>
    </row>
    <row r="212" spans="1:107" s="40" customFormat="1" ht="14.55" customHeight="1" x14ac:dyDescent="0.3">
      <c r="A212" s="25" t="s">
        <v>3500</v>
      </c>
      <c r="B212" s="25" t="s">
        <v>3906</v>
      </c>
      <c r="C212" s="25" t="s">
        <v>3907</v>
      </c>
      <c r="D212" s="25" t="s">
        <v>1983</v>
      </c>
      <c r="E212" s="25" t="s">
        <v>1984</v>
      </c>
      <c r="F212" s="25" t="s">
        <v>95</v>
      </c>
      <c r="G212" s="26" t="s">
        <v>72</v>
      </c>
      <c r="H212" s="27" t="s">
        <v>251</v>
      </c>
      <c r="I212" s="26">
        <v>1701</v>
      </c>
      <c r="J212" s="26">
        <v>170150</v>
      </c>
      <c r="K212" s="28">
        <v>4</v>
      </c>
      <c r="L212" s="25" t="s">
        <v>1985</v>
      </c>
      <c r="M212" s="25" t="s">
        <v>1986</v>
      </c>
      <c r="N212" s="25" t="s">
        <v>1987</v>
      </c>
      <c r="O212" s="25"/>
      <c r="P212" s="25"/>
      <c r="Q212" s="25" t="s">
        <v>1988</v>
      </c>
      <c r="R212" s="25" t="s">
        <v>146</v>
      </c>
      <c r="S212" s="25"/>
      <c r="T212" s="25"/>
      <c r="U212" s="25"/>
      <c r="V212" s="25"/>
      <c r="W212" s="25" t="s">
        <v>1989</v>
      </c>
      <c r="X212" s="25" t="s">
        <v>1990</v>
      </c>
      <c r="Y212" s="25" t="s">
        <v>1991</v>
      </c>
      <c r="Z212" s="25">
        <v>-78.470733999999993</v>
      </c>
      <c r="AA212" s="25">
        <v>-0.116989</v>
      </c>
      <c r="AB212" s="25">
        <v>170150074</v>
      </c>
      <c r="AC212" s="25">
        <v>170150074002</v>
      </c>
      <c r="AD212" s="25">
        <v>170150074002003</v>
      </c>
      <c r="AE212" s="28">
        <v>3</v>
      </c>
      <c r="AF212" s="28" t="s">
        <v>377</v>
      </c>
      <c r="AG212" s="29" t="s">
        <v>65</v>
      </c>
      <c r="AH212" s="30"/>
      <c r="AI212" s="31" t="s">
        <v>65</v>
      </c>
      <c r="AJ212" s="32" t="s">
        <v>6938</v>
      </c>
      <c r="AK212" s="33" t="s">
        <v>92</v>
      </c>
      <c r="AL212" s="34">
        <v>45586</v>
      </c>
      <c r="AM212" s="36"/>
      <c r="AN212" s="36"/>
      <c r="AO212" s="36"/>
      <c r="AP212" s="36"/>
      <c r="AQ212" s="37">
        <f t="shared" si="12"/>
        <v>0</v>
      </c>
      <c r="AR212" s="38">
        <f t="shared" si="13"/>
        <v>0</v>
      </c>
      <c r="AS212" s="39">
        <f t="shared" si="14"/>
        <v>0</v>
      </c>
      <c r="AT212" s="91"/>
      <c r="AU212" s="92" t="s">
        <v>1356</v>
      </c>
      <c r="AV212" s="93"/>
      <c r="AW212" s="94"/>
      <c r="AX212" s="93"/>
      <c r="AY212" s="95"/>
      <c r="AZ212" s="91"/>
      <c r="BA212" s="92" t="s">
        <v>1356</v>
      </c>
      <c r="BB212" s="93"/>
      <c r="BC212" s="95"/>
      <c r="BD212" s="93"/>
      <c r="BE212" s="95"/>
      <c r="BF212" s="91"/>
      <c r="BG212" s="92" t="s">
        <v>1356</v>
      </c>
      <c r="BH212" s="93"/>
      <c r="BI212" s="95"/>
      <c r="BJ212" s="93"/>
      <c r="BK212" s="95"/>
      <c r="BL212" s="91"/>
      <c r="BM212" s="92" t="s">
        <v>1356</v>
      </c>
      <c r="BN212" s="93"/>
      <c r="BO212" s="95"/>
      <c r="BP212" s="93"/>
      <c r="BQ212" s="95"/>
      <c r="BR212" s="91"/>
      <c r="BS212" s="92" t="s">
        <v>1356</v>
      </c>
      <c r="BT212" s="93"/>
      <c r="BU212" s="95"/>
      <c r="BV212" s="93"/>
      <c r="BW212" s="95"/>
      <c r="BX212" s="113"/>
      <c r="BY212" s="114" t="s">
        <v>1356</v>
      </c>
      <c r="BZ212" s="115"/>
      <c r="CA212" s="116"/>
      <c r="CB212" s="115"/>
      <c r="CC212" s="116"/>
      <c r="CD212" s="113"/>
      <c r="CE212" s="114" t="s">
        <v>1356</v>
      </c>
      <c r="CF212" s="115"/>
      <c r="CG212" s="116"/>
      <c r="CH212" s="115"/>
      <c r="CI212" s="116"/>
      <c r="CJ212" s="113"/>
      <c r="CK212" s="114" t="s">
        <v>1356</v>
      </c>
      <c r="CL212" s="115"/>
      <c r="CM212" s="116"/>
      <c r="CN212" s="115"/>
      <c r="CO212" s="116"/>
      <c r="CP212" s="113"/>
      <c r="CQ212" s="114" t="s">
        <v>1356</v>
      </c>
      <c r="CR212" s="115"/>
      <c r="CS212" s="116"/>
      <c r="CT212" s="115"/>
      <c r="CU212" s="116"/>
      <c r="CV212" s="113"/>
      <c r="CW212" s="114" t="s">
        <v>1356</v>
      </c>
      <c r="CX212" s="115"/>
      <c r="CY212" s="116"/>
      <c r="CZ212" s="115"/>
      <c r="DA212" s="116"/>
      <c r="DB212" s="128" t="s">
        <v>7085</v>
      </c>
      <c r="DC212" s="128" t="s">
        <v>87</v>
      </c>
    </row>
    <row r="213" spans="1:107" s="40" customFormat="1" ht="14.55" customHeight="1" x14ac:dyDescent="0.3">
      <c r="A213" s="25" t="s">
        <v>3500</v>
      </c>
      <c r="B213" s="25" t="s">
        <v>3908</v>
      </c>
      <c r="C213" s="25" t="s">
        <v>3909</v>
      </c>
      <c r="D213" s="25" t="s">
        <v>1992</v>
      </c>
      <c r="E213" s="25" t="s">
        <v>1993</v>
      </c>
      <c r="F213" s="25" t="s">
        <v>108</v>
      </c>
      <c r="G213" s="26" t="s">
        <v>72</v>
      </c>
      <c r="H213" s="27" t="s">
        <v>251</v>
      </c>
      <c r="I213" s="26">
        <v>1701</v>
      </c>
      <c r="J213" s="26">
        <v>170180</v>
      </c>
      <c r="K213" s="28">
        <v>3</v>
      </c>
      <c r="L213" s="25" t="s">
        <v>1994</v>
      </c>
      <c r="M213" s="25" t="s">
        <v>810</v>
      </c>
      <c r="N213" s="25" t="s">
        <v>1995</v>
      </c>
      <c r="O213" s="25"/>
      <c r="P213" s="25"/>
      <c r="Q213" s="25"/>
      <c r="R213" s="25"/>
      <c r="S213" s="25"/>
      <c r="T213" s="25"/>
      <c r="U213" s="25"/>
      <c r="V213" s="25"/>
      <c r="W213" s="25" t="s">
        <v>1996</v>
      </c>
      <c r="X213" s="25"/>
      <c r="Y213" s="25" t="s">
        <v>1997</v>
      </c>
      <c r="Z213" s="25"/>
      <c r="AA213" s="25"/>
      <c r="AB213" s="25"/>
      <c r="AC213" s="25"/>
      <c r="AD213" s="25"/>
      <c r="AE213" s="28">
        <v>3</v>
      </c>
      <c r="AF213" s="28" t="s">
        <v>377</v>
      </c>
      <c r="AG213" s="29" t="s">
        <v>65</v>
      </c>
      <c r="AH213" s="30"/>
      <c r="AI213" s="31" t="s">
        <v>66</v>
      </c>
      <c r="AJ213" s="32" t="s">
        <v>6938</v>
      </c>
      <c r="AK213" s="33" t="s">
        <v>67</v>
      </c>
      <c r="AL213" s="34">
        <v>45570</v>
      </c>
      <c r="AM213" s="36" t="s">
        <v>66</v>
      </c>
      <c r="AN213" s="36"/>
      <c r="AO213" s="36"/>
      <c r="AP213" s="36"/>
      <c r="AQ213" s="37">
        <f t="shared" si="12"/>
        <v>0</v>
      </c>
      <c r="AR213" s="38">
        <f t="shared" si="13"/>
        <v>0</v>
      </c>
      <c r="AS213" s="39">
        <f t="shared" si="14"/>
        <v>0</v>
      </c>
      <c r="AT213" s="91"/>
      <c r="AU213" s="92" t="s">
        <v>1356</v>
      </c>
      <c r="AV213" s="93"/>
      <c r="AW213" s="94"/>
      <c r="AX213" s="93"/>
      <c r="AY213" s="95"/>
      <c r="AZ213" s="91"/>
      <c r="BA213" s="92" t="s">
        <v>1356</v>
      </c>
      <c r="BB213" s="93"/>
      <c r="BC213" s="95"/>
      <c r="BD213" s="93"/>
      <c r="BE213" s="95"/>
      <c r="BF213" s="91"/>
      <c r="BG213" s="92" t="s">
        <v>1356</v>
      </c>
      <c r="BH213" s="93"/>
      <c r="BI213" s="95"/>
      <c r="BJ213" s="93"/>
      <c r="BK213" s="95"/>
      <c r="BL213" s="91"/>
      <c r="BM213" s="92" t="s">
        <v>1356</v>
      </c>
      <c r="BN213" s="93"/>
      <c r="BO213" s="95"/>
      <c r="BP213" s="93"/>
      <c r="BQ213" s="95"/>
      <c r="BR213" s="91"/>
      <c r="BS213" s="92" t="s">
        <v>1356</v>
      </c>
      <c r="BT213" s="93"/>
      <c r="BU213" s="95"/>
      <c r="BV213" s="93"/>
      <c r="BW213" s="95"/>
      <c r="BX213" s="113"/>
      <c r="BY213" s="114" t="s">
        <v>1356</v>
      </c>
      <c r="BZ213" s="115"/>
      <c r="CA213" s="116"/>
      <c r="CB213" s="115"/>
      <c r="CC213" s="116"/>
      <c r="CD213" s="113"/>
      <c r="CE213" s="114" t="s">
        <v>1356</v>
      </c>
      <c r="CF213" s="115"/>
      <c r="CG213" s="116"/>
      <c r="CH213" s="115"/>
      <c r="CI213" s="116"/>
      <c r="CJ213" s="113"/>
      <c r="CK213" s="114" t="s">
        <v>1356</v>
      </c>
      <c r="CL213" s="115"/>
      <c r="CM213" s="116"/>
      <c r="CN213" s="115"/>
      <c r="CO213" s="116"/>
      <c r="CP213" s="113"/>
      <c r="CQ213" s="114" t="s">
        <v>1356</v>
      </c>
      <c r="CR213" s="115"/>
      <c r="CS213" s="116"/>
      <c r="CT213" s="115"/>
      <c r="CU213" s="116"/>
      <c r="CV213" s="113"/>
      <c r="CW213" s="114" t="s">
        <v>1356</v>
      </c>
      <c r="CX213" s="115"/>
      <c r="CY213" s="116"/>
      <c r="CZ213" s="115"/>
      <c r="DA213" s="116"/>
      <c r="DB213" s="128" t="s">
        <v>7085</v>
      </c>
      <c r="DC213" s="131" t="s">
        <v>6751</v>
      </c>
    </row>
    <row r="214" spans="1:107" s="40" customFormat="1" ht="14.55" customHeight="1" x14ac:dyDescent="0.3">
      <c r="A214" s="25" t="s">
        <v>3500</v>
      </c>
      <c r="B214" s="25" t="s">
        <v>3910</v>
      </c>
      <c r="C214" s="25" t="s">
        <v>3911</v>
      </c>
      <c r="D214" s="25" t="s">
        <v>1998</v>
      </c>
      <c r="E214" s="25" t="s">
        <v>70</v>
      </c>
      <c r="F214" s="25" t="s">
        <v>134</v>
      </c>
      <c r="G214" s="26" t="s">
        <v>72</v>
      </c>
      <c r="H214" s="27" t="s">
        <v>251</v>
      </c>
      <c r="I214" s="26">
        <v>1701</v>
      </c>
      <c r="J214" s="26">
        <v>170150</v>
      </c>
      <c r="K214" s="28">
        <v>4</v>
      </c>
      <c r="L214" s="25" t="s">
        <v>1947</v>
      </c>
      <c r="M214" s="25" t="s">
        <v>1999</v>
      </c>
      <c r="N214" s="25" t="s">
        <v>2000</v>
      </c>
      <c r="O214" s="25"/>
      <c r="P214" s="25"/>
      <c r="Q214" s="25"/>
      <c r="R214" s="25"/>
      <c r="S214" s="25"/>
      <c r="T214" s="25"/>
      <c r="U214" s="25"/>
      <c r="V214" s="25"/>
      <c r="W214" s="25" t="s">
        <v>2001</v>
      </c>
      <c r="X214" s="25" t="s">
        <v>2002</v>
      </c>
      <c r="Y214" s="25" t="s">
        <v>2003</v>
      </c>
      <c r="Z214" s="25">
        <v>-78.476590999999999</v>
      </c>
      <c r="AA214" s="25">
        <v>-0.114634</v>
      </c>
      <c r="AB214" s="25">
        <v>170150073</v>
      </c>
      <c r="AC214" s="25">
        <v>170150073010</v>
      </c>
      <c r="AD214" s="25">
        <v>170150073010015</v>
      </c>
      <c r="AE214" s="28">
        <v>3</v>
      </c>
      <c r="AF214" s="28" t="s">
        <v>377</v>
      </c>
      <c r="AG214" s="29" t="s">
        <v>65</v>
      </c>
      <c r="AH214" s="30"/>
      <c r="AI214" s="31" t="s">
        <v>66</v>
      </c>
      <c r="AJ214" s="32" t="s">
        <v>6938</v>
      </c>
      <c r="AK214" s="33" t="s">
        <v>67</v>
      </c>
      <c r="AL214" s="34">
        <v>45589</v>
      </c>
      <c r="AM214" s="36" t="s">
        <v>66</v>
      </c>
      <c r="AN214" s="36"/>
      <c r="AO214" s="36"/>
      <c r="AP214" s="36"/>
      <c r="AQ214" s="37">
        <f t="shared" si="12"/>
        <v>0</v>
      </c>
      <c r="AR214" s="38">
        <f t="shared" si="13"/>
        <v>0</v>
      </c>
      <c r="AS214" s="39">
        <f t="shared" si="14"/>
        <v>0</v>
      </c>
      <c r="AT214" s="91"/>
      <c r="AU214" s="92" t="s">
        <v>1356</v>
      </c>
      <c r="AV214" s="93"/>
      <c r="AW214" s="94"/>
      <c r="AX214" s="93"/>
      <c r="AY214" s="95"/>
      <c r="AZ214" s="91"/>
      <c r="BA214" s="92" t="s">
        <v>1356</v>
      </c>
      <c r="BB214" s="93"/>
      <c r="BC214" s="95"/>
      <c r="BD214" s="93"/>
      <c r="BE214" s="95"/>
      <c r="BF214" s="91"/>
      <c r="BG214" s="92" t="s">
        <v>1356</v>
      </c>
      <c r="BH214" s="93"/>
      <c r="BI214" s="95"/>
      <c r="BJ214" s="93"/>
      <c r="BK214" s="95"/>
      <c r="BL214" s="91"/>
      <c r="BM214" s="92" t="s">
        <v>1356</v>
      </c>
      <c r="BN214" s="93"/>
      <c r="BO214" s="95"/>
      <c r="BP214" s="93"/>
      <c r="BQ214" s="95"/>
      <c r="BR214" s="91"/>
      <c r="BS214" s="92" t="s">
        <v>1356</v>
      </c>
      <c r="BT214" s="93"/>
      <c r="BU214" s="95"/>
      <c r="BV214" s="93"/>
      <c r="BW214" s="95"/>
      <c r="BX214" s="113"/>
      <c r="BY214" s="114" t="s">
        <v>1356</v>
      </c>
      <c r="BZ214" s="115"/>
      <c r="CA214" s="116"/>
      <c r="CB214" s="115"/>
      <c r="CC214" s="116"/>
      <c r="CD214" s="113"/>
      <c r="CE214" s="114" t="s">
        <v>1356</v>
      </c>
      <c r="CF214" s="115"/>
      <c r="CG214" s="116"/>
      <c r="CH214" s="115"/>
      <c r="CI214" s="116"/>
      <c r="CJ214" s="113"/>
      <c r="CK214" s="114" t="s">
        <v>1356</v>
      </c>
      <c r="CL214" s="115"/>
      <c r="CM214" s="116"/>
      <c r="CN214" s="115"/>
      <c r="CO214" s="116"/>
      <c r="CP214" s="113"/>
      <c r="CQ214" s="114" t="s">
        <v>1356</v>
      </c>
      <c r="CR214" s="115"/>
      <c r="CS214" s="116"/>
      <c r="CT214" s="115"/>
      <c r="CU214" s="116"/>
      <c r="CV214" s="113"/>
      <c r="CW214" s="114" t="s">
        <v>1356</v>
      </c>
      <c r="CX214" s="115"/>
      <c r="CY214" s="116"/>
      <c r="CZ214" s="115"/>
      <c r="DA214" s="116"/>
      <c r="DB214" s="128" t="s">
        <v>7085</v>
      </c>
      <c r="DC214" s="128" t="s">
        <v>105</v>
      </c>
    </row>
    <row r="215" spans="1:107" s="40" customFormat="1" ht="14.55" customHeight="1" x14ac:dyDescent="0.3">
      <c r="A215" s="25" t="s">
        <v>3500</v>
      </c>
      <c r="B215" s="25" t="s">
        <v>3912</v>
      </c>
      <c r="C215" s="25" t="s">
        <v>3913</v>
      </c>
      <c r="D215" s="25" t="s">
        <v>2004</v>
      </c>
      <c r="E215" s="25" t="s">
        <v>2005</v>
      </c>
      <c r="F215" s="25" t="s">
        <v>142</v>
      </c>
      <c r="G215" s="26" t="s">
        <v>72</v>
      </c>
      <c r="H215" s="27" t="s">
        <v>251</v>
      </c>
      <c r="I215" s="26">
        <v>1701</v>
      </c>
      <c r="J215" s="26">
        <v>170150</v>
      </c>
      <c r="K215" s="28">
        <v>4</v>
      </c>
      <c r="L215" s="25" t="s">
        <v>2006</v>
      </c>
      <c r="M215" s="25" t="s">
        <v>2007</v>
      </c>
      <c r="N215" s="25" t="s">
        <v>2008</v>
      </c>
      <c r="O215" s="25"/>
      <c r="P215" s="25"/>
      <c r="Q215" s="25"/>
      <c r="R215" s="25"/>
      <c r="S215" s="25"/>
      <c r="T215" s="25"/>
      <c r="U215" s="25"/>
      <c r="V215" s="25"/>
      <c r="W215" s="25" t="s">
        <v>2009</v>
      </c>
      <c r="X215" s="25" t="s">
        <v>2010</v>
      </c>
      <c r="Y215" s="25" t="s">
        <v>2011</v>
      </c>
      <c r="Z215" s="25">
        <v>-78.491541999999995</v>
      </c>
      <c r="AA215" s="25">
        <v>-0.119565</v>
      </c>
      <c r="AB215" s="25">
        <v>170150117</v>
      </c>
      <c r="AC215" s="25">
        <v>170150117001</v>
      </c>
      <c r="AD215" s="25">
        <v>170150117001002</v>
      </c>
      <c r="AE215" s="28">
        <v>3</v>
      </c>
      <c r="AF215" s="28" t="s">
        <v>377</v>
      </c>
      <c r="AG215" s="29" t="s">
        <v>65</v>
      </c>
      <c r="AH215" s="30"/>
      <c r="AI215" s="31" t="s">
        <v>66</v>
      </c>
      <c r="AJ215" s="32" t="s">
        <v>6938</v>
      </c>
      <c r="AK215" s="33" t="s">
        <v>67</v>
      </c>
      <c r="AL215" s="34">
        <v>45579</v>
      </c>
      <c r="AM215" s="36" t="s">
        <v>66</v>
      </c>
      <c r="AN215" s="36"/>
      <c r="AO215" s="36"/>
      <c r="AP215" s="36"/>
      <c r="AQ215" s="37">
        <f t="shared" si="12"/>
        <v>0</v>
      </c>
      <c r="AR215" s="38">
        <f t="shared" si="13"/>
        <v>0</v>
      </c>
      <c r="AS215" s="39">
        <f t="shared" si="14"/>
        <v>0</v>
      </c>
      <c r="AT215" s="91"/>
      <c r="AU215" s="92" t="s">
        <v>1356</v>
      </c>
      <c r="AV215" s="93"/>
      <c r="AW215" s="94"/>
      <c r="AX215" s="93"/>
      <c r="AY215" s="95"/>
      <c r="AZ215" s="91"/>
      <c r="BA215" s="92" t="s">
        <v>1356</v>
      </c>
      <c r="BB215" s="93"/>
      <c r="BC215" s="95"/>
      <c r="BD215" s="93"/>
      <c r="BE215" s="95"/>
      <c r="BF215" s="91"/>
      <c r="BG215" s="92" t="s">
        <v>1356</v>
      </c>
      <c r="BH215" s="93"/>
      <c r="BI215" s="95"/>
      <c r="BJ215" s="93"/>
      <c r="BK215" s="95"/>
      <c r="BL215" s="91"/>
      <c r="BM215" s="92" t="s">
        <v>1356</v>
      </c>
      <c r="BN215" s="93"/>
      <c r="BO215" s="95"/>
      <c r="BP215" s="93"/>
      <c r="BQ215" s="95"/>
      <c r="BR215" s="91"/>
      <c r="BS215" s="92" t="s">
        <v>1356</v>
      </c>
      <c r="BT215" s="93"/>
      <c r="BU215" s="95"/>
      <c r="BV215" s="93"/>
      <c r="BW215" s="95"/>
      <c r="BX215" s="113"/>
      <c r="BY215" s="114" t="s">
        <v>1356</v>
      </c>
      <c r="BZ215" s="115"/>
      <c r="CA215" s="116"/>
      <c r="CB215" s="115"/>
      <c r="CC215" s="116"/>
      <c r="CD215" s="113"/>
      <c r="CE215" s="114" t="s">
        <v>1356</v>
      </c>
      <c r="CF215" s="115"/>
      <c r="CG215" s="116"/>
      <c r="CH215" s="115"/>
      <c r="CI215" s="116"/>
      <c r="CJ215" s="113"/>
      <c r="CK215" s="114" t="s">
        <v>1356</v>
      </c>
      <c r="CL215" s="115"/>
      <c r="CM215" s="116"/>
      <c r="CN215" s="115"/>
      <c r="CO215" s="116"/>
      <c r="CP215" s="113"/>
      <c r="CQ215" s="114" t="s">
        <v>1356</v>
      </c>
      <c r="CR215" s="115"/>
      <c r="CS215" s="116"/>
      <c r="CT215" s="115"/>
      <c r="CU215" s="116"/>
      <c r="CV215" s="113"/>
      <c r="CW215" s="114" t="s">
        <v>1356</v>
      </c>
      <c r="CX215" s="115"/>
      <c r="CY215" s="116"/>
      <c r="CZ215" s="115"/>
      <c r="DA215" s="116"/>
      <c r="DB215" s="128" t="s">
        <v>7085</v>
      </c>
      <c r="DC215" s="128" t="s">
        <v>78</v>
      </c>
    </row>
    <row r="216" spans="1:107" s="40" customFormat="1" ht="14.55" customHeight="1" x14ac:dyDescent="0.3">
      <c r="A216" s="25" t="s">
        <v>3500</v>
      </c>
      <c r="B216" s="25" t="s">
        <v>3914</v>
      </c>
      <c r="C216" s="25" t="s">
        <v>3915</v>
      </c>
      <c r="D216" s="25" t="s">
        <v>2012</v>
      </c>
      <c r="E216" s="25" t="s">
        <v>70</v>
      </c>
      <c r="F216" s="25" t="s">
        <v>567</v>
      </c>
      <c r="G216" s="26" t="s">
        <v>72</v>
      </c>
      <c r="H216" s="27" t="s">
        <v>251</v>
      </c>
      <c r="I216" s="26">
        <v>1701</v>
      </c>
      <c r="J216" s="26">
        <v>170150</v>
      </c>
      <c r="K216" s="28">
        <v>4</v>
      </c>
      <c r="L216" s="25" t="s">
        <v>580</v>
      </c>
      <c r="M216" s="25" t="s">
        <v>2013</v>
      </c>
      <c r="N216" s="25" t="s">
        <v>2014</v>
      </c>
      <c r="O216" s="25"/>
      <c r="P216" s="25"/>
      <c r="Q216" s="25"/>
      <c r="R216" s="25"/>
      <c r="S216" s="25"/>
      <c r="T216" s="25"/>
      <c r="U216" s="25" t="s">
        <v>1832</v>
      </c>
      <c r="V216" s="25"/>
      <c r="W216" s="25" t="s">
        <v>2015</v>
      </c>
      <c r="X216" s="25"/>
      <c r="Y216" s="25" t="s">
        <v>2016</v>
      </c>
      <c r="Z216" s="25">
        <v>-78.477905000000007</v>
      </c>
      <c r="AA216" s="25">
        <v>-0.10946699999999999</v>
      </c>
      <c r="AB216" s="25">
        <v>170150073</v>
      </c>
      <c r="AC216" s="25">
        <v>170150073010</v>
      </c>
      <c r="AD216" s="25">
        <v>170150073010009</v>
      </c>
      <c r="AE216" s="28">
        <v>3</v>
      </c>
      <c r="AF216" s="28" t="s">
        <v>377</v>
      </c>
      <c r="AG216" s="29" t="s">
        <v>65</v>
      </c>
      <c r="AH216" s="30"/>
      <c r="AI216" s="31" t="s">
        <v>65</v>
      </c>
      <c r="AJ216" s="32" t="s">
        <v>6938</v>
      </c>
      <c r="AK216" s="33" t="s">
        <v>92</v>
      </c>
      <c r="AL216" s="34">
        <v>45583</v>
      </c>
      <c r="AM216" s="36"/>
      <c r="AN216" s="36"/>
      <c r="AO216" s="36"/>
      <c r="AP216" s="36"/>
      <c r="AQ216" s="37">
        <f t="shared" si="12"/>
        <v>0</v>
      </c>
      <c r="AR216" s="38">
        <f t="shared" si="13"/>
        <v>0</v>
      </c>
      <c r="AS216" s="39">
        <f t="shared" si="14"/>
        <v>0</v>
      </c>
      <c r="AT216" s="91"/>
      <c r="AU216" s="92" t="s">
        <v>1356</v>
      </c>
      <c r="AV216" s="93"/>
      <c r="AW216" s="94"/>
      <c r="AX216" s="93"/>
      <c r="AY216" s="95"/>
      <c r="AZ216" s="91"/>
      <c r="BA216" s="92" t="s">
        <v>1356</v>
      </c>
      <c r="BB216" s="93"/>
      <c r="BC216" s="95"/>
      <c r="BD216" s="93"/>
      <c r="BE216" s="95"/>
      <c r="BF216" s="91"/>
      <c r="BG216" s="92" t="s">
        <v>1356</v>
      </c>
      <c r="BH216" s="93"/>
      <c r="BI216" s="95"/>
      <c r="BJ216" s="93"/>
      <c r="BK216" s="95"/>
      <c r="BL216" s="91"/>
      <c r="BM216" s="92" t="s">
        <v>1356</v>
      </c>
      <c r="BN216" s="93"/>
      <c r="BO216" s="95"/>
      <c r="BP216" s="93"/>
      <c r="BQ216" s="95"/>
      <c r="BR216" s="91"/>
      <c r="BS216" s="92" t="s">
        <v>1356</v>
      </c>
      <c r="BT216" s="93"/>
      <c r="BU216" s="95"/>
      <c r="BV216" s="93"/>
      <c r="BW216" s="95"/>
      <c r="BX216" s="113"/>
      <c r="BY216" s="114" t="s">
        <v>1356</v>
      </c>
      <c r="BZ216" s="115"/>
      <c r="CA216" s="116"/>
      <c r="CB216" s="115"/>
      <c r="CC216" s="116"/>
      <c r="CD216" s="113"/>
      <c r="CE216" s="114" t="s">
        <v>1356</v>
      </c>
      <c r="CF216" s="115"/>
      <c r="CG216" s="116"/>
      <c r="CH216" s="115"/>
      <c r="CI216" s="116"/>
      <c r="CJ216" s="113"/>
      <c r="CK216" s="114" t="s">
        <v>1356</v>
      </c>
      <c r="CL216" s="115"/>
      <c r="CM216" s="116"/>
      <c r="CN216" s="115"/>
      <c r="CO216" s="116"/>
      <c r="CP216" s="113"/>
      <c r="CQ216" s="114" t="s">
        <v>1356</v>
      </c>
      <c r="CR216" s="115"/>
      <c r="CS216" s="116"/>
      <c r="CT216" s="115"/>
      <c r="CU216" s="116"/>
      <c r="CV216" s="113"/>
      <c r="CW216" s="114" t="s">
        <v>1356</v>
      </c>
      <c r="CX216" s="115"/>
      <c r="CY216" s="116"/>
      <c r="CZ216" s="115"/>
      <c r="DA216" s="116"/>
      <c r="DB216" s="128" t="s">
        <v>7085</v>
      </c>
      <c r="DC216" s="128" t="s">
        <v>92</v>
      </c>
    </row>
    <row r="217" spans="1:107" s="40" customFormat="1" ht="14.55" customHeight="1" x14ac:dyDescent="0.3">
      <c r="A217" s="25" t="s">
        <v>3500</v>
      </c>
      <c r="B217" s="25" t="s">
        <v>3916</v>
      </c>
      <c r="C217" s="25" t="s">
        <v>3917</v>
      </c>
      <c r="D217" s="25" t="s">
        <v>2017</v>
      </c>
      <c r="E217" s="25" t="s">
        <v>70</v>
      </c>
      <c r="F217" s="25" t="s">
        <v>420</v>
      </c>
      <c r="G217" s="26" t="s">
        <v>72</v>
      </c>
      <c r="H217" s="27" t="s">
        <v>251</v>
      </c>
      <c r="I217" s="26">
        <v>1701</v>
      </c>
      <c r="J217" s="26">
        <v>170150</v>
      </c>
      <c r="K217" s="28">
        <v>4</v>
      </c>
      <c r="L217" s="25" t="s">
        <v>2018</v>
      </c>
      <c r="M217" s="25" t="s">
        <v>2019</v>
      </c>
      <c r="N217" s="25" t="s">
        <v>2020</v>
      </c>
      <c r="O217" s="25"/>
      <c r="P217" s="25"/>
      <c r="Q217" s="25"/>
      <c r="R217" s="25"/>
      <c r="S217" s="25" t="s">
        <v>146</v>
      </c>
      <c r="T217" s="25" t="s">
        <v>2021</v>
      </c>
      <c r="U217" s="25"/>
      <c r="V217" s="25"/>
      <c r="W217" s="25" t="s">
        <v>2022</v>
      </c>
      <c r="X217" s="25" t="s">
        <v>2023</v>
      </c>
      <c r="Y217" s="25" t="s">
        <v>2024</v>
      </c>
      <c r="Z217" s="25">
        <v>-78.491040999999996</v>
      </c>
      <c r="AA217" s="25">
        <v>-0.15912100000000001</v>
      </c>
      <c r="AB217" s="25">
        <v>170150112</v>
      </c>
      <c r="AC217" s="25">
        <v>170150112013</v>
      </c>
      <c r="AD217" s="25">
        <v>170150112013001</v>
      </c>
      <c r="AE217" s="28">
        <v>3</v>
      </c>
      <c r="AF217" s="28" t="s">
        <v>377</v>
      </c>
      <c r="AG217" s="29" t="s">
        <v>65</v>
      </c>
      <c r="AH217" s="30"/>
      <c r="AI217" s="31" t="s">
        <v>66</v>
      </c>
      <c r="AJ217" s="32" t="s">
        <v>6938</v>
      </c>
      <c r="AK217" s="33" t="s">
        <v>67</v>
      </c>
      <c r="AL217" s="34">
        <v>45581</v>
      </c>
      <c r="AM217" s="36" t="s">
        <v>66</v>
      </c>
      <c r="AN217" s="36"/>
      <c r="AO217" s="36"/>
      <c r="AP217" s="36"/>
      <c r="AQ217" s="37">
        <f t="shared" si="12"/>
        <v>0</v>
      </c>
      <c r="AR217" s="38">
        <f t="shared" si="13"/>
        <v>0</v>
      </c>
      <c r="AS217" s="39">
        <f t="shared" si="14"/>
        <v>0</v>
      </c>
      <c r="AT217" s="91"/>
      <c r="AU217" s="92" t="s">
        <v>1356</v>
      </c>
      <c r="AV217" s="93"/>
      <c r="AW217" s="94"/>
      <c r="AX217" s="93"/>
      <c r="AY217" s="95"/>
      <c r="AZ217" s="91"/>
      <c r="BA217" s="92" t="s">
        <v>1356</v>
      </c>
      <c r="BB217" s="93"/>
      <c r="BC217" s="95"/>
      <c r="BD217" s="93"/>
      <c r="BE217" s="95"/>
      <c r="BF217" s="91"/>
      <c r="BG217" s="92" t="s">
        <v>1356</v>
      </c>
      <c r="BH217" s="93"/>
      <c r="BI217" s="95"/>
      <c r="BJ217" s="93"/>
      <c r="BK217" s="95"/>
      <c r="BL217" s="91"/>
      <c r="BM217" s="92" t="s">
        <v>1356</v>
      </c>
      <c r="BN217" s="93"/>
      <c r="BO217" s="95"/>
      <c r="BP217" s="93"/>
      <c r="BQ217" s="95"/>
      <c r="BR217" s="91"/>
      <c r="BS217" s="92" t="s">
        <v>1356</v>
      </c>
      <c r="BT217" s="93"/>
      <c r="BU217" s="95"/>
      <c r="BV217" s="93"/>
      <c r="BW217" s="95"/>
      <c r="BX217" s="113"/>
      <c r="BY217" s="114" t="s">
        <v>1356</v>
      </c>
      <c r="BZ217" s="115"/>
      <c r="CA217" s="116"/>
      <c r="CB217" s="115"/>
      <c r="CC217" s="116"/>
      <c r="CD217" s="113"/>
      <c r="CE217" s="114" t="s">
        <v>1356</v>
      </c>
      <c r="CF217" s="115"/>
      <c r="CG217" s="116"/>
      <c r="CH217" s="115"/>
      <c r="CI217" s="116"/>
      <c r="CJ217" s="113"/>
      <c r="CK217" s="114" t="s">
        <v>1356</v>
      </c>
      <c r="CL217" s="115"/>
      <c r="CM217" s="116"/>
      <c r="CN217" s="115"/>
      <c r="CO217" s="116"/>
      <c r="CP217" s="113"/>
      <c r="CQ217" s="114" t="s">
        <v>1356</v>
      </c>
      <c r="CR217" s="115"/>
      <c r="CS217" s="116"/>
      <c r="CT217" s="115"/>
      <c r="CU217" s="116"/>
      <c r="CV217" s="113"/>
      <c r="CW217" s="114" t="s">
        <v>1356</v>
      </c>
      <c r="CX217" s="115"/>
      <c r="CY217" s="116"/>
      <c r="CZ217" s="115"/>
      <c r="DA217" s="116"/>
      <c r="DB217" s="128" t="s">
        <v>7085</v>
      </c>
      <c r="DC217" s="128" t="s">
        <v>78</v>
      </c>
    </row>
    <row r="218" spans="1:107" s="40" customFormat="1" ht="14.55" customHeight="1" x14ac:dyDescent="0.3">
      <c r="A218" s="25" t="s">
        <v>3500</v>
      </c>
      <c r="B218" s="25" t="s">
        <v>3918</v>
      </c>
      <c r="C218" s="25" t="s">
        <v>3919</v>
      </c>
      <c r="D218" s="25" t="s">
        <v>2025</v>
      </c>
      <c r="E218" s="25" t="s">
        <v>2026</v>
      </c>
      <c r="F218" s="25" t="s">
        <v>1329</v>
      </c>
      <c r="G218" s="26" t="s">
        <v>72</v>
      </c>
      <c r="H218" s="27" t="s">
        <v>251</v>
      </c>
      <c r="I218" s="26">
        <v>1701</v>
      </c>
      <c r="J218" s="26">
        <v>170150</v>
      </c>
      <c r="K218" s="28">
        <v>4</v>
      </c>
      <c r="L218" s="25" t="s">
        <v>2027</v>
      </c>
      <c r="M218" s="25" t="s">
        <v>2028</v>
      </c>
      <c r="N218" s="25" t="s">
        <v>2020</v>
      </c>
      <c r="O218" s="25"/>
      <c r="P218" s="25"/>
      <c r="Q218" s="25"/>
      <c r="R218" s="25"/>
      <c r="S218" s="25"/>
      <c r="T218" s="25"/>
      <c r="U218" s="25" t="s">
        <v>2029</v>
      </c>
      <c r="V218" s="25"/>
      <c r="W218" s="25" t="s">
        <v>2030</v>
      </c>
      <c r="X218" s="25" t="s">
        <v>2031</v>
      </c>
      <c r="Y218" s="25" t="s">
        <v>2032</v>
      </c>
      <c r="Z218" s="25">
        <v>-78.490500905999994</v>
      </c>
      <c r="AA218" s="25">
        <v>-0.15813075700000001</v>
      </c>
      <c r="AB218" s="25">
        <v>170150112</v>
      </c>
      <c r="AC218" s="25">
        <v>170150112010</v>
      </c>
      <c r="AD218" s="25">
        <v>170150112010001</v>
      </c>
      <c r="AE218" s="28">
        <v>3</v>
      </c>
      <c r="AF218" s="28" t="s">
        <v>377</v>
      </c>
      <c r="AG218" s="29" t="s">
        <v>65</v>
      </c>
      <c r="AH218" s="30"/>
      <c r="AI218" s="31" t="s">
        <v>66</v>
      </c>
      <c r="AJ218" s="32" t="s">
        <v>6938</v>
      </c>
      <c r="AK218" s="33" t="s">
        <v>67</v>
      </c>
      <c r="AL218" s="34">
        <v>45581</v>
      </c>
      <c r="AM218" s="36" t="s">
        <v>66</v>
      </c>
      <c r="AN218" s="36"/>
      <c r="AO218" s="36"/>
      <c r="AP218" s="36"/>
      <c r="AQ218" s="37">
        <f t="shared" si="12"/>
        <v>0</v>
      </c>
      <c r="AR218" s="38">
        <f t="shared" si="13"/>
        <v>0</v>
      </c>
      <c r="AS218" s="39">
        <f t="shared" si="14"/>
        <v>0</v>
      </c>
      <c r="AT218" s="91"/>
      <c r="AU218" s="92" t="s">
        <v>1356</v>
      </c>
      <c r="AV218" s="93"/>
      <c r="AW218" s="94"/>
      <c r="AX218" s="93"/>
      <c r="AY218" s="95"/>
      <c r="AZ218" s="91"/>
      <c r="BA218" s="92" t="s">
        <v>1356</v>
      </c>
      <c r="BB218" s="93"/>
      <c r="BC218" s="95"/>
      <c r="BD218" s="93"/>
      <c r="BE218" s="95"/>
      <c r="BF218" s="91"/>
      <c r="BG218" s="92" t="s">
        <v>1356</v>
      </c>
      <c r="BH218" s="93"/>
      <c r="BI218" s="95"/>
      <c r="BJ218" s="93"/>
      <c r="BK218" s="95"/>
      <c r="BL218" s="91"/>
      <c r="BM218" s="92" t="s">
        <v>1356</v>
      </c>
      <c r="BN218" s="93"/>
      <c r="BO218" s="95"/>
      <c r="BP218" s="93"/>
      <c r="BQ218" s="95"/>
      <c r="BR218" s="91"/>
      <c r="BS218" s="92" t="s">
        <v>1356</v>
      </c>
      <c r="BT218" s="93"/>
      <c r="BU218" s="95"/>
      <c r="BV218" s="93"/>
      <c r="BW218" s="95"/>
      <c r="BX218" s="113"/>
      <c r="BY218" s="114" t="s">
        <v>1356</v>
      </c>
      <c r="BZ218" s="115"/>
      <c r="CA218" s="116"/>
      <c r="CB218" s="115"/>
      <c r="CC218" s="116"/>
      <c r="CD218" s="113"/>
      <c r="CE218" s="114" t="s">
        <v>1356</v>
      </c>
      <c r="CF218" s="115"/>
      <c r="CG218" s="116"/>
      <c r="CH218" s="115"/>
      <c r="CI218" s="116"/>
      <c r="CJ218" s="113"/>
      <c r="CK218" s="114" t="s">
        <v>1356</v>
      </c>
      <c r="CL218" s="115"/>
      <c r="CM218" s="116"/>
      <c r="CN218" s="115"/>
      <c r="CO218" s="116"/>
      <c r="CP218" s="113"/>
      <c r="CQ218" s="114" t="s">
        <v>1356</v>
      </c>
      <c r="CR218" s="115"/>
      <c r="CS218" s="116"/>
      <c r="CT218" s="115"/>
      <c r="CU218" s="116"/>
      <c r="CV218" s="113"/>
      <c r="CW218" s="114" t="s">
        <v>1356</v>
      </c>
      <c r="CX218" s="115"/>
      <c r="CY218" s="116"/>
      <c r="CZ218" s="115"/>
      <c r="DA218" s="116"/>
      <c r="DB218" s="128" t="s">
        <v>7085</v>
      </c>
      <c r="DC218" s="131" t="s">
        <v>6751</v>
      </c>
    </row>
    <row r="219" spans="1:107" s="40" customFormat="1" ht="14.55" customHeight="1" x14ac:dyDescent="0.3">
      <c r="A219" s="25" t="s">
        <v>3500</v>
      </c>
      <c r="B219" s="25" t="s">
        <v>3920</v>
      </c>
      <c r="C219" s="25" t="s">
        <v>3921</v>
      </c>
      <c r="D219" s="25" t="s">
        <v>2033</v>
      </c>
      <c r="E219" s="25" t="s">
        <v>2034</v>
      </c>
      <c r="F219" s="25" t="s">
        <v>220</v>
      </c>
      <c r="G219" s="26" t="s">
        <v>72</v>
      </c>
      <c r="H219" s="27" t="s">
        <v>251</v>
      </c>
      <c r="I219" s="26">
        <v>1701</v>
      </c>
      <c r="J219" s="26">
        <v>170150</v>
      </c>
      <c r="K219" s="28">
        <v>4</v>
      </c>
      <c r="L219" s="25" t="s">
        <v>2035</v>
      </c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 t="s">
        <v>2036</v>
      </c>
      <c r="Y219" s="25" t="s">
        <v>2037</v>
      </c>
      <c r="Z219" s="25"/>
      <c r="AA219" s="25"/>
      <c r="AB219" s="25">
        <v>170150043</v>
      </c>
      <c r="AC219" s="25">
        <v>170150043008</v>
      </c>
      <c r="AD219" s="25">
        <v>170150043008006</v>
      </c>
      <c r="AE219" s="28">
        <v>3</v>
      </c>
      <c r="AF219" s="28" t="s">
        <v>377</v>
      </c>
      <c r="AG219" s="29" t="s">
        <v>65</v>
      </c>
      <c r="AH219" s="30"/>
      <c r="AI219" s="31" t="s">
        <v>66</v>
      </c>
      <c r="AJ219" s="32" t="s">
        <v>6938</v>
      </c>
      <c r="AK219" s="33" t="s">
        <v>67</v>
      </c>
      <c r="AL219" s="34">
        <v>45588</v>
      </c>
      <c r="AM219" s="36" t="s">
        <v>66</v>
      </c>
      <c r="AN219" s="36"/>
      <c r="AO219" s="36"/>
      <c r="AP219" s="36"/>
      <c r="AQ219" s="37">
        <f t="shared" si="12"/>
        <v>0</v>
      </c>
      <c r="AR219" s="38">
        <f t="shared" si="13"/>
        <v>0</v>
      </c>
      <c r="AS219" s="39">
        <f t="shared" si="14"/>
        <v>0</v>
      </c>
      <c r="AT219" s="91"/>
      <c r="AU219" s="92" t="s">
        <v>1356</v>
      </c>
      <c r="AV219" s="93"/>
      <c r="AW219" s="94"/>
      <c r="AX219" s="93"/>
      <c r="AY219" s="95"/>
      <c r="AZ219" s="91"/>
      <c r="BA219" s="92" t="s">
        <v>1356</v>
      </c>
      <c r="BB219" s="93"/>
      <c r="BC219" s="95"/>
      <c r="BD219" s="93"/>
      <c r="BE219" s="95"/>
      <c r="BF219" s="91"/>
      <c r="BG219" s="92" t="s">
        <v>1356</v>
      </c>
      <c r="BH219" s="93"/>
      <c r="BI219" s="95"/>
      <c r="BJ219" s="93"/>
      <c r="BK219" s="95"/>
      <c r="BL219" s="91"/>
      <c r="BM219" s="92" t="s">
        <v>1356</v>
      </c>
      <c r="BN219" s="93"/>
      <c r="BO219" s="95"/>
      <c r="BP219" s="93"/>
      <c r="BQ219" s="95"/>
      <c r="BR219" s="91"/>
      <c r="BS219" s="92" t="s">
        <v>1356</v>
      </c>
      <c r="BT219" s="93"/>
      <c r="BU219" s="95"/>
      <c r="BV219" s="93"/>
      <c r="BW219" s="95"/>
      <c r="BX219" s="113"/>
      <c r="BY219" s="114" t="s">
        <v>1356</v>
      </c>
      <c r="BZ219" s="115"/>
      <c r="CA219" s="116"/>
      <c r="CB219" s="115"/>
      <c r="CC219" s="116"/>
      <c r="CD219" s="113"/>
      <c r="CE219" s="114" t="s">
        <v>1356</v>
      </c>
      <c r="CF219" s="115"/>
      <c r="CG219" s="116"/>
      <c r="CH219" s="115"/>
      <c r="CI219" s="116"/>
      <c r="CJ219" s="113"/>
      <c r="CK219" s="114" t="s">
        <v>1356</v>
      </c>
      <c r="CL219" s="115"/>
      <c r="CM219" s="116"/>
      <c r="CN219" s="115"/>
      <c r="CO219" s="116"/>
      <c r="CP219" s="113"/>
      <c r="CQ219" s="114" t="s">
        <v>1356</v>
      </c>
      <c r="CR219" s="115"/>
      <c r="CS219" s="116"/>
      <c r="CT219" s="115"/>
      <c r="CU219" s="116"/>
      <c r="CV219" s="113"/>
      <c r="CW219" s="114" t="s">
        <v>1356</v>
      </c>
      <c r="CX219" s="115"/>
      <c r="CY219" s="116"/>
      <c r="CZ219" s="115"/>
      <c r="DA219" s="116"/>
      <c r="DB219" s="128" t="s">
        <v>7085</v>
      </c>
      <c r="DC219" s="131" t="s">
        <v>6751</v>
      </c>
    </row>
    <row r="220" spans="1:107" s="40" customFormat="1" ht="14.55" customHeight="1" x14ac:dyDescent="0.3">
      <c r="A220" s="25" t="s">
        <v>3500</v>
      </c>
      <c r="B220" s="25" t="s">
        <v>3922</v>
      </c>
      <c r="C220" s="25" t="s">
        <v>3923</v>
      </c>
      <c r="D220" s="25" t="s">
        <v>2038</v>
      </c>
      <c r="E220" s="25" t="s">
        <v>2039</v>
      </c>
      <c r="F220" s="25" t="s">
        <v>651</v>
      </c>
      <c r="G220" s="26" t="s">
        <v>72</v>
      </c>
      <c r="H220" s="27" t="s">
        <v>251</v>
      </c>
      <c r="I220" s="26">
        <v>1701</v>
      </c>
      <c r="J220" s="26">
        <v>170150</v>
      </c>
      <c r="K220" s="28">
        <v>4</v>
      </c>
      <c r="L220" s="25" t="s">
        <v>2040</v>
      </c>
      <c r="M220" s="25" t="s">
        <v>2041</v>
      </c>
      <c r="N220" s="25" t="s">
        <v>2042</v>
      </c>
      <c r="O220" s="25"/>
      <c r="P220" s="25"/>
      <c r="Q220" s="25" t="s">
        <v>2043</v>
      </c>
      <c r="R220" s="25" t="s">
        <v>60</v>
      </c>
      <c r="S220" s="25"/>
      <c r="T220" s="25"/>
      <c r="U220" s="25"/>
      <c r="V220" s="25"/>
      <c r="W220" s="25"/>
      <c r="X220" s="25" t="s">
        <v>2044</v>
      </c>
      <c r="Y220" s="25" t="s">
        <v>2045</v>
      </c>
      <c r="Z220" s="25">
        <v>-78.493934999999993</v>
      </c>
      <c r="AA220" s="25">
        <v>-0.107154</v>
      </c>
      <c r="AB220" s="25">
        <v>170150047</v>
      </c>
      <c r="AC220" s="25">
        <v>170150047004</v>
      </c>
      <c r="AD220" s="25">
        <v>170150047004001</v>
      </c>
      <c r="AE220" s="28">
        <v>3</v>
      </c>
      <c r="AF220" s="28" t="s">
        <v>377</v>
      </c>
      <c r="AG220" s="29" t="s">
        <v>65</v>
      </c>
      <c r="AH220" s="30"/>
      <c r="AI220" s="31" t="s">
        <v>66</v>
      </c>
      <c r="AJ220" s="32" t="s">
        <v>6938</v>
      </c>
      <c r="AK220" s="33" t="s">
        <v>67</v>
      </c>
      <c r="AL220" s="34">
        <v>45574</v>
      </c>
      <c r="AM220" s="36" t="s">
        <v>66</v>
      </c>
      <c r="AN220" s="36"/>
      <c r="AO220" s="36"/>
      <c r="AP220" s="36"/>
      <c r="AQ220" s="37">
        <f t="shared" si="12"/>
        <v>0</v>
      </c>
      <c r="AR220" s="38">
        <f t="shared" si="13"/>
        <v>0</v>
      </c>
      <c r="AS220" s="39">
        <f t="shared" si="14"/>
        <v>0</v>
      </c>
      <c r="AT220" s="91"/>
      <c r="AU220" s="92" t="s">
        <v>1356</v>
      </c>
      <c r="AV220" s="93"/>
      <c r="AW220" s="94"/>
      <c r="AX220" s="93"/>
      <c r="AY220" s="95"/>
      <c r="AZ220" s="91"/>
      <c r="BA220" s="92" t="s">
        <v>1356</v>
      </c>
      <c r="BB220" s="93"/>
      <c r="BC220" s="95"/>
      <c r="BD220" s="93"/>
      <c r="BE220" s="95"/>
      <c r="BF220" s="91"/>
      <c r="BG220" s="92" t="s">
        <v>1356</v>
      </c>
      <c r="BH220" s="93"/>
      <c r="BI220" s="95"/>
      <c r="BJ220" s="93"/>
      <c r="BK220" s="95"/>
      <c r="BL220" s="91"/>
      <c r="BM220" s="92" t="s">
        <v>1356</v>
      </c>
      <c r="BN220" s="93"/>
      <c r="BO220" s="95"/>
      <c r="BP220" s="93"/>
      <c r="BQ220" s="95"/>
      <c r="BR220" s="91"/>
      <c r="BS220" s="92" t="s">
        <v>1356</v>
      </c>
      <c r="BT220" s="93"/>
      <c r="BU220" s="95"/>
      <c r="BV220" s="93"/>
      <c r="BW220" s="95"/>
      <c r="BX220" s="113"/>
      <c r="BY220" s="114" t="s">
        <v>1356</v>
      </c>
      <c r="BZ220" s="115"/>
      <c r="CA220" s="116"/>
      <c r="CB220" s="115"/>
      <c r="CC220" s="116"/>
      <c r="CD220" s="113"/>
      <c r="CE220" s="114" t="s">
        <v>1356</v>
      </c>
      <c r="CF220" s="115"/>
      <c r="CG220" s="116"/>
      <c r="CH220" s="115"/>
      <c r="CI220" s="116"/>
      <c r="CJ220" s="113"/>
      <c r="CK220" s="114" t="s">
        <v>1356</v>
      </c>
      <c r="CL220" s="115"/>
      <c r="CM220" s="116"/>
      <c r="CN220" s="115"/>
      <c r="CO220" s="116"/>
      <c r="CP220" s="113"/>
      <c r="CQ220" s="114" t="s">
        <v>1356</v>
      </c>
      <c r="CR220" s="115"/>
      <c r="CS220" s="116"/>
      <c r="CT220" s="115"/>
      <c r="CU220" s="116"/>
      <c r="CV220" s="113"/>
      <c r="CW220" s="114" t="s">
        <v>1356</v>
      </c>
      <c r="CX220" s="115"/>
      <c r="CY220" s="116"/>
      <c r="CZ220" s="115"/>
      <c r="DA220" s="116"/>
      <c r="DB220" s="128" t="s">
        <v>7085</v>
      </c>
      <c r="DC220" s="131" t="s">
        <v>6751</v>
      </c>
    </row>
    <row r="221" spans="1:107" s="40" customFormat="1" ht="14.55" customHeight="1" x14ac:dyDescent="0.3">
      <c r="A221" s="25" t="s">
        <v>3500</v>
      </c>
      <c r="B221" s="25" t="s">
        <v>3924</v>
      </c>
      <c r="C221" s="25" t="s">
        <v>3925</v>
      </c>
      <c r="D221" s="25" t="s">
        <v>2046</v>
      </c>
      <c r="E221" s="25" t="s">
        <v>2047</v>
      </c>
      <c r="F221" s="25" t="s">
        <v>291</v>
      </c>
      <c r="G221" s="26" t="s">
        <v>72</v>
      </c>
      <c r="H221" s="27" t="s">
        <v>251</v>
      </c>
      <c r="I221" s="26">
        <v>1701</v>
      </c>
      <c r="J221" s="26">
        <v>170177</v>
      </c>
      <c r="K221" s="28">
        <v>3</v>
      </c>
      <c r="L221" s="25" t="s">
        <v>2048</v>
      </c>
      <c r="M221" s="25" t="s">
        <v>1498</v>
      </c>
      <c r="N221" s="25" t="s">
        <v>2049</v>
      </c>
      <c r="O221" s="25"/>
      <c r="P221" s="25"/>
      <c r="Q221" s="25"/>
      <c r="R221" s="25"/>
      <c r="S221" s="25"/>
      <c r="T221" s="25"/>
      <c r="U221" s="25"/>
      <c r="V221" s="25"/>
      <c r="W221" s="25" t="s">
        <v>2050</v>
      </c>
      <c r="X221" s="25"/>
      <c r="Y221" s="25" t="s">
        <v>2051</v>
      </c>
      <c r="Z221" s="25"/>
      <c r="AA221" s="25"/>
      <c r="AB221" s="25"/>
      <c r="AC221" s="25"/>
      <c r="AD221" s="25"/>
      <c r="AE221" s="28">
        <v>3</v>
      </c>
      <c r="AF221" s="28" t="s">
        <v>377</v>
      </c>
      <c r="AG221" s="29" t="s">
        <v>65</v>
      </c>
      <c r="AH221" s="30"/>
      <c r="AI221" s="31" t="s">
        <v>66</v>
      </c>
      <c r="AJ221" s="32" t="s">
        <v>6938</v>
      </c>
      <c r="AK221" s="33" t="s">
        <v>67</v>
      </c>
      <c r="AL221" s="34">
        <v>45589</v>
      </c>
      <c r="AM221" s="36" t="s">
        <v>66</v>
      </c>
      <c r="AN221" s="36"/>
      <c r="AO221" s="36"/>
      <c r="AP221" s="36"/>
      <c r="AQ221" s="37">
        <f t="shared" si="12"/>
        <v>0</v>
      </c>
      <c r="AR221" s="38">
        <f t="shared" si="13"/>
        <v>0</v>
      </c>
      <c r="AS221" s="39">
        <f t="shared" si="14"/>
        <v>0</v>
      </c>
      <c r="AT221" s="91"/>
      <c r="AU221" s="92" t="s">
        <v>1356</v>
      </c>
      <c r="AV221" s="93"/>
      <c r="AW221" s="94"/>
      <c r="AX221" s="93"/>
      <c r="AY221" s="95"/>
      <c r="AZ221" s="91"/>
      <c r="BA221" s="92" t="s">
        <v>1356</v>
      </c>
      <c r="BB221" s="93"/>
      <c r="BC221" s="95"/>
      <c r="BD221" s="93"/>
      <c r="BE221" s="95"/>
      <c r="BF221" s="91"/>
      <c r="BG221" s="92" t="s">
        <v>1356</v>
      </c>
      <c r="BH221" s="93"/>
      <c r="BI221" s="95"/>
      <c r="BJ221" s="93"/>
      <c r="BK221" s="95"/>
      <c r="BL221" s="91"/>
      <c r="BM221" s="92" t="s">
        <v>1356</v>
      </c>
      <c r="BN221" s="93"/>
      <c r="BO221" s="95"/>
      <c r="BP221" s="93"/>
      <c r="BQ221" s="95"/>
      <c r="BR221" s="91"/>
      <c r="BS221" s="92" t="s">
        <v>1356</v>
      </c>
      <c r="BT221" s="93"/>
      <c r="BU221" s="95"/>
      <c r="BV221" s="93"/>
      <c r="BW221" s="95"/>
      <c r="BX221" s="113"/>
      <c r="BY221" s="114" t="s">
        <v>1356</v>
      </c>
      <c r="BZ221" s="115"/>
      <c r="CA221" s="116"/>
      <c r="CB221" s="115"/>
      <c r="CC221" s="116"/>
      <c r="CD221" s="113"/>
      <c r="CE221" s="114" t="s">
        <v>1356</v>
      </c>
      <c r="CF221" s="115"/>
      <c r="CG221" s="116"/>
      <c r="CH221" s="115"/>
      <c r="CI221" s="116"/>
      <c r="CJ221" s="113"/>
      <c r="CK221" s="114" t="s">
        <v>1356</v>
      </c>
      <c r="CL221" s="115"/>
      <c r="CM221" s="116"/>
      <c r="CN221" s="115"/>
      <c r="CO221" s="116"/>
      <c r="CP221" s="113"/>
      <c r="CQ221" s="114" t="s">
        <v>1356</v>
      </c>
      <c r="CR221" s="115"/>
      <c r="CS221" s="116"/>
      <c r="CT221" s="115"/>
      <c r="CU221" s="116"/>
      <c r="CV221" s="113"/>
      <c r="CW221" s="114" t="s">
        <v>1356</v>
      </c>
      <c r="CX221" s="115"/>
      <c r="CY221" s="116"/>
      <c r="CZ221" s="115"/>
      <c r="DA221" s="116"/>
      <c r="DB221" s="128" t="s">
        <v>7085</v>
      </c>
      <c r="DC221" s="131" t="s">
        <v>6751</v>
      </c>
    </row>
    <row r="222" spans="1:107" s="40" customFormat="1" ht="14.55" customHeight="1" x14ac:dyDescent="0.3">
      <c r="A222" s="25" t="s">
        <v>3500</v>
      </c>
      <c r="B222" s="25" t="s">
        <v>3926</v>
      </c>
      <c r="C222" s="25" t="s">
        <v>3927</v>
      </c>
      <c r="D222" s="25" t="s">
        <v>2052</v>
      </c>
      <c r="E222" s="25" t="s">
        <v>2053</v>
      </c>
      <c r="F222" s="25" t="s">
        <v>352</v>
      </c>
      <c r="G222" s="26" t="s">
        <v>72</v>
      </c>
      <c r="H222" s="27" t="s">
        <v>251</v>
      </c>
      <c r="I222" s="26">
        <v>1701</v>
      </c>
      <c r="J222" s="26">
        <v>170177</v>
      </c>
      <c r="K222" s="28">
        <v>4</v>
      </c>
      <c r="L222" s="25" t="s">
        <v>2054</v>
      </c>
      <c r="M222" s="25" t="s">
        <v>2055</v>
      </c>
      <c r="N222" s="25" t="s">
        <v>2056</v>
      </c>
      <c r="O222" s="25"/>
      <c r="P222" s="25" t="s">
        <v>2057</v>
      </c>
      <c r="Q222" s="25"/>
      <c r="R222" s="25"/>
      <c r="S222" s="25"/>
      <c r="T222" s="25"/>
      <c r="U222" s="25" t="s">
        <v>2054</v>
      </c>
      <c r="V222" s="25"/>
      <c r="W222" s="25" t="s">
        <v>2058</v>
      </c>
      <c r="X222" s="25" t="s">
        <v>2059</v>
      </c>
      <c r="Y222" s="25" t="s">
        <v>2060</v>
      </c>
      <c r="Z222" s="25"/>
      <c r="AA222" s="25"/>
      <c r="AB222" s="25"/>
      <c r="AC222" s="25"/>
      <c r="AD222" s="25"/>
      <c r="AE222" s="28">
        <v>3</v>
      </c>
      <c r="AF222" s="28" t="s">
        <v>377</v>
      </c>
      <c r="AG222" s="29" t="s">
        <v>65</v>
      </c>
      <c r="AH222" s="30"/>
      <c r="AI222" s="31" t="s">
        <v>66</v>
      </c>
      <c r="AJ222" s="32" t="s">
        <v>6938</v>
      </c>
      <c r="AK222" s="33" t="s">
        <v>67</v>
      </c>
      <c r="AL222" s="34">
        <v>45589</v>
      </c>
      <c r="AM222" s="36" t="s">
        <v>66</v>
      </c>
      <c r="AN222" s="36"/>
      <c r="AO222" s="36"/>
      <c r="AP222" s="36"/>
      <c r="AQ222" s="37">
        <f t="shared" si="12"/>
        <v>0</v>
      </c>
      <c r="AR222" s="38">
        <f t="shared" si="13"/>
        <v>0</v>
      </c>
      <c r="AS222" s="39">
        <f t="shared" si="14"/>
        <v>0</v>
      </c>
      <c r="AT222" s="91"/>
      <c r="AU222" s="92" t="s">
        <v>1356</v>
      </c>
      <c r="AV222" s="93"/>
      <c r="AW222" s="94"/>
      <c r="AX222" s="93"/>
      <c r="AY222" s="95"/>
      <c r="AZ222" s="91"/>
      <c r="BA222" s="92" t="s">
        <v>1356</v>
      </c>
      <c r="BB222" s="93"/>
      <c r="BC222" s="95"/>
      <c r="BD222" s="93"/>
      <c r="BE222" s="95"/>
      <c r="BF222" s="91"/>
      <c r="BG222" s="92" t="s">
        <v>1356</v>
      </c>
      <c r="BH222" s="93"/>
      <c r="BI222" s="95"/>
      <c r="BJ222" s="93"/>
      <c r="BK222" s="95"/>
      <c r="BL222" s="91"/>
      <c r="BM222" s="92" t="s">
        <v>1356</v>
      </c>
      <c r="BN222" s="93"/>
      <c r="BO222" s="95"/>
      <c r="BP222" s="93"/>
      <c r="BQ222" s="95"/>
      <c r="BR222" s="91"/>
      <c r="BS222" s="92" t="s">
        <v>1356</v>
      </c>
      <c r="BT222" s="93"/>
      <c r="BU222" s="95"/>
      <c r="BV222" s="93"/>
      <c r="BW222" s="95"/>
      <c r="BX222" s="113"/>
      <c r="BY222" s="114" t="s">
        <v>1356</v>
      </c>
      <c r="BZ222" s="115"/>
      <c r="CA222" s="116"/>
      <c r="CB222" s="115"/>
      <c r="CC222" s="116"/>
      <c r="CD222" s="113"/>
      <c r="CE222" s="114" t="s">
        <v>1356</v>
      </c>
      <c r="CF222" s="115"/>
      <c r="CG222" s="116"/>
      <c r="CH222" s="115"/>
      <c r="CI222" s="116"/>
      <c r="CJ222" s="113"/>
      <c r="CK222" s="114" t="s">
        <v>1356</v>
      </c>
      <c r="CL222" s="115"/>
      <c r="CM222" s="116"/>
      <c r="CN222" s="115"/>
      <c r="CO222" s="116"/>
      <c r="CP222" s="113"/>
      <c r="CQ222" s="114" t="s">
        <v>1356</v>
      </c>
      <c r="CR222" s="115"/>
      <c r="CS222" s="116"/>
      <c r="CT222" s="115"/>
      <c r="CU222" s="116"/>
      <c r="CV222" s="113"/>
      <c r="CW222" s="114" t="s">
        <v>1356</v>
      </c>
      <c r="CX222" s="115"/>
      <c r="CY222" s="116"/>
      <c r="CZ222" s="115"/>
      <c r="DA222" s="116"/>
      <c r="DB222" s="128" t="s">
        <v>7085</v>
      </c>
      <c r="DC222" s="128" t="s">
        <v>105</v>
      </c>
    </row>
    <row r="223" spans="1:107" s="40" customFormat="1" ht="14.55" customHeight="1" x14ac:dyDescent="0.3">
      <c r="A223" s="25" t="s">
        <v>3500</v>
      </c>
      <c r="B223" s="25" t="s">
        <v>3928</v>
      </c>
      <c r="C223" s="25" t="s">
        <v>3929</v>
      </c>
      <c r="D223" s="25" t="s">
        <v>2061</v>
      </c>
      <c r="E223" s="25" t="s">
        <v>70</v>
      </c>
      <c r="F223" s="25" t="s">
        <v>352</v>
      </c>
      <c r="G223" s="26" t="s">
        <v>72</v>
      </c>
      <c r="H223" s="27" t="s">
        <v>251</v>
      </c>
      <c r="I223" s="26">
        <v>1701</v>
      </c>
      <c r="J223" s="26">
        <v>170150</v>
      </c>
      <c r="K223" s="28">
        <v>3</v>
      </c>
      <c r="L223" s="25" t="s">
        <v>223</v>
      </c>
      <c r="M223" s="25" t="s">
        <v>2062</v>
      </c>
      <c r="N223" s="25" t="s">
        <v>2063</v>
      </c>
      <c r="O223" s="25"/>
      <c r="P223" s="25"/>
      <c r="Q223" s="25"/>
      <c r="R223" s="25" t="s">
        <v>60</v>
      </c>
      <c r="S223" s="25"/>
      <c r="T223" s="25"/>
      <c r="U223" s="25"/>
      <c r="V223" s="25"/>
      <c r="W223" s="25" t="s">
        <v>2064</v>
      </c>
      <c r="X223" s="25" t="s">
        <v>2065</v>
      </c>
      <c r="Y223" s="25" t="s">
        <v>2066</v>
      </c>
      <c r="Z223" s="25">
        <v>-78.464462999999995</v>
      </c>
      <c r="AA223" s="25">
        <v>-8.6582000000000006E-2</v>
      </c>
      <c r="AB223" s="25">
        <v>170150034</v>
      </c>
      <c r="AC223" s="25">
        <v>170150034003</v>
      </c>
      <c r="AD223" s="25">
        <v>170150034003003</v>
      </c>
      <c r="AE223" s="28">
        <v>3</v>
      </c>
      <c r="AF223" s="28" t="s">
        <v>377</v>
      </c>
      <c r="AG223" s="29" t="s">
        <v>65</v>
      </c>
      <c r="AH223" s="30"/>
      <c r="AI223" s="74" t="s">
        <v>65</v>
      </c>
      <c r="AJ223" s="32" t="s">
        <v>6938</v>
      </c>
      <c r="AK223" s="33" t="s">
        <v>92</v>
      </c>
      <c r="AL223" s="34">
        <v>45590</v>
      </c>
      <c r="AM223" s="36"/>
      <c r="AN223" s="36"/>
      <c r="AO223" s="36"/>
      <c r="AP223" s="36"/>
      <c r="AQ223" s="37">
        <f t="shared" si="12"/>
        <v>0</v>
      </c>
      <c r="AR223" s="38">
        <f t="shared" si="13"/>
        <v>0</v>
      </c>
      <c r="AS223" s="39">
        <f t="shared" si="14"/>
        <v>0</v>
      </c>
      <c r="AT223" s="91"/>
      <c r="AU223" s="92" t="s">
        <v>1356</v>
      </c>
      <c r="AV223" s="93"/>
      <c r="AW223" s="94"/>
      <c r="AX223" s="93"/>
      <c r="AY223" s="95"/>
      <c r="AZ223" s="91"/>
      <c r="BA223" s="92" t="s">
        <v>1356</v>
      </c>
      <c r="BB223" s="93"/>
      <c r="BC223" s="95"/>
      <c r="BD223" s="93"/>
      <c r="BE223" s="95"/>
      <c r="BF223" s="91"/>
      <c r="BG223" s="92" t="s">
        <v>1356</v>
      </c>
      <c r="BH223" s="93"/>
      <c r="BI223" s="95"/>
      <c r="BJ223" s="93"/>
      <c r="BK223" s="95"/>
      <c r="BL223" s="91"/>
      <c r="BM223" s="92" t="s">
        <v>1356</v>
      </c>
      <c r="BN223" s="93"/>
      <c r="BO223" s="95"/>
      <c r="BP223" s="93"/>
      <c r="BQ223" s="95"/>
      <c r="BR223" s="91"/>
      <c r="BS223" s="92" t="s">
        <v>1356</v>
      </c>
      <c r="BT223" s="93"/>
      <c r="BU223" s="95"/>
      <c r="BV223" s="93"/>
      <c r="BW223" s="95"/>
      <c r="BX223" s="113"/>
      <c r="BY223" s="114" t="s">
        <v>1356</v>
      </c>
      <c r="BZ223" s="115"/>
      <c r="CA223" s="116"/>
      <c r="CB223" s="115"/>
      <c r="CC223" s="116"/>
      <c r="CD223" s="113"/>
      <c r="CE223" s="114" t="s">
        <v>1356</v>
      </c>
      <c r="CF223" s="115"/>
      <c r="CG223" s="116"/>
      <c r="CH223" s="115"/>
      <c r="CI223" s="116"/>
      <c r="CJ223" s="113"/>
      <c r="CK223" s="114" t="s">
        <v>1356</v>
      </c>
      <c r="CL223" s="115"/>
      <c r="CM223" s="116"/>
      <c r="CN223" s="115"/>
      <c r="CO223" s="116"/>
      <c r="CP223" s="113"/>
      <c r="CQ223" s="114" t="s">
        <v>1356</v>
      </c>
      <c r="CR223" s="115"/>
      <c r="CS223" s="116"/>
      <c r="CT223" s="115"/>
      <c r="CU223" s="116"/>
      <c r="CV223" s="113"/>
      <c r="CW223" s="114" t="s">
        <v>1356</v>
      </c>
      <c r="CX223" s="115"/>
      <c r="CY223" s="116"/>
      <c r="CZ223" s="115"/>
      <c r="DA223" s="116"/>
      <c r="DB223" s="128" t="s">
        <v>7085</v>
      </c>
      <c r="DC223" s="131" t="s">
        <v>6751</v>
      </c>
    </row>
    <row r="224" spans="1:107" s="40" customFormat="1" ht="14.55" customHeight="1" x14ac:dyDescent="0.3">
      <c r="A224" s="25" t="s">
        <v>3500</v>
      </c>
      <c r="B224" s="25" t="s">
        <v>3930</v>
      </c>
      <c r="C224" s="25" t="s">
        <v>3931</v>
      </c>
      <c r="D224" s="25" t="s">
        <v>2067</v>
      </c>
      <c r="E224" s="25" t="s">
        <v>70</v>
      </c>
      <c r="F224" s="25" t="s">
        <v>361</v>
      </c>
      <c r="G224" s="26" t="s">
        <v>72</v>
      </c>
      <c r="H224" s="27" t="s">
        <v>251</v>
      </c>
      <c r="I224" s="26">
        <v>1701</v>
      </c>
      <c r="J224" s="26">
        <v>170150</v>
      </c>
      <c r="K224" s="28">
        <v>4</v>
      </c>
      <c r="L224" s="25" t="s">
        <v>2068</v>
      </c>
      <c r="M224" s="25" t="s">
        <v>2069</v>
      </c>
      <c r="N224" s="25" t="s">
        <v>221</v>
      </c>
      <c r="O224" s="25"/>
      <c r="P224" s="25"/>
      <c r="Q224" s="25"/>
      <c r="R224" s="25" t="s">
        <v>391</v>
      </c>
      <c r="S224" s="25"/>
      <c r="T224" s="25"/>
      <c r="U224" s="25" t="s">
        <v>1755</v>
      </c>
      <c r="V224" s="25"/>
      <c r="W224" s="25" t="s">
        <v>2070</v>
      </c>
      <c r="X224" s="25" t="s">
        <v>2071</v>
      </c>
      <c r="Y224" s="25" t="s">
        <v>2072</v>
      </c>
      <c r="Z224" s="25">
        <v>-78.473564744017494</v>
      </c>
      <c r="AA224" s="25">
        <v>-0.11535368517462</v>
      </c>
      <c r="AB224" s="25">
        <v>170150073</v>
      </c>
      <c r="AC224" s="25">
        <v>170150073009</v>
      </c>
      <c r="AD224" s="25">
        <v>170150073009007</v>
      </c>
      <c r="AE224" s="28">
        <v>3</v>
      </c>
      <c r="AF224" s="28" t="s">
        <v>377</v>
      </c>
      <c r="AG224" s="29" t="s">
        <v>65</v>
      </c>
      <c r="AH224" s="30"/>
      <c r="AI224" s="31" t="s">
        <v>66</v>
      </c>
      <c r="AJ224" s="32" t="s">
        <v>6938</v>
      </c>
      <c r="AK224" s="33" t="s">
        <v>67</v>
      </c>
      <c r="AL224" s="34">
        <v>45590</v>
      </c>
      <c r="AM224" s="36" t="s">
        <v>66</v>
      </c>
      <c r="AN224" s="36"/>
      <c r="AO224" s="36"/>
      <c r="AP224" s="36"/>
      <c r="AQ224" s="37">
        <f t="shared" si="12"/>
        <v>0</v>
      </c>
      <c r="AR224" s="38">
        <f t="shared" si="13"/>
        <v>0</v>
      </c>
      <c r="AS224" s="39">
        <f t="shared" si="14"/>
        <v>0</v>
      </c>
      <c r="AT224" s="91"/>
      <c r="AU224" s="92" t="s">
        <v>1356</v>
      </c>
      <c r="AV224" s="93"/>
      <c r="AW224" s="94"/>
      <c r="AX224" s="93"/>
      <c r="AY224" s="95"/>
      <c r="AZ224" s="91"/>
      <c r="BA224" s="92" t="s">
        <v>1356</v>
      </c>
      <c r="BB224" s="93"/>
      <c r="BC224" s="95"/>
      <c r="BD224" s="93"/>
      <c r="BE224" s="95"/>
      <c r="BF224" s="91"/>
      <c r="BG224" s="92" t="s">
        <v>1356</v>
      </c>
      <c r="BH224" s="93"/>
      <c r="BI224" s="95"/>
      <c r="BJ224" s="93"/>
      <c r="BK224" s="95"/>
      <c r="BL224" s="91"/>
      <c r="BM224" s="92" t="s">
        <v>1356</v>
      </c>
      <c r="BN224" s="93"/>
      <c r="BO224" s="95"/>
      <c r="BP224" s="93"/>
      <c r="BQ224" s="95"/>
      <c r="BR224" s="91"/>
      <c r="BS224" s="92" t="s">
        <v>1356</v>
      </c>
      <c r="BT224" s="93"/>
      <c r="BU224" s="95"/>
      <c r="BV224" s="93"/>
      <c r="BW224" s="95"/>
      <c r="BX224" s="113"/>
      <c r="BY224" s="114" t="s">
        <v>1356</v>
      </c>
      <c r="BZ224" s="115"/>
      <c r="CA224" s="116"/>
      <c r="CB224" s="115"/>
      <c r="CC224" s="116"/>
      <c r="CD224" s="113"/>
      <c r="CE224" s="114" t="s">
        <v>1356</v>
      </c>
      <c r="CF224" s="115"/>
      <c r="CG224" s="116"/>
      <c r="CH224" s="115"/>
      <c r="CI224" s="116"/>
      <c r="CJ224" s="113"/>
      <c r="CK224" s="114" t="s">
        <v>1356</v>
      </c>
      <c r="CL224" s="115"/>
      <c r="CM224" s="116"/>
      <c r="CN224" s="115"/>
      <c r="CO224" s="116"/>
      <c r="CP224" s="113"/>
      <c r="CQ224" s="114" t="s">
        <v>1356</v>
      </c>
      <c r="CR224" s="115"/>
      <c r="CS224" s="116"/>
      <c r="CT224" s="115"/>
      <c r="CU224" s="116"/>
      <c r="CV224" s="113"/>
      <c r="CW224" s="114" t="s">
        <v>1356</v>
      </c>
      <c r="CX224" s="115"/>
      <c r="CY224" s="116"/>
      <c r="CZ224" s="115"/>
      <c r="DA224" s="116"/>
      <c r="DB224" s="128" t="s">
        <v>7085</v>
      </c>
      <c r="DC224" s="128" t="s">
        <v>105</v>
      </c>
    </row>
    <row r="225" spans="1:107" s="40" customFormat="1" ht="14.55" customHeight="1" x14ac:dyDescent="0.3">
      <c r="A225" s="25" t="s">
        <v>3500</v>
      </c>
      <c r="B225" s="25" t="s">
        <v>3932</v>
      </c>
      <c r="C225" s="25" t="s">
        <v>3933</v>
      </c>
      <c r="D225" s="25" t="s">
        <v>2073</v>
      </c>
      <c r="E225" s="25" t="s">
        <v>2074</v>
      </c>
      <c r="F225" s="25" t="s">
        <v>95</v>
      </c>
      <c r="G225" s="26" t="s">
        <v>72</v>
      </c>
      <c r="H225" s="27" t="s">
        <v>251</v>
      </c>
      <c r="I225" s="26">
        <v>1701</v>
      </c>
      <c r="J225" s="26">
        <v>170150</v>
      </c>
      <c r="K225" s="28">
        <v>4</v>
      </c>
      <c r="L225" s="25" t="s">
        <v>2075</v>
      </c>
      <c r="M225" s="25" t="s">
        <v>2076</v>
      </c>
      <c r="N225" s="25" t="s">
        <v>2077</v>
      </c>
      <c r="O225" s="25"/>
      <c r="P225" s="25"/>
      <c r="Q225" s="25"/>
      <c r="R225" s="25" t="s">
        <v>60</v>
      </c>
      <c r="S225" s="25"/>
      <c r="T225" s="25"/>
      <c r="U225" s="25"/>
      <c r="V225" s="25"/>
      <c r="W225" s="25" t="s">
        <v>2078</v>
      </c>
      <c r="X225" s="25" t="s">
        <v>2079</v>
      </c>
      <c r="Y225" s="25" t="s">
        <v>2080</v>
      </c>
      <c r="Z225" s="25">
        <v>-78.478478999999993</v>
      </c>
      <c r="AA225" s="25">
        <v>-0.11579399999999999</v>
      </c>
      <c r="AB225" s="25">
        <v>170150073</v>
      </c>
      <c r="AC225" s="25">
        <v>170150073011</v>
      </c>
      <c r="AD225" s="25">
        <v>170150073011001</v>
      </c>
      <c r="AE225" s="28">
        <v>4</v>
      </c>
      <c r="AF225" s="28" t="s">
        <v>499</v>
      </c>
      <c r="AG225" s="29" t="s">
        <v>65</v>
      </c>
      <c r="AH225" s="30"/>
      <c r="AI225" s="31" t="s">
        <v>66</v>
      </c>
      <c r="AJ225" s="32" t="s">
        <v>6938</v>
      </c>
      <c r="AK225" s="33" t="s">
        <v>67</v>
      </c>
      <c r="AL225" s="34">
        <v>45589</v>
      </c>
      <c r="AM225" s="36" t="s">
        <v>66</v>
      </c>
      <c r="AN225" s="36"/>
      <c r="AO225" s="36"/>
      <c r="AP225" s="36"/>
      <c r="AQ225" s="37">
        <f t="shared" si="12"/>
        <v>0</v>
      </c>
      <c r="AR225" s="38">
        <f t="shared" si="13"/>
        <v>0</v>
      </c>
      <c r="AS225" s="39">
        <f t="shared" si="14"/>
        <v>0</v>
      </c>
      <c r="AT225" s="91"/>
      <c r="AU225" s="92" t="s">
        <v>1356</v>
      </c>
      <c r="AV225" s="93"/>
      <c r="AW225" s="94"/>
      <c r="AX225" s="93"/>
      <c r="AY225" s="95"/>
      <c r="AZ225" s="91"/>
      <c r="BA225" s="92" t="s">
        <v>1356</v>
      </c>
      <c r="BB225" s="93"/>
      <c r="BC225" s="95"/>
      <c r="BD225" s="93"/>
      <c r="BE225" s="95"/>
      <c r="BF225" s="91"/>
      <c r="BG225" s="92" t="s">
        <v>1356</v>
      </c>
      <c r="BH225" s="93"/>
      <c r="BI225" s="95"/>
      <c r="BJ225" s="93"/>
      <c r="BK225" s="95"/>
      <c r="BL225" s="91"/>
      <c r="BM225" s="92" t="s">
        <v>1356</v>
      </c>
      <c r="BN225" s="93"/>
      <c r="BO225" s="95"/>
      <c r="BP225" s="93"/>
      <c r="BQ225" s="95"/>
      <c r="BR225" s="91"/>
      <c r="BS225" s="92" t="s">
        <v>1356</v>
      </c>
      <c r="BT225" s="93"/>
      <c r="BU225" s="95"/>
      <c r="BV225" s="93"/>
      <c r="BW225" s="95"/>
      <c r="BX225" s="113"/>
      <c r="BY225" s="114" t="s">
        <v>1356</v>
      </c>
      <c r="BZ225" s="115"/>
      <c r="CA225" s="116"/>
      <c r="CB225" s="115"/>
      <c r="CC225" s="116"/>
      <c r="CD225" s="113"/>
      <c r="CE225" s="114" t="s">
        <v>1356</v>
      </c>
      <c r="CF225" s="115"/>
      <c r="CG225" s="116"/>
      <c r="CH225" s="115"/>
      <c r="CI225" s="116"/>
      <c r="CJ225" s="113"/>
      <c r="CK225" s="114" t="s">
        <v>1356</v>
      </c>
      <c r="CL225" s="115"/>
      <c r="CM225" s="116"/>
      <c r="CN225" s="115"/>
      <c r="CO225" s="116"/>
      <c r="CP225" s="113"/>
      <c r="CQ225" s="114" t="s">
        <v>1356</v>
      </c>
      <c r="CR225" s="115"/>
      <c r="CS225" s="116"/>
      <c r="CT225" s="115"/>
      <c r="CU225" s="116"/>
      <c r="CV225" s="113"/>
      <c r="CW225" s="114" t="s">
        <v>1356</v>
      </c>
      <c r="CX225" s="115"/>
      <c r="CY225" s="116"/>
      <c r="CZ225" s="115"/>
      <c r="DA225" s="116"/>
      <c r="DB225" s="128" t="s">
        <v>7085</v>
      </c>
      <c r="DC225" s="131" t="s">
        <v>6751</v>
      </c>
    </row>
    <row r="226" spans="1:107" s="40" customFormat="1" ht="14.55" customHeight="1" x14ac:dyDescent="0.3">
      <c r="A226" s="25" t="s">
        <v>3500</v>
      </c>
      <c r="B226" s="25" t="s">
        <v>3934</v>
      </c>
      <c r="C226" s="25" t="s">
        <v>3935</v>
      </c>
      <c r="D226" s="25" t="s">
        <v>2081</v>
      </c>
      <c r="E226" s="25" t="s">
        <v>2081</v>
      </c>
      <c r="F226" s="25" t="s">
        <v>142</v>
      </c>
      <c r="G226" s="26" t="s">
        <v>72</v>
      </c>
      <c r="H226" s="27" t="s">
        <v>251</v>
      </c>
      <c r="I226" s="26">
        <v>1701</v>
      </c>
      <c r="J226" s="26">
        <v>170150</v>
      </c>
      <c r="K226" s="28">
        <v>4</v>
      </c>
      <c r="L226" s="25" t="s">
        <v>2082</v>
      </c>
      <c r="M226" s="25" t="s">
        <v>545</v>
      </c>
      <c r="N226" s="25" t="s">
        <v>2083</v>
      </c>
      <c r="O226" s="25"/>
      <c r="P226" s="25"/>
      <c r="Q226" s="25"/>
      <c r="R226" s="25" t="s">
        <v>535</v>
      </c>
      <c r="S226" s="25"/>
      <c r="T226" s="25" t="s">
        <v>548</v>
      </c>
      <c r="U226" s="25" t="s">
        <v>548</v>
      </c>
      <c r="V226" s="25"/>
      <c r="W226" s="25" t="s">
        <v>549</v>
      </c>
      <c r="X226" s="25" t="s">
        <v>2084</v>
      </c>
      <c r="Y226" s="25" t="s">
        <v>2085</v>
      </c>
      <c r="Z226" s="25"/>
      <c r="AA226" s="25"/>
      <c r="AB226" s="25">
        <v>170150131</v>
      </c>
      <c r="AC226" s="25">
        <v>170150131003</v>
      </c>
      <c r="AD226" s="25">
        <v>170150131003001</v>
      </c>
      <c r="AE226" s="28">
        <v>4</v>
      </c>
      <c r="AF226" s="28" t="s">
        <v>499</v>
      </c>
      <c r="AG226" s="29" t="s">
        <v>65</v>
      </c>
      <c r="AH226" s="30"/>
      <c r="AI226" s="31" t="s">
        <v>66</v>
      </c>
      <c r="AJ226" s="32" t="s">
        <v>6938</v>
      </c>
      <c r="AK226" s="33" t="s">
        <v>67</v>
      </c>
      <c r="AL226" s="34">
        <v>45580</v>
      </c>
      <c r="AM226" s="36" t="s">
        <v>66</v>
      </c>
      <c r="AN226" s="36"/>
      <c r="AO226" s="36"/>
      <c r="AP226" s="36"/>
      <c r="AQ226" s="37">
        <f t="shared" si="12"/>
        <v>0</v>
      </c>
      <c r="AR226" s="38">
        <f t="shared" si="13"/>
        <v>0</v>
      </c>
      <c r="AS226" s="39">
        <f t="shared" si="14"/>
        <v>0</v>
      </c>
      <c r="AT226" s="91"/>
      <c r="AU226" s="92" t="s">
        <v>1356</v>
      </c>
      <c r="AV226" s="93"/>
      <c r="AW226" s="94"/>
      <c r="AX226" s="93"/>
      <c r="AY226" s="95"/>
      <c r="AZ226" s="91"/>
      <c r="BA226" s="92" t="s">
        <v>1356</v>
      </c>
      <c r="BB226" s="93"/>
      <c r="BC226" s="95"/>
      <c r="BD226" s="93"/>
      <c r="BE226" s="95"/>
      <c r="BF226" s="91"/>
      <c r="BG226" s="92" t="s">
        <v>1356</v>
      </c>
      <c r="BH226" s="93"/>
      <c r="BI226" s="95"/>
      <c r="BJ226" s="93"/>
      <c r="BK226" s="95"/>
      <c r="BL226" s="91"/>
      <c r="BM226" s="92" t="s">
        <v>1356</v>
      </c>
      <c r="BN226" s="93"/>
      <c r="BO226" s="95"/>
      <c r="BP226" s="93"/>
      <c r="BQ226" s="95"/>
      <c r="BR226" s="91"/>
      <c r="BS226" s="92" t="s">
        <v>1356</v>
      </c>
      <c r="BT226" s="93"/>
      <c r="BU226" s="95"/>
      <c r="BV226" s="93"/>
      <c r="BW226" s="95"/>
      <c r="BX226" s="113"/>
      <c r="BY226" s="114" t="s">
        <v>1356</v>
      </c>
      <c r="BZ226" s="115"/>
      <c r="CA226" s="116"/>
      <c r="CB226" s="115"/>
      <c r="CC226" s="116"/>
      <c r="CD226" s="113"/>
      <c r="CE226" s="114" t="s">
        <v>1356</v>
      </c>
      <c r="CF226" s="115"/>
      <c r="CG226" s="116"/>
      <c r="CH226" s="115"/>
      <c r="CI226" s="116"/>
      <c r="CJ226" s="113"/>
      <c r="CK226" s="114" t="s">
        <v>1356</v>
      </c>
      <c r="CL226" s="115"/>
      <c r="CM226" s="116"/>
      <c r="CN226" s="115"/>
      <c r="CO226" s="116"/>
      <c r="CP226" s="113"/>
      <c r="CQ226" s="114" t="s">
        <v>1356</v>
      </c>
      <c r="CR226" s="115"/>
      <c r="CS226" s="116"/>
      <c r="CT226" s="115"/>
      <c r="CU226" s="116"/>
      <c r="CV226" s="113"/>
      <c r="CW226" s="114" t="s">
        <v>1356</v>
      </c>
      <c r="CX226" s="115"/>
      <c r="CY226" s="116"/>
      <c r="CZ226" s="115"/>
      <c r="DA226" s="116"/>
      <c r="DB226" s="128" t="s">
        <v>7085</v>
      </c>
      <c r="DC226" s="128" t="s">
        <v>78</v>
      </c>
    </row>
    <row r="227" spans="1:107" s="40" customFormat="1" ht="14.55" customHeight="1" x14ac:dyDescent="0.3">
      <c r="A227" s="25" t="s">
        <v>3500</v>
      </c>
      <c r="B227" s="25" t="s">
        <v>3936</v>
      </c>
      <c r="C227" s="25" t="s">
        <v>3937</v>
      </c>
      <c r="D227" s="25" t="s">
        <v>2086</v>
      </c>
      <c r="E227" s="25" t="s">
        <v>70</v>
      </c>
      <c r="F227" s="25" t="s">
        <v>567</v>
      </c>
      <c r="G227" s="26" t="s">
        <v>72</v>
      </c>
      <c r="H227" s="27" t="s">
        <v>251</v>
      </c>
      <c r="I227" s="26">
        <v>1701</v>
      </c>
      <c r="J227" s="26">
        <v>170150</v>
      </c>
      <c r="K227" s="28">
        <v>4</v>
      </c>
      <c r="L227" s="25" t="s">
        <v>2087</v>
      </c>
      <c r="M227" s="25" t="s">
        <v>2088</v>
      </c>
      <c r="N227" s="25" t="s">
        <v>2089</v>
      </c>
      <c r="O227" s="25"/>
      <c r="P227" s="25"/>
      <c r="Q227" s="25" t="s">
        <v>2090</v>
      </c>
      <c r="R227" s="25" t="s">
        <v>113</v>
      </c>
      <c r="S227" s="25"/>
      <c r="T227" s="25"/>
      <c r="U227" s="25" t="s">
        <v>2091</v>
      </c>
      <c r="V227" s="25"/>
      <c r="W227" s="25" t="s">
        <v>2092</v>
      </c>
      <c r="X227" s="25" t="s">
        <v>2093</v>
      </c>
      <c r="Y227" s="25" t="s">
        <v>2094</v>
      </c>
      <c r="Z227" s="25">
        <v>-78.506187200546265</v>
      </c>
      <c r="AA227" s="25">
        <v>-0.13802634240366771</v>
      </c>
      <c r="AB227" s="25">
        <v>170150100</v>
      </c>
      <c r="AC227" s="25">
        <v>170150100003</v>
      </c>
      <c r="AD227" s="25">
        <v>170150100003001</v>
      </c>
      <c r="AE227" s="28">
        <v>4</v>
      </c>
      <c r="AF227" s="28" t="s">
        <v>499</v>
      </c>
      <c r="AG227" s="29" t="s">
        <v>65</v>
      </c>
      <c r="AH227" s="30"/>
      <c r="AI227" s="31" t="s">
        <v>66</v>
      </c>
      <c r="AJ227" s="32" t="s">
        <v>6938</v>
      </c>
      <c r="AK227" s="33" t="s">
        <v>67</v>
      </c>
      <c r="AL227" s="34">
        <v>45612</v>
      </c>
      <c r="AM227" s="36" t="s">
        <v>66</v>
      </c>
      <c r="AN227" s="36"/>
      <c r="AO227" s="36"/>
      <c r="AP227" s="36"/>
      <c r="AQ227" s="37">
        <f t="shared" si="12"/>
        <v>0</v>
      </c>
      <c r="AR227" s="38">
        <f t="shared" si="13"/>
        <v>0</v>
      </c>
      <c r="AS227" s="39">
        <f t="shared" si="14"/>
        <v>0</v>
      </c>
      <c r="AT227" s="91"/>
      <c r="AU227" s="92" t="s">
        <v>1356</v>
      </c>
      <c r="AV227" s="93"/>
      <c r="AW227" s="94"/>
      <c r="AX227" s="93"/>
      <c r="AY227" s="95"/>
      <c r="AZ227" s="91"/>
      <c r="BA227" s="92" t="s">
        <v>1356</v>
      </c>
      <c r="BB227" s="93"/>
      <c r="BC227" s="95"/>
      <c r="BD227" s="93"/>
      <c r="BE227" s="95"/>
      <c r="BF227" s="91"/>
      <c r="BG227" s="92" t="s">
        <v>1356</v>
      </c>
      <c r="BH227" s="93"/>
      <c r="BI227" s="95"/>
      <c r="BJ227" s="93"/>
      <c r="BK227" s="95"/>
      <c r="BL227" s="91"/>
      <c r="BM227" s="92" t="s">
        <v>1356</v>
      </c>
      <c r="BN227" s="93"/>
      <c r="BO227" s="95"/>
      <c r="BP227" s="93"/>
      <c r="BQ227" s="95"/>
      <c r="BR227" s="91"/>
      <c r="BS227" s="92" t="s">
        <v>1356</v>
      </c>
      <c r="BT227" s="93"/>
      <c r="BU227" s="95"/>
      <c r="BV227" s="93"/>
      <c r="BW227" s="95"/>
      <c r="BX227" s="113"/>
      <c r="BY227" s="114" t="s">
        <v>1356</v>
      </c>
      <c r="BZ227" s="115"/>
      <c r="CA227" s="116"/>
      <c r="CB227" s="115"/>
      <c r="CC227" s="116"/>
      <c r="CD227" s="113"/>
      <c r="CE227" s="114" t="s">
        <v>1356</v>
      </c>
      <c r="CF227" s="115"/>
      <c r="CG227" s="116"/>
      <c r="CH227" s="115"/>
      <c r="CI227" s="116"/>
      <c r="CJ227" s="113"/>
      <c r="CK227" s="114" t="s">
        <v>1356</v>
      </c>
      <c r="CL227" s="115"/>
      <c r="CM227" s="116"/>
      <c r="CN227" s="115"/>
      <c r="CO227" s="116"/>
      <c r="CP227" s="113"/>
      <c r="CQ227" s="114" t="s">
        <v>1356</v>
      </c>
      <c r="CR227" s="115"/>
      <c r="CS227" s="116"/>
      <c r="CT227" s="115"/>
      <c r="CU227" s="116"/>
      <c r="CV227" s="113"/>
      <c r="CW227" s="114" t="s">
        <v>1356</v>
      </c>
      <c r="CX227" s="115"/>
      <c r="CY227" s="116"/>
      <c r="CZ227" s="115"/>
      <c r="DA227" s="116"/>
      <c r="DB227" s="128" t="s">
        <v>7085</v>
      </c>
      <c r="DC227" s="131" t="s">
        <v>6751</v>
      </c>
    </row>
    <row r="228" spans="1:107" s="40" customFormat="1" ht="14.55" customHeight="1" x14ac:dyDescent="0.3">
      <c r="A228" s="25" t="s">
        <v>3500</v>
      </c>
      <c r="B228" s="25" t="s">
        <v>3938</v>
      </c>
      <c r="C228" s="25" t="s">
        <v>3939</v>
      </c>
      <c r="D228" s="25" t="s">
        <v>2095</v>
      </c>
      <c r="E228" s="25" t="s">
        <v>2096</v>
      </c>
      <c r="F228" s="25" t="s">
        <v>1329</v>
      </c>
      <c r="G228" s="26" t="s">
        <v>72</v>
      </c>
      <c r="H228" s="27" t="s">
        <v>251</v>
      </c>
      <c r="I228" s="26">
        <v>1701</v>
      </c>
      <c r="J228" s="26">
        <v>170150</v>
      </c>
      <c r="K228" s="28">
        <v>4</v>
      </c>
      <c r="L228" s="25" t="s">
        <v>2097</v>
      </c>
      <c r="M228" s="25" t="s">
        <v>2098</v>
      </c>
      <c r="N228" s="25" t="s">
        <v>221</v>
      </c>
      <c r="O228" s="25"/>
      <c r="P228" s="25"/>
      <c r="Q228" s="25"/>
      <c r="R228" s="25" t="s">
        <v>60</v>
      </c>
      <c r="S228" s="25"/>
      <c r="T228" s="25"/>
      <c r="U228" s="25" t="s">
        <v>609</v>
      </c>
      <c r="V228" s="25"/>
      <c r="W228" s="25" t="s">
        <v>2099</v>
      </c>
      <c r="X228" s="25" t="s">
        <v>2100</v>
      </c>
      <c r="Y228" s="25" t="s">
        <v>2101</v>
      </c>
      <c r="Z228" s="25">
        <v>-78.469577000000001</v>
      </c>
      <c r="AA228" s="25">
        <v>-0.10166600000000001</v>
      </c>
      <c r="AB228" s="25">
        <v>170150043</v>
      </c>
      <c r="AC228" s="25">
        <v>170150043004</v>
      </c>
      <c r="AD228" s="25">
        <v>170150043004015</v>
      </c>
      <c r="AE228" s="28">
        <v>4</v>
      </c>
      <c r="AF228" s="28" t="s">
        <v>499</v>
      </c>
      <c r="AG228" s="29" t="s">
        <v>65</v>
      </c>
      <c r="AH228" s="30"/>
      <c r="AI228" s="31" t="s">
        <v>66</v>
      </c>
      <c r="AJ228" s="32" t="s">
        <v>6938</v>
      </c>
      <c r="AK228" s="33" t="s">
        <v>67</v>
      </c>
      <c r="AL228" s="34">
        <v>45581</v>
      </c>
      <c r="AM228" s="36" t="s">
        <v>66</v>
      </c>
      <c r="AN228" s="36"/>
      <c r="AO228" s="36"/>
      <c r="AP228" s="36"/>
      <c r="AQ228" s="37">
        <f t="shared" si="12"/>
        <v>0</v>
      </c>
      <c r="AR228" s="38">
        <f t="shared" si="13"/>
        <v>0</v>
      </c>
      <c r="AS228" s="39">
        <f t="shared" si="14"/>
        <v>0</v>
      </c>
      <c r="AT228" s="91"/>
      <c r="AU228" s="92" t="s">
        <v>1356</v>
      </c>
      <c r="AV228" s="93"/>
      <c r="AW228" s="94"/>
      <c r="AX228" s="93"/>
      <c r="AY228" s="95"/>
      <c r="AZ228" s="91"/>
      <c r="BA228" s="92" t="s">
        <v>1356</v>
      </c>
      <c r="BB228" s="93"/>
      <c r="BC228" s="95"/>
      <c r="BD228" s="93"/>
      <c r="BE228" s="95"/>
      <c r="BF228" s="91"/>
      <c r="BG228" s="92" t="s">
        <v>1356</v>
      </c>
      <c r="BH228" s="93"/>
      <c r="BI228" s="95"/>
      <c r="BJ228" s="93"/>
      <c r="BK228" s="95"/>
      <c r="BL228" s="91"/>
      <c r="BM228" s="92" t="s">
        <v>1356</v>
      </c>
      <c r="BN228" s="93"/>
      <c r="BO228" s="95"/>
      <c r="BP228" s="93"/>
      <c r="BQ228" s="95"/>
      <c r="BR228" s="91"/>
      <c r="BS228" s="92" t="s">
        <v>1356</v>
      </c>
      <c r="BT228" s="93"/>
      <c r="BU228" s="95"/>
      <c r="BV228" s="93"/>
      <c r="BW228" s="95"/>
      <c r="BX228" s="113"/>
      <c r="BY228" s="114" t="s">
        <v>1356</v>
      </c>
      <c r="BZ228" s="115"/>
      <c r="CA228" s="116"/>
      <c r="CB228" s="115"/>
      <c r="CC228" s="116"/>
      <c r="CD228" s="113"/>
      <c r="CE228" s="114" t="s">
        <v>1356</v>
      </c>
      <c r="CF228" s="115"/>
      <c r="CG228" s="116"/>
      <c r="CH228" s="115"/>
      <c r="CI228" s="116"/>
      <c r="CJ228" s="113"/>
      <c r="CK228" s="114" t="s">
        <v>1356</v>
      </c>
      <c r="CL228" s="115"/>
      <c r="CM228" s="116"/>
      <c r="CN228" s="115"/>
      <c r="CO228" s="116"/>
      <c r="CP228" s="113"/>
      <c r="CQ228" s="114" t="s">
        <v>1356</v>
      </c>
      <c r="CR228" s="115"/>
      <c r="CS228" s="116"/>
      <c r="CT228" s="115"/>
      <c r="CU228" s="116"/>
      <c r="CV228" s="113"/>
      <c r="CW228" s="114" t="s">
        <v>1356</v>
      </c>
      <c r="CX228" s="115"/>
      <c r="CY228" s="116"/>
      <c r="CZ228" s="115"/>
      <c r="DA228" s="116"/>
      <c r="DB228" s="128" t="s">
        <v>7085</v>
      </c>
      <c r="DC228" s="131" t="s">
        <v>6751</v>
      </c>
    </row>
    <row r="229" spans="1:107" s="40" customFormat="1" ht="14.55" customHeight="1" x14ac:dyDescent="0.3">
      <c r="A229" s="25" t="s">
        <v>3500</v>
      </c>
      <c r="B229" s="25" t="s">
        <v>3940</v>
      </c>
      <c r="C229" s="25" t="s">
        <v>3941</v>
      </c>
      <c r="D229" s="25" t="s">
        <v>2102</v>
      </c>
      <c r="E229" s="25" t="s">
        <v>2103</v>
      </c>
      <c r="F229" s="25" t="s">
        <v>256</v>
      </c>
      <c r="G229" s="26" t="s">
        <v>72</v>
      </c>
      <c r="H229" s="27" t="s">
        <v>251</v>
      </c>
      <c r="I229" s="26">
        <v>1701</v>
      </c>
      <c r="J229" s="26">
        <v>170150</v>
      </c>
      <c r="K229" s="28">
        <v>4</v>
      </c>
      <c r="L229" s="25" t="s">
        <v>2104</v>
      </c>
      <c r="M229" s="25" t="s">
        <v>2105</v>
      </c>
      <c r="N229" s="25" t="s">
        <v>2106</v>
      </c>
      <c r="O229" s="25"/>
      <c r="P229" s="25"/>
      <c r="Q229" s="25"/>
      <c r="R229" s="25" t="s">
        <v>60</v>
      </c>
      <c r="S229" s="25"/>
      <c r="T229" s="25"/>
      <c r="U229" s="25" t="s">
        <v>2107</v>
      </c>
      <c r="V229" s="25"/>
      <c r="W229" s="25" t="s">
        <v>2108</v>
      </c>
      <c r="X229" s="25" t="s">
        <v>2109</v>
      </c>
      <c r="Y229" s="25" t="s">
        <v>2110</v>
      </c>
      <c r="Z229" s="25"/>
      <c r="AA229" s="25"/>
      <c r="AB229" s="25">
        <v>170150024</v>
      </c>
      <c r="AC229" s="25">
        <v>170150024009</v>
      </c>
      <c r="AD229" s="25">
        <v>170150024009003</v>
      </c>
      <c r="AE229" s="28">
        <v>4</v>
      </c>
      <c r="AF229" s="28" t="s">
        <v>499</v>
      </c>
      <c r="AG229" s="29" t="s">
        <v>65</v>
      </c>
      <c r="AH229" s="30"/>
      <c r="AI229" s="31" t="s">
        <v>66</v>
      </c>
      <c r="AJ229" s="32" t="s">
        <v>6938</v>
      </c>
      <c r="AK229" s="33" t="s">
        <v>67</v>
      </c>
      <c r="AL229" s="34">
        <v>45589</v>
      </c>
      <c r="AM229" s="36" t="s">
        <v>66</v>
      </c>
      <c r="AN229" s="36"/>
      <c r="AO229" s="36"/>
      <c r="AP229" s="36"/>
      <c r="AQ229" s="37">
        <f t="shared" si="12"/>
        <v>0</v>
      </c>
      <c r="AR229" s="38">
        <f t="shared" si="13"/>
        <v>0</v>
      </c>
      <c r="AS229" s="39">
        <f t="shared" si="14"/>
        <v>0</v>
      </c>
      <c r="AT229" s="91"/>
      <c r="AU229" s="92" t="s">
        <v>1356</v>
      </c>
      <c r="AV229" s="93"/>
      <c r="AW229" s="94"/>
      <c r="AX229" s="93"/>
      <c r="AY229" s="95"/>
      <c r="AZ229" s="91"/>
      <c r="BA229" s="92" t="s">
        <v>1356</v>
      </c>
      <c r="BB229" s="93"/>
      <c r="BC229" s="95"/>
      <c r="BD229" s="93"/>
      <c r="BE229" s="95"/>
      <c r="BF229" s="91"/>
      <c r="BG229" s="92" t="s">
        <v>1356</v>
      </c>
      <c r="BH229" s="93"/>
      <c r="BI229" s="95"/>
      <c r="BJ229" s="93"/>
      <c r="BK229" s="95"/>
      <c r="BL229" s="91"/>
      <c r="BM229" s="92" t="s">
        <v>1356</v>
      </c>
      <c r="BN229" s="93"/>
      <c r="BO229" s="95"/>
      <c r="BP229" s="93"/>
      <c r="BQ229" s="95"/>
      <c r="BR229" s="91"/>
      <c r="BS229" s="92" t="s">
        <v>1356</v>
      </c>
      <c r="BT229" s="93"/>
      <c r="BU229" s="95"/>
      <c r="BV229" s="93"/>
      <c r="BW229" s="95"/>
      <c r="BX229" s="113"/>
      <c r="BY229" s="114" t="s">
        <v>1356</v>
      </c>
      <c r="BZ229" s="115"/>
      <c r="CA229" s="116"/>
      <c r="CB229" s="115"/>
      <c r="CC229" s="116"/>
      <c r="CD229" s="113"/>
      <c r="CE229" s="114" t="s">
        <v>1356</v>
      </c>
      <c r="CF229" s="115"/>
      <c r="CG229" s="116"/>
      <c r="CH229" s="115"/>
      <c r="CI229" s="116"/>
      <c r="CJ229" s="113"/>
      <c r="CK229" s="114" t="s">
        <v>1356</v>
      </c>
      <c r="CL229" s="115"/>
      <c r="CM229" s="116"/>
      <c r="CN229" s="115"/>
      <c r="CO229" s="116"/>
      <c r="CP229" s="113"/>
      <c r="CQ229" s="114" t="s">
        <v>1356</v>
      </c>
      <c r="CR229" s="115"/>
      <c r="CS229" s="116"/>
      <c r="CT229" s="115"/>
      <c r="CU229" s="116"/>
      <c r="CV229" s="113"/>
      <c r="CW229" s="114" t="s">
        <v>1356</v>
      </c>
      <c r="CX229" s="115"/>
      <c r="CY229" s="116"/>
      <c r="CZ229" s="115"/>
      <c r="DA229" s="116"/>
      <c r="DB229" s="128" t="s">
        <v>7085</v>
      </c>
      <c r="DC229" s="131" t="s">
        <v>6751</v>
      </c>
    </row>
    <row r="230" spans="1:107" s="40" customFormat="1" ht="14.55" customHeight="1" x14ac:dyDescent="0.3">
      <c r="A230" s="25" t="s">
        <v>3500</v>
      </c>
      <c r="B230" s="25" t="s">
        <v>3942</v>
      </c>
      <c r="C230" s="25" t="s">
        <v>3943</v>
      </c>
      <c r="D230" s="25" t="s">
        <v>2111</v>
      </c>
      <c r="E230" s="25"/>
      <c r="F230" s="25" t="s">
        <v>256</v>
      </c>
      <c r="G230" s="26" t="s">
        <v>72</v>
      </c>
      <c r="H230" s="27" t="s">
        <v>251</v>
      </c>
      <c r="I230" s="26">
        <v>1701</v>
      </c>
      <c r="J230" s="26">
        <v>170150</v>
      </c>
      <c r="K230" s="28">
        <v>4</v>
      </c>
      <c r="L230" s="25" t="s">
        <v>2112</v>
      </c>
      <c r="M230" s="25" t="s">
        <v>2113</v>
      </c>
      <c r="N230" s="25" t="s">
        <v>2114</v>
      </c>
      <c r="O230" s="25"/>
      <c r="P230" s="25"/>
      <c r="Q230" s="25"/>
      <c r="R230" s="25" t="s">
        <v>403</v>
      </c>
      <c r="S230" s="25"/>
      <c r="T230" s="25"/>
      <c r="U230" s="25"/>
      <c r="V230" s="25"/>
      <c r="W230" s="25"/>
      <c r="X230" s="25" t="s">
        <v>2115</v>
      </c>
      <c r="Y230" s="25" t="s">
        <v>2116</v>
      </c>
      <c r="Z230" s="25">
        <v>-78.507679999999993</v>
      </c>
      <c r="AA230" s="25">
        <v>-0.19034799999999999</v>
      </c>
      <c r="AB230" s="25">
        <v>170150165</v>
      </c>
      <c r="AC230" s="25">
        <v>170150165003</v>
      </c>
      <c r="AD230" s="25">
        <v>170150165003001</v>
      </c>
      <c r="AE230" s="28">
        <v>4</v>
      </c>
      <c r="AF230" s="28" t="s">
        <v>499</v>
      </c>
      <c r="AG230" s="29" t="s">
        <v>65</v>
      </c>
      <c r="AH230" s="30"/>
      <c r="AI230" s="31" t="s">
        <v>66</v>
      </c>
      <c r="AJ230" s="32" t="s">
        <v>6938</v>
      </c>
      <c r="AK230" s="33" t="s">
        <v>67</v>
      </c>
      <c r="AL230" s="34">
        <v>45589</v>
      </c>
      <c r="AM230" s="36" t="s">
        <v>66</v>
      </c>
      <c r="AN230" s="36"/>
      <c r="AO230" s="36"/>
      <c r="AP230" s="36"/>
      <c r="AQ230" s="37">
        <f t="shared" si="12"/>
        <v>0</v>
      </c>
      <c r="AR230" s="38">
        <f t="shared" si="13"/>
        <v>0</v>
      </c>
      <c r="AS230" s="39">
        <f t="shared" si="14"/>
        <v>0</v>
      </c>
      <c r="AT230" s="91"/>
      <c r="AU230" s="92" t="s">
        <v>1356</v>
      </c>
      <c r="AV230" s="93"/>
      <c r="AW230" s="94"/>
      <c r="AX230" s="93"/>
      <c r="AY230" s="95"/>
      <c r="AZ230" s="91"/>
      <c r="BA230" s="92" t="s">
        <v>1356</v>
      </c>
      <c r="BB230" s="93"/>
      <c r="BC230" s="95"/>
      <c r="BD230" s="93"/>
      <c r="BE230" s="95"/>
      <c r="BF230" s="91"/>
      <c r="BG230" s="92" t="s">
        <v>1356</v>
      </c>
      <c r="BH230" s="93"/>
      <c r="BI230" s="95"/>
      <c r="BJ230" s="93"/>
      <c r="BK230" s="95"/>
      <c r="BL230" s="91"/>
      <c r="BM230" s="92" t="s">
        <v>1356</v>
      </c>
      <c r="BN230" s="93"/>
      <c r="BO230" s="95"/>
      <c r="BP230" s="93"/>
      <c r="BQ230" s="95"/>
      <c r="BR230" s="91"/>
      <c r="BS230" s="92" t="s">
        <v>1356</v>
      </c>
      <c r="BT230" s="93"/>
      <c r="BU230" s="95"/>
      <c r="BV230" s="93"/>
      <c r="BW230" s="95"/>
      <c r="BX230" s="113"/>
      <c r="BY230" s="114" t="s">
        <v>1356</v>
      </c>
      <c r="BZ230" s="115"/>
      <c r="CA230" s="116"/>
      <c r="CB230" s="115"/>
      <c r="CC230" s="116"/>
      <c r="CD230" s="113"/>
      <c r="CE230" s="114" t="s">
        <v>1356</v>
      </c>
      <c r="CF230" s="115"/>
      <c r="CG230" s="116"/>
      <c r="CH230" s="115"/>
      <c r="CI230" s="116"/>
      <c r="CJ230" s="113"/>
      <c r="CK230" s="114" t="s">
        <v>1356</v>
      </c>
      <c r="CL230" s="115"/>
      <c r="CM230" s="116"/>
      <c r="CN230" s="115"/>
      <c r="CO230" s="116"/>
      <c r="CP230" s="113"/>
      <c r="CQ230" s="114" t="s">
        <v>1356</v>
      </c>
      <c r="CR230" s="115"/>
      <c r="CS230" s="116"/>
      <c r="CT230" s="115"/>
      <c r="CU230" s="116"/>
      <c r="CV230" s="113"/>
      <c r="CW230" s="114" t="s">
        <v>1356</v>
      </c>
      <c r="CX230" s="115"/>
      <c r="CY230" s="116"/>
      <c r="CZ230" s="115"/>
      <c r="DA230" s="116"/>
      <c r="DB230" s="128" t="s">
        <v>7085</v>
      </c>
      <c r="DC230" s="131" t="s">
        <v>6751</v>
      </c>
    </row>
    <row r="231" spans="1:107" s="40" customFormat="1" ht="14.55" customHeight="1" x14ac:dyDescent="0.3">
      <c r="A231" s="66" t="s">
        <v>3500</v>
      </c>
      <c r="B231" s="66" t="s">
        <v>3607</v>
      </c>
      <c r="C231" s="66" t="s">
        <v>3608</v>
      </c>
      <c r="D231" s="66" t="s">
        <v>626</v>
      </c>
      <c r="E231" s="66" t="s">
        <v>627</v>
      </c>
      <c r="F231" s="66" t="s">
        <v>220</v>
      </c>
      <c r="G231" s="68" t="s">
        <v>72</v>
      </c>
      <c r="H231" s="43" t="s">
        <v>251</v>
      </c>
      <c r="I231" s="68">
        <v>1701</v>
      </c>
      <c r="J231" s="68">
        <v>170150</v>
      </c>
      <c r="K231" s="69">
        <v>4</v>
      </c>
      <c r="L231" s="66" t="s">
        <v>234</v>
      </c>
      <c r="M231" s="66" t="s">
        <v>628</v>
      </c>
      <c r="N231" s="66" t="s">
        <v>629</v>
      </c>
      <c r="O231" s="66"/>
      <c r="P231" s="66"/>
      <c r="Q231" s="66" t="s">
        <v>630</v>
      </c>
      <c r="R231" s="66" t="s">
        <v>60</v>
      </c>
      <c r="S231" s="66"/>
      <c r="T231" s="66"/>
      <c r="U231" s="66" t="s">
        <v>631</v>
      </c>
      <c r="V231" s="66"/>
      <c r="W231" s="66" t="s">
        <v>632</v>
      </c>
      <c r="X231" s="66" t="s">
        <v>633</v>
      </c>
      <c r="Y231" s="66" t="s">
        <v>634</v>
      </c>
      <c r="Z231" s="66">
        <v>-78.470858000000007</v>
      </c>
      <c r="AA231" s="66">
        <v>-0.112592</v>
      </c>
      <c r="AB231" s="66">
        <v>170150073</v>
      </c>
      <c r="AC231" s="66">
        <v>170150073009</v>
      </c>
      <c r="AD231" s="66">
        <v>170150073009005</v>
      </c>
      <c r="AE231" s="69">
        <v>4</v>
      </c>
      <c r="AF231" s="69" t="s">
        <v>499</v>
      </c>
      <c r="AG231" s="46" t="s">
        <v>66</v>
      </c>
      <c r="AH231" s="70" t="s">
        <v>635</v>
      </c>
      <c r="AI231" s="71" t="s">
        <v>66</v>
      </c>
      <c r="AJ231" s="49" t="s">
        <v>6938</v>
      </c>
      <c r="AK231" s="50" t="s">
        <v>67</v>
      </c>
      <c r="AL231" s="58">
        <v>45574</v>
      </c>
      <c r="AM231" s="52" t="s">
        <v>66</v>
      </c>
      <c r="AN231" s="52"/>
      <c r="AO231" s="52"/>
      <c r="AP231" s="52"/>
      <c r="AQ231" s="53">
        <f t="shared" si="12"/>
        <v>3</v>
      </c>
      <c r="AR231" s="54">
        <f t="shared" si="13"/>
        <v>0</v>
      </c>
      <c r="AS231" s="55">
        <f t="shared" si="14"/>
        <v>3</v>
      </c>
      <c r="AT231" s="102" t="s">
        <v>636</v>
      </c>
      <c r="AU231" s="103" t="s">
        <v>3354</v>
      </c>
      <c r="AV231" s="104">
        <v>19.239999999999998</v>
      </c>
      <c r="AW231" s="105">
        <v>45574</v>
      </c>
      <c r="AX231" s="104">
        <v>19.239999999999998</v>
      </c>
      <c r="AY231" s="106">
        <v>45607</v>
      </c>
      <c r="AZ231" s="102" t="s">
        <v>636</v>
      </c>
      <c r="BA231" s="103" t="s">
        <v>3354</v>
      </c>
      <c r="BB231" s="104">
        <v>58.38</v>
      </c>
      <c r="BC231" s="106">
        <v>45574</v>
      </c>
      <c r="BD231" s="104">
        <v>58.38</v>
      </c>
      <c r="BE231" s="106">
        <v>45607</v>
      </c>
      <c r="BF231" s="102" t="s">
        <v>637</v>
      </c>
      <c r="BG231" s="103" t="s">
        <v>6729</v>
      </c>
      <c r="BH231" s="104">
        <v>10.63</v>
      </c>
      <c r="BI231" s="106">
        <v>45574</v>
      </c>
      <c r="BJ231" s="104">
        <v>10.63</v>
      </c>
      <c r="BK231" s="106">
        <v>45607</v>
      </c>
      <c r="BL231" s="102"/>
      <c r="BM231" s="103" t="s">
        <v>1356</v>
      </c>
      <c r="BN231" s="104"/>
      <c r="BO231" s="106"/>
      <c r="BP231" s="104"/>
      <c r="BQ231" s="106"/>
      <c r="BR231" s="102"/>
      <c r="BS231" s="103" t="s">
        <v>1356</v>
      </c>
      <c r="BT231" s="104"/>
      <c r="BU231" s="106"/>
      <c r="BV231" s="104"/>
      <c r="BW231" s="106"/>
      <c r="BX231" s="121"/>
      <c r="BY231" s="122" t="s">
        <v>1356</v>
      </c>
      <c r="BZ231" s="123"/>
      <c r="CA231" s="124"/>
      <c r="CB231" s="123"/>
      <c r="CC231" s="124"/>
      <c r="CD231" s="121"/>
      <c r="CE231" s="122" t="s">
        <v>1356</v>
      </c>
      <c r="CF231" s="123"/>
      <c r="CG231" s="124"/>
      <c r="CH231" s="123"/>
      <c r="CI231" s="124"/>
      <c r="CJ231" s="121"/>
      <c r="CK231" s="122" t="s">
        <v>1356</v>
      </c>
      <c r="CL231" s="123"/>
      <c r="CM231" s="124"/>
      <c r="CN231" s="123"/>
      <c r="CO231" s="124"/>
      <c r="CP231" s="121"/>
      <c r="CQ231" s="122" t="s">
        <v>1356</v>
      </c>
      <c r="CR231" s="123"/>
      <c r="CS231" s="124"/>
      <c r="CT231" s="123"/>
      <c r="CU231" s="124"/>
      <c r="CV231" s="121"/>
      <c r="CW231" s="122" t="s">
        <v>1356</v>
      </c>
      <c r="CX231" s="123"/>
      <c r="CY231" s="124"/>
      <c r="CZ231" s="123"/>
      <c r="DA231" s="124"/>
      <c r="DB231" s="129" t="s">
        <v>6962</v>
      </c>
      <c r="DC231" s="129" t="s">
        <v>105</v>
      </c>
    </row>
    <row r="232" spans="1:107" s="40" customFormat="1" ht="14.55" customHeight="1" x14ac:dyDescent="0.3">
      <c r="A232" s="25" t="s">
        <v>3500</v>
      </c>
      <c r="B232" s="25" t="s">
        <v>3946</v>
      </c>
      <c r="C232" s="25" t="s">
        <v>3947</v>
      </c>
      <c r="D232" s="25" t="s">
        <v>2124</v>
      </c>
      <c r="E232" s="25" t="s">
        <v>2125</v>
      </c>
      <c r="F232" s="25" t="s">
        <v>291</v>
      </c>
      <c r="G232" s="26" t="s">
        <v>72</v>
      </c>
      <c r="H232" s="27" t="s">
        <v>251</v>
      </c>
      <c r="I232" s="26">
        <v>1701</v>
      </c>
      <c r="J232" s="26">
        <v>170177</v>
      </c>
      <c r="K232" s="28">
        <v>3</v>
      </c>
      <c r="L232" s="25" t="s">
        <v>2126</v>
      </c>
      <c r="M232" s="25" t="s">
        <v>2127</v>
      </c>
      <c r="N232" s="25" t="s">
        <v>2128</v>
      </c>
      <c r="O232" s="25"/>
      <c r="P232" s="25"/>
      <c r="Q232" s="25"/>
      <c r="R232" s="25"/>
      <c r="S232" s="25"/>
      <c r="T232" s="25"/>
      <c r="U232" s="25"/>
      <c r="V232" s="25"/>
      <c r="W232" s="25" t="s">
        <v>2129</v>
      </c>
      <c r="X232" s="25"/>
      <c r="Y232" s="25"/>
      <c r="Z232" s="25"/>
      <c r="AA232" s="25"/>
      <c r="AB232" s="25"/>
      <c r="AC232" s="25"/>
      <c r="AD232" s="25"/>
      <c r="AE232" s="28">
        <v>4</v>
      </c>
      <c r="AF232" s="28" t="s">
        <v>499</v>
      </c>
      <c r="AG232" s="29" t="s">
        <v>65</v>
      </c>
      <c r="AH232" s="30"/>
      <c r="AI232" s="31" t="s">
        <v>66</v>
      </c>
      <c r="AJ232" s="32" t="s">
        <v>6938</v>
      </c>
      <c r="AK232" s="33" t="s">
        <v>67</v>
      </c>
      <c r="AL232" s="34">
        <v>45588</v>
      </c>
      <c r="AM232" s="36" t="s">
        <v>66</v>
      </c>
      <c r="AN232" s="36"/>
      <c r="AO232" s="36"/>
      <c r="AP232" s="36"/>
      <c r="AQ232" s="37">
        <f t="shared" si="12"/>
        <v>0</v>
      </c>
      <c r="AR232" s="38">
        <f t="shared" si="13"/>
        <v>0</v>
      </c>
      <c r="AS232" s="39">
        <f t="shared" si="14"/>
        <v>0</v>
      </c>
      <c r="AT232" s="91"/>
      <c r="AU232" s="92" t="s">
        <v>1356</v>
      </c>
      <c r="AV232" s="93"/>
      <c r="AW232" s="94"/>
      <c r="AX232" s="93"/>
      <c r="AY232" s="95"/>
      <c r="AZ232" s="91"/>
      <c r="BA232" s="92" t="s">
        <v>1356</v>
      </c>
      <c r="BB232" s="93"/>
      <c r="BC232" s="95"/>
      <c r="BD232" s="93"/>
      <c r="BE232" s="95"/>
      <c r="BF232" s="91"/>
      <c r="BG232" s="92" t="s">
        <v>1356</v>
      </c>
      <c r="BH232" s="93"/>
      <c r="BI232" s="95"/>
      <c r="BJ232" s="93"/>
      <c r="BK232" s="95"/>
      <c r="BL232" s="91"/>
      <c r="BM232" s="92" t="s">
        <v>1356</v>
      </c>
      <c r="BN232" s="93"/>
      <c r="BO232" s="95"/>
      <c r="BP232" s="93"/>
      <c r="BQ232" s="95"/>
      <c r="BR232" s="91"/>
      <c r="BS232" s="92" t="s">
        <v>1356</v>
      </c>
      <c r="BT232" s="93"/>
      <c r="BU232" s="95"/>
      <c r="BV232" s="93"/>
      <c r="BW232" s="95"/>
      <c r="BX232" s="113"/>
      <c r="BY232" s="114" t="s">
        <v>1356</v>
      </c>
      <c r="BZ232" s="115"/>
      <c r="CA232" s="116"/>
      <c r="CB232" s="115"/>
      <c r="CC232" s="116"/>
      <c r="CD232" s="113"/>
      <c r="CE232" s="114" t="s">
        <v>1356</v>
      </c>
      <c r="CF232" s="115"/>
      <c r="CG232" s="116"/>
      <c r="CH232" s="115"/>
      <c r="CI232" s="116"/>
      <c r="CJ232" s="113"/>
      <c r="CK232" s="114" t="s">
        <v>1356</v>
      </c>
      <c r="CL232" s="115"/>
      <c r="CM232" s="116"/>
      <c r="CN232" s="115"/>
      <c r="CO232" s="116"/>
      <c r="CP232" s="113"/>
      <c r="CQ232" s="114" t="s">
        <v>1356</v>
      </c>
      <c r="CR232" s="115"/>
      <c r="CS232" s="116"/>
      <c r="CT232" s="115"/>
      <c r="CU232" s="116"/>
      <c r="CV232" s="113"/>
      <c r="CW232" s="114" t="s">
        <v>1356</v>
      </c>
      <c r="CX232" s="115"/>
      <c r="CY232" s="116"/>
      <c r="CZ232" s="115"/>
      <c r="DA232" s="116"/>
      <c r="DB232" s="128" t="s">
        <v>7085</v>
      </c>
      <c r="DC232" s="131" t="s">
        <v>6751</v>
      </c>
    </row>
    <row r="233" spans="1:107" s="40" customFormat="1" ht="14.55" customHeight="1" x14ac:dyDescent="0.3">
      <c r="A233" s="25" t="s">
        <v>3500</v>
      </c>
      <c r="B233" s="25" t="s">
        <v>3948</v>
      </c>
      <c r="C233" s="25" t="s">
        <v>3949</v>
      </c>
      <c r="D233" s="25" t="s">
        <v>2130</v>
      </c>
      <c r="E233" s="25" t="s">
        <v>2131</v>
      </c>
      <c r="F233" s="25" t="s">
        <v>1103</v>
      </c>
      <c r="G233" s="26" t="s">
        <v>72</v>
      </c>
      <c r="H233" s="27" t="s">
        <v>251</v>
      </c>
      <c r="I233" s="26">
        <v>1701</v>
      </c>
      <c r="J233" s="26">
        <v>170150</v>
      </c>
      <c r="K233" s="28">
        <v>4</v>
      </c>
      <c r="L233" s="25" t="s">
        <v>2082</v>
      </c>
      <c r="M233" s="25" t="s">
        <v>2132</v>
      </c>
      <c r="N233" s="25" t="s">
        <v>2133</v>
      </c>
      <c r="O233" s="25"/>
      <c r="P233" s="25"/>
      <c r="Q233" s="25"/>
      <c r="R233" s="25" t="s">
        <v>60</v>
      </c>
      <c r="S233" s="25"/>
      <c r="T233" s="25"/>
      <c r="U233" s="25"/>
      <c r="V233" s="25"/>
      <c r="W233" s="25" t="s">
        <v>2134</v>
      </c>
      <c r="X233" s="25" t="s">
        <v>2135</v>
      </c>
      <c r="Y233" s="25" t="s">
        <v>2136</v>
      </c>
      <c r="Z233" s="25"/>
      <c r="AA233" s="25"/>
      <c r="AB233" s="25"/>
      <c r="AC233" s="25"/>
      <c r="AD233" s="25"/>
      <c r="AE233" s="28">
        <v>4</v>
      </c>
      <c r="AF233" s="28" t="s">
        <v>499</v>
      </c>
      <c r="AG233" s="29" t="s">
        <v>65</v>
      </c>
      <c r="AH233" s="30"/>
      <c r="AI233" s="31" t="s">
        <v>66</v>
      </c>
      <c r="AJ233" s="32" t="s">
        <v>6938</v>
      </c>
      <c r="AK233" s="33" t="s">
        <v>67</v>
      </c>
      <c r="AL233" s="34">
        <v>45582</v>
      </c>
      <c r="AM233" s="36" t="s">
        <v>66</v>
      </c>
      <c r="AN233" s="36"/>
      <c r="AO233" s="36"/>
      <c r="AP233" s="36"/>
      <c r="AQ233" s="37">
        <f t="shared" si="12"/>
        <v>0</v>
      </c>
      <c r="AR233" s="38">
        <f t="shared" si="13"/>
        <v>0</v>
      </c>
      <c r="AS233" s="39">
        <f t="shared" si="14"/>
        <v>0</v>
      </c>
      <c r="AT233" s="91"/>
      <c r="AU233" s="92" t="s">
        <v>1356</v>
      </c>
      <c r="AV233" s="93"/>
      <c r="AW233" s="94"/>
      <c r="AX233" s="93"/>
      <c r="AY233" s="95"/>
      <c r="AZ233" s="91"/>
      <c r="BA233" s="92" t="s">
        <v>1356</v>
      </c>
      <c r="BB233" s="93"/>
      <c r="BC233" s="95"/>
      <c r="BD233" s="93"/>
      <c r="BE233" s="95"/>
      <c r="BF233" s="91"/>
      <c r="BG233" s="92" t="s">
        <v>1356</v>
      </c>
      <c r="BH233" s="93"/>
      <c r="BI233" s="95"/>
      <c r="BJ233" s="93"/>
      <c r="BK233" s="95"/>
      <c r="BL233" s="91"/>
      <c r="BM233" s="92" t="s">
        <v>1356</v>
      </c>
      <c r="BN233" s="93"/>
      <c r="BO233" s="95"/>
      <c r="BP233" s="93"/>
      <c r="BQ233" s="95"/>
      <c r="BR233" s="91"/>
      <c r="BS233" s="92" t="s">
        <v>1356</v>
      </c>
      <c r="BT233" s="93"/>
      <c r="BU233" s="95"/>
      <c r="BV233" s="93"/>
      <c r="BW233" s="95"/>
      <c r="BX233" s="113"/>
      <c r="BY233" s="114" t="s">
        <v>1356</v>
      </c>
      <c r="BZ233" s="115"/>
      <c r="CA233" s="116"/>
      <c r="CB233" s="115"/>
      <c r="CC233" s="116"/>
      <c r="CD233" s="113"/>
      <c r="CE233" s="114" t="s">
        <v>1356</v>
      </c>
      <c r="CF233" s="115"/>
      <c r="CG233" s="116"/>
      <c r="CH233" s="115"/>
      <c r="CI233" s="116"/>
      <c r="CJ233" s="113"/>
      <c r="CK233" s="114" t="s">
        <v>1356</v>
      </c>
      <c r="CL233" s="115"/>
      <c r="CM233" s="116"/>
      <c r="CN233" s="115"/>
      <c r="CO233" s="116"/>
      <c r="CP233" s="113"/>
      <c r="CQ233" s="114" t="s">
        <v>1356</v>
      </c>
      <c r="CR233" s="115"/>
      <c r="CS233" s="116"/>
      <c r="CT233" s="115"/>
      <c r="CU233" s="116"/>
      <c r="CV233" s="113"/>
      <c r="CW233" s="114" t="s">
        <v>1356</v>
      </c>
      <c r="CX233" s="115"/>
      <c r="CY233" s="116"/>
      <c r="CZ233" s="115"/>
      <c r="DA233" s="116"/>
      <c r="DB233" s="128" t="s">
        <v>7085</v>
      </c>
      <c r="DC233" s="131" t="s">
        <v>6751</v>
      </c>
    </row>
    <row r="234" spans="1:107" s="40" customFormat="1" ht="14.55" customHeight="1" x14ac:dyDescent="0.3">
      <c r="A234" s="25" t="s">
        <v>3500</v>
      </c>
      <c r="B234" s="25" t="s">
        <v>3950</v>
      </c>
      <c r="C234" s="25" t="s">
        <v>3951</v>
      </c>
      <c r="D234" s="25" t="s">
        <v>2137</v>
      </c>
      <c r="E234" s="25" t="s">
        <v>2138</v>
      </c>
      <c r="F234" s="25" t="s">
        <v>825</v>
      </c>
      <c r="G234" s="26" t="s">
        <v>72</v>
      </c>
      <c r="H234" s="27" t="s">
        <v>251</v>
      </c>
      <c r="I234" s="26">
        <v>1701</v>
      </c>
      <c r="J234" s="26">
        <v>170177</v>
      </c>
      <c r="K234" s="28">
        <v>4</v>
      </c>
      <c r="L234" s="25" t="s">
        <v>2139</v>
      </c>
      <c r="M234" s="25" t="s">
        <v>2140</v>
      </c>
      <c r="N234" s="25" t="s">
        <v>2141</v>
      </c>
      <c r="O234" s="25"/>
      <c r="P234" s="25"/>
      <c r="Q234" s="25"/>
      <c r="R234" s="25" t="s">
        <v>146</v>
      </c>
      <c r="S234" s="25"/>
      <c r="T234" s="25"/>
      <c r="U234" s="25"/>
      <c r="V234" s="25"/>
      <c r="W234" s="25" t="s">
        <v>2142</v>
      </c>
      <c r="X234" s="25" t="s">
        <v>2143</v>
      </c>
      <c r="Y234" s="25" t="s">
        <v>2144</v>
      </c>
      <c r="Z234" s="25"/>
      <c r="AA234" s="25"/>
      <c r="AB234" s="25">
        <v>170177006</v>
      </c>
      <c r="AC234" s="25">
        <v>170177006009</v>
      </c>
      <c r="AD234" s="25">
        <v>170177006009001</v>
      </c>
      <c r="AE234" s="28">
        <v>5</v>
      </c>
      <c r="AF234" s="28" t="s">
        <v>772</v>
      </c>
      <c r="AG234" s="29" t="s">
        <v>65</v>
      </c>
      <c r="AH234" s="30"/>
      <c r="AI234" s="31" t="s">
        <v>66</v>
      </c>
      <c r="AJ234" s="32" t="s">
        <v>6938</v>
      </c>
      <c r="AK234" s="33" t="s">
        <v>67</v>
      </c>
      <c r="AL234" s="34">
        <v>45572</v>
      </c>
      <c r="AM234" s="35" t="s">
        <v>66</v>
      </c>
      <c r="AN234" s="36"/>
      <c r="AO234" s="36"/>
      <c r="AP234" s="36"/>
      <c r="AQ234" s="37">
        <f t="shared" si="12"/>
        <v>0</v>
      </c>
      <c r="AR234" s="38">
        <f t="shared" si="13"/>
        <v>0</v>
      </c>
      <c r="AS234" s="39">
        <f t="shared" si="14"/>
        <v>0</v>
      </c>
      <c r="AT234" s="91"/>
      <c r="AU234" s="92" t="s">
        <v>1356</v>
      </c>
      <c r="AV234" s="93"/>
      <c r="AW234" s="94"/>
      <c r="AX234" s="93"/>
      <c r="AY234" s="95"/>
      <c r="AZ234" s="91"/>
      <c r="BA234" s="92" t="s">
        <v>1356</v>
      </c>
      <c r="BB234" s="93"/>
      <c r="BC234" s="95"/>
      <c r="BD234" s="93"/>
      <c r="BE234" s="95"/>
      <c r="BF234" s="91"/>
      <c r="BG234" s="92" t="s">
        <v>1356</v>
      </c>
      <c r="BH234" s="93"/>
      <c r="BI234" s="95"/>
      <c r="BJ234" s="93"/>
      <c r="BK234" s="95"/>
      <c r="BL234" s="91"/>
      <c r="BM234" s="92" t="s">
        <v>1356</v>
      </c>
      <c r="BN234" s="93"/>
      <c r="BO234" s="95"/>
      <c r="BP234" s="93"/>
      <c r="BQ234" s="95"/>
      <c r="BR234" s="91"/>
      <c r="BS234" s="92" t="s">
        <v>1356</v>
      </c>
      <c r="BT234" s="93"/>
      <c r="BU234" s="95"/>
      <c r="BV234" s="93"/>
      <c r="BW234" s="95"/>
      <c r="BX234" s="113"/>
      <c r="BY234" s="114" t="s">
        <v>1356</v>
      </c>
      <c r="BZ234" s="115"/>
      <c r="CA234" s="116"/>
      <c r="CB234" s="115"/>
      <c r="CC234" s="116"/>
      <c r="CD234" s="113"/>
      <c r="CE234" s="114" t="s">
        <v>1356</v>
      </c>
      <c r="CF234" s="115"/>
      <c r="CG234" s="116"/>
      <c r="CH234" s="115"/>
      <c r="CI234" s="116"/>
      <c r="CJ234" s="113"/>
      <c r="CK234" s="114" t="s">
        <v>1356</v>
      </c>
      <c r="CL234" s="115"/>
      <c r="CM234" s="116"/>
      <c r="CN234" s="115"/>
      <c r="CO234" s="116"/>
      <c r="CP234" s="113"/>
      <c r="CQ234" s="114" t="s">
        <v>1356</v>
      </c>
      <c r="CR234" s="115"/>
      <c r="CS234" s="116"/>
      <c r="CT234" s="115"/>
      <c r="CU234" s="116"/>
      <c r="CV234" s="113"/>
      <c r="CW234" s="114" t="s">
        <v>1356</v>
      </c>
      <c r="CX234" s="115"/>
      <c r="CY234" s="116"/>
      <c r="CZ234" s="115"/>
      <c r="DA234" s="116"/>
      <c r="DB234" s="128" t="s">
        <v>7085</v>
      </c>
      <c r="DC234" s="128" t="s">
        <v>105</v>
      </c>
    </row>
    <row r="235" spans="1:107" s="40" customFormat="1" ht="14.55" customHeight="1" x14ac:dyDescent="0.3">
      <c r="A235" s="25" t="s">
        <v>3500</v>
      </c>
      <c r="B235" s="25" t="s">
        <v>3952</v>
      </c>
      <c r="C235" s="25" t="s">
        <v>3953</v>
      </c>
      <c r="D235" s="25" t="s">
        <v>2145</v>
      </c>
      <c r="E235" s="25" t="s">
        <v>2146</v>
      </c>
      <c r="F235" s="25" t="s">
        <v>1752</v>
      </c>
      <c r="G235" s="26" t="s">
        <v>72</v>
      </c>
      <c r="H235" s="27" t="s">
        <v>251</v>
      </c>
      <c r="I235" s="26">
        <v>1701</v>
      </c>
      <c r="J235" s="26">
        <v>170150</v>
      </c>
      <c r="K235" s="28">
        <v>4</v>
      </c>
      <c r="L235" s="25" t="s">
        <v>2147</v>
      </c>
      <c r="M235" s="25" t="s">
        <v>2148</v>
      </c>
      <c r="N235" s="25" t="s">
        <v>692</v>
      </c>
      <c r="O235" s="25"/>
      <c r="P235" s="25"/>
      <c r="Q235" s="25" t="s">
        <v>2146</v>
      </c>
      <c r="R235" s="25" t="s">
        <v>60</v>
      </c>
      <c r="S235" s="25"/>
      <c r="T235" s="25"/>
      <c r="U235" s="25"/>
      <c r="V235" s="25"/>
      <c r="W235" s="25" t="s">
        <v>2149</v>
      </c>
      <c r="X235" s="25" t="s">
        <v>2150</v>
      </c>
      <c r="Y235" s="25" t="s">
        <v>2151</v>
      </c>
      <c r="Z235" s="25"/>
      <c r="AA235" s="25"/>
      <c r="AB235" s="25">
        <v>170150043</v>
      </c>
      <c r="AC235" s="25">
        <v>170150043008</v>
      </c>
      <c r="AD235" s="25">
        <v>170150043008015</v>
      </c>
      <c r="AE235" s="28">
        <v>5</v>
      </c>
      <c r="AF235" s="28" t="s">
        <v>772</v>
      </c>
      <c r="AG235" s="29" t="s">
        <v>65</v>
      </c>
      <c r="AH235" s="30"/>
      <c r="AI235" s="31" t="s">
        <v>66</v>
      </c>
      <c r="AJ235" s="32" t="s">
        <v>6938</v>
      </c>
      <c r="AK235" s="33" t="s">
        <v>67</v>
      </c>
      <c r="AL235" s="34">
        <v>45614</v>
      </c>
      <c r="AM235" s="36" t="s">
        <v>66</v>
      </c>
      <c r="AN235" s="36"/>
      <c r="AO235" s="36"/>
      <c r="AP235" s="36"/>
      <c r="AQ235" s="37">
        <f t="shared" si="12"/>
        <v>0</v>
      </c>
      <c r="AR235" s="38">
        <f t="shared" si="13"/>
        <v>0</v>
      </c>
      <c r="AS235" s="39">
        <f t="shared" si="14"/>
        <v>0</v>
      </c>
      <c r="AT235" s="91"/>
      <c r="AU235" s="92" t="s">
        <v>1356</v>
      </c>
      <c r="AV235" s="93"/>
      <c r="AW235" s="94"/>
      <c r="AX235" s="93"/>
      <c r="AY235" s="95"/>
      <c r="AZ235" s="91"/>
      <c r="BA235" s="92" t="s">
        <v>1356</v>
      </c>
      <c r="BB235" s="93"/>
      <c r="BC235" s="95"/>
      <c r="BD235" s="93"/>
      <c r="BE235" s="95"/>
      <c r="BF235" s="91"/>
      <c r="BG235" s="92" t="s">
        <v>1356</v>
      </c>
      <c r="BH235" s="93"/>
      <c r="BI235" s="95"/>
      <c r="BJ235" s="93"/>
      <c r="BK235" s="95"/>
      <c r="BL235" s="91"/>
      <c r="BM235" s="92" t="s">
        <v>1356</v>
      </c>
      <c r="BN235" s="93"/>
      <c r="BO235" s="95"/>
      <c r="BP235" s="93"/>
      <c r="BQ235" s="95"/>
      <c r="BR235" s="91"/>
      <c r="BS235" s="92" t="s">
        <v>1356</v>
      </c>
      <c r="BT235" s="93"/>
      <c r="BU235" s="95"/>
      <c r="BV235" s="93"/>
      <c r="BW235" s="95"/>
      <c r="BX235" s="113"/>
      <c r="BY235" s="114" t="s">
        <v>1356</v>
      </c>
      <c r="BZ235" s="115"/>
      <c r="CA235" s="116"/>
      <c r="CB235" s="115"/>
      <c r="CC235" s="116"/>
      <c r="CD235" s="113"/>
      <c r="CE235" s="114" t="s">
        <v>1356</v>
      </c>
      <c r="CF235" s="115"/>
      <c r="CG235" s="116"/>
      <c r="CH235" s="115"/>
      <c r="CI235" s="116"/>
      <c r="CJ235" s="113"/>
      <c r="CK235" s="114" t="s">
        <v>1356</v>
      </c>
      <c r="CL235" s="115"/>
      <c r="CM235" s="116"/>
      <c r="CN235" s="115"/>
      <c r="CO235" s="116"/>
      <c r="CP235" s="113"/>
      <c r="CQ235" s="114" t="s">
        <v>1356</v>
      </c>
      <c r="CR235" s="115"/>
      <c r="CS235" s="116"/>
      <c r="CT235" s="115"/>
      <c r="CU235" s="116"/>
      <c r="CV235" s="113"/>
      <c r="CW235" s="114" t="s">
        <v>1356</v>
      </c>
      <c r="CX235" s="115"/>
      <c r="CY235" s="116"/>
      <c r="CZ235" s="115"/>
      <c r="DA235" s="116"/>
      <c r="DB235" s="128" t="s">
        <v>7085</v>
      </c>
      <c r="DC235" s="131" t="s">
        <v>6751</v>
      </c>
    </row>
    <row r="236" spans="1:107" s="40" customFormat="1" ht="14.55" customHeight="1" x14ac:dyDescent="0.3">
      <c r="A236" s="25" t="s">
        <v>3500</v>
      </c>
      <c r="B236" s="25" t="s">
        <v>3954</v>
      </c>
      <c r="C236" s="25" t="s">
        <v>3955</v>
      </c>
      <c r="D236" s="25" t="s">
        <v>2152</v>
      </c>
      <c r="E236" s="25" t="s">
        <v>70</v>
      </c>
      <c r="F236" s="25" t="s">
        <v>256</v>
      </c>
      <c r="G236" s="26" t="s">
        <v>72</v>
      </c>
      <c r="H236" s="27" t="s">
        <v>251</v>
      </c>
      <c r="I236" s="26">
        <v>1701</v>
      </c>
      <c r="J236" s="26">
        <v>170150</v>
      </c>
      <c r="K236" s="28">
        <v>4</v>
      </c>
      <c r="L236" s="25" t="s">
        <v>2153</v>
      </c>
      <c r="M236" s="25" t="s">
        <v>2154</v>
      </c>
      <c r="N236" s="25" t="s">
        <v>2063</v>
      </c>
      <c r="O236" s="25"/>
      <c r="P236" s="25"/>
      <c r="Q236" s="25"/>
      <c r="R236" s="25"/>
      <c r="S236" s="25"/>
      <c r="T236" s="25"/>
      <c r="U236" s="25"/>
      <c r="V236" s="25"/>
      <c r="W236" s="25" t="s">
        <v>2155</v>
      </c>
      <c r="X236" s="25"/>
      <c r="Y236" s="25" t="s">
        <v>2156</v>
      </c>
      <c r="Z236" s="25"/>
      <c r="AA236" s="25"/>
      <c r="AB236" s="25"/>
      <c r="AC236" s="25"/>
      <c r="AD236" s="25"/>
      <c r="AE236" s="28">
        <v>5</v>
      </c>
      <c r="AF236" s="28" t="s">
        <v>772</v>
      </c>
      <c r="AG236" s="29" t="s">
        <v>65</v>
      </c>
      <c r="AH236" s="30"/>
      <c r="AI236" s="31" t="s">
        <v>66</v>
      </c>
      <c r="AJ236" s="32" t="s">
        <v>6938</v>
      </c>
      <c r="AK236" s="33" t="s">
        <v>67</v>
      </c>
      <c r="AL236" s="34">
        <v>45580</v>
      </c>
      <c r="AM236" s="36" t="s">
        <v>66</v>
      </c>
      <c r="AN236" s="36"/>
      <c r="AO236" s="36"/>
      <c r="AP236" s="36"/>
      <c r="AQ236" s="37">
        <f t="shared" si="12"/>
        <v>0</v>
      </c>
      <c r="AR236" s="38">
        <f t="shared" si="13"/>
        <v>0</v>
      </c>
      <c r="AS236" s="39">
        <f t="shared" si="14"/>
        <v>0</v>
      </c>
      <c r="AT236" s="91"/>
      <c r="AU236" s="92" t="s">
        <v>1356</v>
      </c>
      <c r="AV236" s="93"/>
      <c r="AW236" s="94"/>
      <c r="AX236" s="93"/>
      <c r="AY236" s="95"/>
      <c r="AZ236" s="91"/>
      <c r="BA236" s="92" t="s">
        <v>1356</v>
      </c>
      <c r="BB236" s="93"/>
      <c r="BC236" s="95"/>
      <c r="BD236" s="93"/>
      <c r="BE236" s="95"/>
      <c r="BF236" s="91"/>
      <c r="BG236" s="92" t="s">
        <v>1356</v>
      </c>
      <c r="BH236" s="93"/>
      <c r="BI236" s="95"/>
      <c r="BJ236" s="93"/>
      <c r="BK236" s="95"/>
      <c r="BL236" s="91"/>
      <c r="BM236" s="92" t="s">
        <v>1356</v>
      </c>
      <c r="BN236" s="93"/>
      <c r="BO236" s="95"/>
      <c r="BP236" s="93"/>
      <c r="BQ236" s="95"/>
      <c r="BR236" s="91"/>
      <c r="BS236" s="92" t="s">
        <v>1356</v>
      </c>
      <c r="BT236" s="93"/>
      <c r="BU236" s="95"/>
      <c r="BV236" s="93"/>
      <c r="BW236" s="95"/>
      <c r="BX236" s="113"/>
      <c r="BY236" s="114" t="s">
        <v>1356</v>
      </c>
      <c r="BZ236" s="115"/>
      <c r="CA236" s="116"/>
      <c r="CB236" s="115"/>
      <c r="CC236" s="116"/>
      <c r="CD236" s="113"/>
      <c r="CE236" s="114" t="s">
        <v>1356</v>
      </c>
      <c r="CF236" s="115"/>
      <c r="CG236" s="116"/>
      <c r="CH236" s="115"/>
      <c r="CI236" s="116"/>
      <c r="CJ236" s="113"/>
      <c r="CK236" s="114" t="s">
        <v>1356</v>
      </c>
      <c r="CL236" s="115"/>
      <c r="CM236" s="116"/>
      <c r="CN236" s="115"/>
      <c r="CO236" s="116"/>
      <c r="CP236" s="113"/>
      <c r="CQ236" s="114" t="s">
        <v>1356</v>
      </c>
      <c r="CR236" s="115"/>
      <c r="CS236" s="116"/>
      <c r="CT236" s="115"/>
      <c r="CU236" s="116"/>
      <c r="CV236" s="113"/>
      <c r="CW236" s="114" t="s">
        <v>1356</v>
      </c>
      <c r="CX236" s="115"/>
      <c r="CY236" s="116"/>
      <c r="CZ236" s="115"/>
      <c r="DA236" s="116"/>
      <c r="DB236" s="128" t="s">
        <v>7085</v>
      </c>
      <c r="DC236" s="131" t="s">
        <v>6751</v>
      </c>
    </row>
    <row r="237" spans="1:107" s="40" customFormat="1" ht="14.55" customHeight="1" x14ac:dyDescent="0.3">
      <c r="A237" s="25" t="s">
        <v>3500</v>
      </c>
      <c r="B237" s="25" t="s">
        <v>3956</v>
      </c>
      <c r="C237" s="25" t="s">
        <v>3957</v>
      </c>
      <c r="D237" s="25" t="s">
        <v>2157</v>
      </c>
      <c r="E237" s="25" t="s">
        <v>70</v>
      </c>
      <c r="F237" s="25" t="s">
        <v>71</v>
      </c>
      <c r="G237" s="26" t="s">
        <v>72</v>
      </c>
      <c r="H237" s="27" t="s">
        <v>251</v>
      </c>
      <c r="I237" s="26">
        <v>1701</v>
      </c>
      <c r="J237" s="26">
        <v>170150</v>
      </c>
      <c r="K237" s="28">
        <v>4</v>
      </c>
      <c r="L237" s="25" t="s">
        <v>2158</v>
      </c>
      <c r="M237" s="25" t="s">
        <v>2159</v>
      </c>
      <c r="N237" s="25" t="s">
        <v>2160</v>
      </c>
      <c r="O237" s="25"/>
      <c r="P237" s="25"/>
      <c r="Q237" s="25"/>
      <c r="R237" s="25"/>
      <c r="S237" s="25"/>
      <c r="T237" s="25"/>
      <c r="U237" s="25"/>
      <c r="V237" s="25"/>
      <c r="W237" s="25" t="s">
        <v>2161</v>
      </c>
      <c r="X237" s="25"/>
      <c r="Y237" s="25" t="s">
        <v>2162</v>
      </c>
      <c r="Z237" s="25"/>
      <c r="AA237" s="25"/>
      <c r="AB237" s="25"/>
      <c r="AC237" s="25"/>
      <c r="AD237" s="25"/>
      <c r="AE237" s="28">
        <v>2</v>
      </c>
      <c r="AF237" s="28" t="s">
        <v>64</v>
      </c>
      <c r="AG237" s="29" t="s">
        <v>65</v>
      </c>
      <c r="AH237" s="30"/>
      <c r="AI237" s="31" t="s">
        <v>65</v>
      </c>
      <c r="AJ237" s="32" t="s">
        <v>6938</v>
      </c>
      <c r="AK237" s="33" t="s">
        <v>92</v>
      </c>
      <c r="AL237" s="34">
        <v>45575</v>
      </c>
      <c r="AM237" s="36"/>
      <c r="AN237" s="36"/>
      <c r="AO237" s="36"/>
      <c r="AP237" s="36"/>
      <c r="AQ237" s="37">
        <f t="shared" si="12"/>
        <v>0</v>
      </c>
      <c r="AR237" s="38">
        <f t="shared" si="13"/>
        <v>0</v>
      </c>
      <c r="AS237" s="39">
        <f t="shared" si="14"/>
        <v>0</v>
      </c>
      <c r="AT237" s="91"/>
      <c r="AU237" s="92" t="s">
        <v>1356</v>
      </c>
      <c r="AV237" s="93"/>
      <c r="AW237" s="94"/>
      <c r="AX237" s="93"/>
      <c r="AY237" s="95"/>
      <c r="AZ237" s="91"/>
      <c r="BA237" s="92" t="s">
        <v>1356</v>
      </c>
      <c r="BB237" s="93"/>
      <c r="BC237" s="95"/>
      <c r="BD237" s="93"/>
      <c r="BE237" s="95"/>
      <c r="BF237" s="91"/>
      <c r="BG237" s="92" t="s">
        <v>1356</v>
      </c>
      <c r="BH237" s="93"/>
      <c r="BI237" s="95"/>
      <c r="BJ237" s="93"/>
      <c r="BK237" s="95"/>
      <c r="BL237" s="91"/>
      <c r="BM237" s="92" t="s">
        <v>1356</v>
      </c>
      <c r="BN237" s="93"/>
      <c r="BO237" s="95"/>
      <c r="BP237" s="93"/>
      <c r="BQ237" s="95"/>
      <c r="BR237" s="91"/>
      <c r="BS237" s="92" t="s">
        <v>1356</v>
      </c>
      <c r="BT237" s="93"/>
      <c r="BU237" s="95"/>
      <c r="BV237" s="93"/>
      <c r="BW237" s="95"/>
      <c r="BX237" s="113"/>
      <c r="BY237" s="114" t="s">
        <v>1356</v>
      </c>
      <c r="BZ237" s="115"/>
      <c r="CA237" s="116"/>
      <c r="CB237" s="115"/>
      <c r="CC237" s="116"/>
      <c r="CD237" s="113"/>
      <c r="CE237" s="114" t="s">
        <v>1356</v>
      </c>
      <c r="CF237" s="115"/>
      <c r="CG237" s="116"/>
      <c r="CH237" s="115"/>
      <c r="CI237" s="116"/>
      <c r="CJ237" s="113"/>
      <c r="CK237" s="114" t="s">
        <v>1356</v>
      </c>
      <c r="CL237" s="115"/>
      <c r="CM237" s="116"/>
      <c r="CN237" s="115"/>
      <c r="CO237" s="116"/>
      <c r="CP237" s="113"/>
      <c r="CQ237" s="114" t="s">
        <v>1356</v>
      </c>
      <c r="CR237" s="115"/>
      <c r="CS237" s="116"/>
      <c r="CT237" s="115"/>
      <c r="CU237" s="116"/>
      <c r="CV237" s="113"/>
      <c r="CW237" s="114" t="s">
        <v>1356</v>
      </c>
      <c r="CX237" s="115"/>
      <c r="CY237" s="116"/>
      <c r="CZ237" s="115"/>
      <c r="DA237" s="116"/>
      <c r="DB237" s="128" t="s">
        <v>7085</v>
      </c>
      <c r="DC237" s="128" t="s">
        <v>92</v>
      </c>
    </row>
    <row r="238" spans="1:107" s="40" customFormat="1" ht="14.55" customHeight="1" x14ac:dyDescent="0.3">
      <c r="A238" s="66" t="s">
        <v>3500</v>
      </c>
      <c r="B238" s="66" t="s">
        <v>3609</v>
      </c>
      <c r="C238" s="66" t="s">
        <v>3610</v>
      </c>
      <c r="D238" s="66" t="s">
        <v>638</v>
      </c>
      <c r="E238" s="66" t="s">
        <v>639</v>
      </c>
      <c r="F238" s="66" t="s">
        <v>220</v>
      </c>
      <c r="G238" s="68" t="s">
        <v>72</v>
      </c>
      <c r="H238" s="43" t="s">
        <v>251</v>
      </c>
      <c r="I238" s="68">
        <v>1701</v>
      </c>
      <c r="J238" s="68">
        <v>170150</v>
      </c>
      <c r="K238" s="69">
        <v>4</v>
      </c>
      <c r="L238" s="66" t="s">
        <v>640</v>
      </c>
      <c r="M238" s="66" t="s">
        <v>641</v>
      </c>
      <c r="N238" s="66" t="s">
        <v>642</v>
      </c>
      <c r="O238" s="66"/>
      <c r="P238" s="66"/>
      <c r="Q238" s="66"/>
      <c r="R238" s="66" t="s">
        <v>643</v>
      </c>
      <c r="S238" s="66"/>
      <c r="T238" s="66"/>
      <c r="U238" s="66" t="s">
        <v>644</v>
      </c>
      <c r="V238" s="66"/>
      <c r="W238" s="66" t="s">
        <v>645</v>
      </c>
      <c r="X238" s="66" t="s">
        <v>646</v>
      </c>
      <c r="Y238" s="66" t="s">
        <v>647</v>
      </c>
      <c r="Z238" s="66"/>
      <c r="AA238" s="66"/>
      <c r="AB238" s="66"/>
      <c r="AC238" s="66"/>
      <c r="AD238" s="66"/>
      <c r="AE238" s="69">
        <v>4</v>
      </c>
      <c r="AF238" s="69" t="s">
        <v>499</v>
      </c>
      <c r="AG238" s="46" t="s">
        <v>66</v>
      </c>
      <c r="AH238" s="70" t="s">
        <v>648</v>
      </c>
      <c r="AI238" s="71" t="s">
        <v>66</v>
      </c>
      <c r="AJ238" s="49" t="s">
        <v>6938</v>
      </c>
      <c r="AK238" s="50" t="s">
        <v>67</v>
      </c>
      <c r="AL238" s="58">
        <v>45574</v>
      </c>
      <c r="AM238" s="52" t="s">
        <v>66</v>
      </c>
      <c r="AN238" s="52"/>
      <c r="AO238" s="52"/>
      <c r="AP238" s="52"/>
      <c r="AQ238" s="53">
        <f t="shared" si="12"/>
        <v>1</v>
      </c>
      <c r="AR238" s="54">
        <f t="shared" si="13"/>
        <v>0</v>
      </c>
      <c r="AS238" s="55">
        <f t="shared" si="14"/>
        <v>1</v>
      </c>
      <c r="AT238" s="102" t="s">
        <v>636</v>
      </c>
      <c r="AU238" s="103" t="s">
        <v>3354</v>
      </c>
      <c r="AV238" s="104">
        <v>14.52</v>
      </c>
      <c r="AW238" s="105">
        <v>45574</v>
      </c>
      <c r="AX238" s="104">
        <v>14.52</v>
      </c>
      <c r="AY238" s="106">
        <v>45607</v>
      </c>
      <c r="AZ238" s="102"/>
      <c r="BA238" s="103" t="s">
        <v>1356</v>
      </c>
      <c r="BB238" s="104"/>
      <c r="BC238" s="106"/>
      <c r="BD238" s="104"/>
      <c r="BE238" s="106"/>
      <c r="BF238" s="102"/>
      <c r="BG238" s="103" t="s">
        <v>1356</v>
      </c>
      <c r="BH238" s="104"/>
      <c r="BI238" s="106"/>
      <c r="BJ238" s="104"/>
      <c r="BK238" s="106"/>
      <c r="BL238" s="102"/>
      <c r="BM238" s="103" t="s">
        <v>1356</v>
      </c>
      <c r="BN238" s="104"/>
      <c r="BO238" s="106"/>
      <c r="BP238" s="104"/>
      <c r="BQ238" s="106"/>
      <c r="BR238" s="102"/>
      <c r="BS238" s="103" t="s">
        <v>1356</v>
      </c>
      <c r="BT238" s="104"/>
      <c r="BU238" s="106"/>
      <c r="BV238" s="104"/>
      <c r="BW238" s="106"/>
      <c r="BX238" s="121"/>
      <c r="BY238" s="122" t="s">
        <v>1356</v>
      </c>
      <c r="BZ238" s="123"/>
      <c r="CA238" s="124"/>
      <c r="CB238" s="123"/>
      <c r="CC238" s="124"/>
      <c r="CD238" s="121"/>
      <c r="CE238" s="122" t="s">
        <v>1356</v>
      </c>
      <c r="CF238" s="123"/>
      <c r="CG238" s="124"/>
      <c r="CH238" s="123"/>
      <c r="CI238" s="124"/>
      <c r="CJ238" s="121"/>
      <c r="CK238" s="122" t="s">
        <v>1356</v>
      </c>
      <c r="CL238" s="123"/>
      <c r="CM238" s="124"/>
      <c r="CN238" s="123"/>
      <c r="CO238" s="124"/>
      <c r="CP238" s="121"/>
      <c r="CQ238" s="122" t="s">
        <v>1356</v>
      </c>
      <c r="CR238" s="123"/>
      <c r="CS238" s="124"/>
      <c r="CT238" s="123"/>
      <c r="CU238" s="124"/>
      <c r="CV238" s="121"/>
      <c r="CW238" s="122" t="s">
        <v>1356</v>
      </c>
      <c r="CX238" s="123"/>
      <c r="CY238" s="124"/>
      <c r="CZ238" s="123"/>
      <c r="DA238" s="124"/>
      <c r="DB238" s="129" t="s">
        <v>6962</v>
      </c>
      <c r="DC238" s="129" t="s">
        <v>105</v>
      </c>
    </row>
    <row r="239" spans="1:107" s="40" customFormat="1" ht="14.55" customHeight="1" x14ac:dyDescent="0.3">
      <c r="A239" s="25" t="s">
        <v>3500</v>
      </c>
      <c r="B239" s="25" t="s">
        <v>3960</v>
      </c>
      <c r="C239" s="25" t="s">
        <v>3961</v>
      </c>
      <c r="D239" s="25" t="s">
        <v>2181</v>
      </c>
      <c r="E239" s="25" t="s">
        <v>70</v>
      </c>
      <c r="F239" s="25" t="s">
        <v>95</v>
      </c>
      <c r="G239" s="26" t="s">
        <v>72</v>
      </c>
      <c r="H239" s="27" t="s">
        <v>251</v>
      </c>
      <c r="I239" s="26">
        <v>1705</v>
      </c>
      <c r="J239" s="26">
        <v>170550</v>
      </c>
      <c r="K239" s="28">
        <v>4</v>
      </c>
      <c r="L239" s="25" t="s">
        <v>2182</v>
      </c>
      <c r="M239" s="25" t="s">
        <v>2183</v>
      </c>
      <c r="N239" s="25" t="s">
        <v>2184</v>
      </c>
      <c r="O239" s="25"/>
      <c r="P239" s="25"/>
      <c r="Q239" s="25"/>
      <c r="R239" s="25"/>
      <c r="S239" s="25"/>
      <c r="T239" s="25"/>
      <c r="U239" s="25"/>
      <c r="V239" s="25"/>
      <c r="W239" s="25" t="s">
        <v>2185</v>
      </c>
      <c r="X239" s="25"/>
      <c r="Y239" s="25" t="s">
        <v>2186</v>
      </c>
      <c r="Z239" s="25"/>
      <c r="AA239" s="25"/>
      <c r="AB239" s="25"/>
      <c r="AC239" s="25"/>
      <c r="AD239" s="25"/>
      <c r="AE239" s="28">
        <v>2</v>
      </c>
      <c r="AF239" s="28" t="s">
        <v>64</v>
      </c>
      <c r="AG239" s="29" t="s">
        <v>65</v>
      </c>
      <c r="AH239" s="30"/>
      <c r="AI239" s="31" t="s">
        <v>65</v>
      </c>
      <c r="AJ239" s="32" t="s">
        <v>6938</v>
      </c>
      <c r="AK239" s="33" t="s">
        <v>92</v>
      </c>
      <c r="AL239" s="34">
        <v>45573</v>
      </c>
      <c r="AM239" s="36"/>
      <c r="AN239" s="36"/>
      <c r="AO239" s="36"/>
      <c r="AP239" s="36"/>
      <c r="AQ239" s="37">
        <f t="shared" si="12"/>
        <v>0</v>
      </c>
      <c r="AR239" s="38">
        <f t="shared" si="13"/>
        <v>0</v>
      </c>
      <c r="AS239" s="39">
        <f t="shared" si="14"/>
        <v>0</v>
      </c>
      <c r="AT239" s="91"/>
      <c r="AU239" s="92" t="s">
        <v>1356</v>
      </c>
      <c r="AV239" s="93"/>
      <c r="AW239" s="94"/>
      <c r="AX239" s="93"/>
      <c r="AY239" s="95"/>
      <c r="AZ239" s="91"/>
      <c r="BA239" s="92" t="s">
        <v>1356</v>
      </c>
      <c r="BB239" s="93"/>
      <c r="BC239" s="95"/>
      <c r="BD239" s="93"/>
      <c r="BE239" s="95"/>
      <c r="BF239" s="91"/>
      <c r="BG239" s="92" t="s">
        <v>1356</v>
      </c>
      <c r="BH239" s="93"/>
      <c r="BI239" s="95"/>
      <c r="BJ239" s="93"/>
      <c r="BK239" s="95"/>
      <c r="BL239" s="91"/>
      <c r="BM239" s="92" t="s">
        <v>1356</v>
      </c>
      <c r="BN239" s="93"/>
      <c r="BO239" s="95"/>
      <c r="BP239" s="93"/>
      <c r="BQ239" s="95"/>
      <c r="BR239" s="91"/>
      <c r="BS239" s="92" t="s">
        <v>1356</v>
      </c>
      <c r="BT239" s="93"/>
      <c r="BU239" s="95"/>
      <c r="BV239" s="93"/>
      <c r="BW239" s="95"/>
      <c r="BX239" s="113"/>
      <c r="BY239" s="114" t="s">
        <v>1356</v>
      </c>
      <c r="BZ239" s="115"/>
      <c r="CA239" s="116"/>
      <c r="CB239" s="115"/>
      <c r="CC239" s="116"/>
      <c r="CD239" s="113"/>
      <c r="CE239" s="114" t="s">
        <v>1356</v>
      </c>
      <c r="CF239" s="115"/>
      <c r="CG239" s="116"/>
      <c r="CH239" s="115"/>
      <c r="CI239" s="116"/>
      <c r="CJ239" s="113"/>
      <c r="CK239" s="114" t="s">
        <v>1356</v>
      </c>
      <c r="CL239" s="115"/>
      <c r="CM239" s="116"/>
      <c r="CN239" s="115"/>
      <c r="CO239" s="116"/>
      <c r="CP239" s="113"/>
      <c r="CQ239" s="114" t="s">
        <v>1356</v>
      </c>
      <c r="CR239" s="115"/>
      <c r="CS239" s="116"/>
      <c r="CT239" s="115"/>
      <c r="CU239" s="116"/>
      <c r="CV239" s="113"/>
      <c r="CW239" s="114" t="s">
        <v>1356</v>
      </c>
      <c r="CX239" s="115"/>
      <c r="CY239" s="116"/>
      <c r="CZ239" s="115"/>
      <c r="DA239" s="116"/>
      <c r="DB239" s="128" t="s">
        <v>7085</v>
      </c>
      <c r="DC239" s="128" t="s">
        <v>92</v>
      </c>
    </row>
    <row r="240" spans="1:107" s="40" customFormat="1" ht="14.55" customHeight="1" x14ac:dyDescent="0.3">
      <c r="A240" s="66" t="s">
        <v>3500</v>
      </c>
      <c r="B240" s="66" t="s">
        <v>3611</v>
      </c>
      <c r="C240" s="66" t="s">
        <v>3612</v>
      </c>
      <c r="D240" s="66" t="s">
        <v>649</v>
      </c>
      <c r="E240" s="66" t="s">
        <v>650</v>
      </c>
      <c r="F240" s="66" t="s">
        <v>651</v>
      </c>
      <c r="G240" s="68" t="s">
        <v>72</v>
      </c>
      <c r="H240" s="43" t="s">
        <v>251</v>
      </c>
      <c r="I240" s="68">
        <v>1701</v>
      </c>
      <c r="J240" s="68">
        <v>170151</v>
      </c>
      <c r="K240" s="69">
        <v>4</v>
      </c>
      <c r="L240" s="66" t="s">
        <v>652</v>
      </c>
      <c r="M240" s="66" t="s">
        <v>653</v>
      </c>
      <c r="N240" s="66"/>
      <c r="O240" s="66"/>
      <c r="P240" s="66" t="s">
        <v>654</v>
      </c>
      <c r="Q240" s="66" t="s">
        <v>655</v>
      </c>
      <c r="R240" s="66" t="s">
        <v>60</v>
      </c>
      <c r="S240" s="66"/>
      <c r="T240" s="66"/>
      <c r="U240" s="66" t="s">
        <v>656</v>
      </c>
      <c r="V240" s="66"/>
      <c r="W240" s="66" t="s">
        <v>657</v>
      </c>
      <c r="X240" s="66" t="s">
        <v>658</v>
      </c>
      <c r="Y240" s="66" t="s">
        <v>659</v>
      </c>
      <c r="Z240" s="66"/>
      <c r="AA240" s="66"/>
      <c r="AB240" s="66"/>
      <c r="AC240" s="66"/>
      <c r="AD240" s="66"/>
      <c r="AE240" s="69">
        <v>4</v>
      </c>
      <c r="AF240" s="69" t="s">
        <v>499</v>
      </c>
      <c r="AG240" s="46" t="s">
        <v>66</v>
      </c>
      <c r="AH240" s="70" t="s">
        <v>660</v>
      </c>
      <c r="AI240" s="71" t="s">
        <v>66</v>
      </c>
      <c r="AJ240" s="49" t="s">
        <v>6938</v>
      </c>
      <c r="AK240" s="50" t="s">
        <v>67</v>
      </c>
      <c r="AL240" s="58">
        <v>45574</v>
      </c>
      <c r="AM240" s="52" t="s">
        <v>66</v>
      </c>
      <c r="AN240" s="52"/>
      <c r="AO240" s="52"/>
      <c r="AP240" s="52"/>
      <c r="AQ240" s="53">
        <f t="shared" si="12"/>
        <v>1</v>
      </c>
      <c r="AR240" s="54">
        <f t="shared" si="13"/>
        <v>0</v>
      </c>
      <c r="AS240" s="55">
        <f t="shared" si="14"/>
        <v>1</v>
      </c>
      <c r="AT240" s="102" t="s">
        <v>661</v>
      </c>
      <c r="AU240" s="103" t="s">
        <v>1761</v>
      </c>
      <c r="AV240" s="104">
        <v>12.5</v>
      </c>
      <c r="AW240" s="105">
        <v>45574</v>
      </c>
      <c r="AX240" s="104">
        <v>12.5</v>
      </c>
      <c r="AY240" s="106">
        <v>45607</v>
      </c>
      <c r="AZ240" s="102"/>
      <c r="BA240" s="103" t="s">
        <v>1356</v>
      </c>
      <c r="BB240" s="104"/>
      <c r="BC240" s="106"/>
      <c r="BD240" s="104"/>
      <c r="BE240" s="106"/>
      <c r="BF240" s="102"/>
      <c r="BG240" s="103" t="s">
        <v>1356</v>
      </c>
      <c r="BH240" s="104"/>
      <c r="BI240" s="106"/>
      <c r="BJ240" s="104"/>
      <c r="BK240" s="106"/>
      <c r="BL240" s="102"/>
      <c r="BM240" s="103" t="s">
        <v>1356</v>
      </c>
      <c r="BN240" s="104"/>
      <c r="BO240" s="106"/>
      <c r="BP240" s="104"/>
      <c r="BQ240" s="106"/>
      <c r="BR240" s="102"/>
      <c r="BS240" s="103" t="s">
        <v>1356</v>
      </c>
      <c r="BT240" s="104"/>
      <c r="BU240" s="106"/>
      <c r="BV240" s="104"/>
      <c r="BW240" s="106"/>
      <c r="BX240" s="121"/>
      <c r="BY240" s="122" t="s">
        <v>1356</v>
      </c>
      <c r="BZ240" s="123"/>
      <c r="CA240" s="124"/>
      <c r="CB240" s="123"/>
      <c r="CC240" s="124"/>
      <c r="CD240" s="121"/>
      <c r="CE240" s="122" t="s">
        <v>1356</v>
      </c>
      <c r="CF240" s="123"/>
      <c r="CG240" s="124"/>
      <c r="CH240" s="123"/>
      <c r="CI240" s="124"/>
      <c r="CJ240" s="121"/>
      <c r="CK240" s="122" t="s">
        <v>1356</v>
      </c>
      <c r="CL240" s="123"/>
      <c r="CM240" s="124"/>
      <c r="CN240" s="123"/>
      <c r="CO240" s="124"/>
      <c r="CP240" s="121"/>
      <c r="CQ240" s="122" t="s">
        <v>1356</v>
      </c>
      <c r="CR240" s="123"/>
      <c r="CS240" s="124"/>
      <c r="CT240" s="123"/>
      <c r="CU240" s="124"/>
      <c r="CV240" s="121"/>
      <c r="CW240" s="122" t="s">
        <v>1356</v>
      </c>
      <c r="CX240" s="123"/>
      <c r="CY240" s="124"/>
      <c r="CZ240" s="123"/>
      <c r="DA240" s="124"/>
      <c r="DB240" s="129" t="s">
        <v>6962</v>
      </c>
      <c r="DC240" s="129" t="s">
        <v>105</v>
      </c>
    </row>
    <row r="241" spans="1:107" s="40" customFormat="1" ht="14.55" customHeight="1" x14ac:dyDescent="0.3">
      <c r="A241" s="66" t="s">
        <v>3500</v>
      </c>
      <c r="B241" s="66" t="s">
        <v>3613</v>
      </c>
      <c r="C241" s="66" t="s">
        <v>3614</v>
      </c>
      <c r="D241" s="66" t="s">
        <v>662</v>
      </c>
      <c r="E241" s="66" t="s">
        <v>663</v>
      </c>
      <c r="F241" s="66" t="s">
        <v>651</v>
      </c>
      <c r="G241" s="68" t="s">
        <v>72</v>
      </c>
      <c r="H241" s="43" t="s">
        <v>251</v>
      </c>
      <c r="I241" s="68">
        <v>1701</v>
      </c>
      <c r="J241" s="68">
        <v>170150</v>
      </c>
      <c r="K241" s="69">
        <v>4</v>
      </c>
      <c r="L241" s="66" t="s">
        <v>664</v>
      </c>
      <c r="M241" s="66" t="s">
        <v>665</v>
      </c>
      <c r="N241" s="66" t="s">
        <v>666</v>
      </c>
      <c r="O241" s="66"/>
      <c r="P241" s="66"/>
      <c r="Q241" s="66"/>
      <c r="R241" s="66"/>
      <c r="S241" s="66"/>
      <c r="T241" s="66"/>
      <c r="U241" s="66"/>
      <c r="V241" s="66"/>
      <c r="W241" s="66" t="s">
        <v>667</v>
      </c>
      <c r="X241" s="66" t="s">
        <v>668</v>
      </c>
      <c r="Y241" s="66" t="s">
        <v>669</v>
      </c>
      <c r="Z241" s="66">
        <v>-78.532158999999993</v>
      </c>
      <c r="AA241" s="66">
        <v>-0.26954600000000001</v>
      </c>
      <c r="AB241" s="66">
        <v>170150342</v>
      </c>
      <c r="AC241" s="66">
        <v>170150342001</v>
      </c>
      <c r="AD241" s="66">
        <v>170150342001004</v>
      </c>
      <c r="AE241" s="69">
        <v>4</v>
      </c>
      <c r="AF241" s="69" t="s">
        <v>499</v>
      </c>
      <c r="AG241" s="46" t="s">
        <v>66</v>
      </c>
      <c r="AH241" s="70" t="s">
        <v>670</v>
      </c>
      <c r="AI241" s="71" t="s">
        <v>66</v>
      </c>
      <c r="AJ241" s="49" t="s">
        <v>6938</v>
      </c>
      <c r="AK241" s="50" t="s">
        <v>67</v>
      </c>
      <c r="AL241" s="58">
        <v>45574</v>
      </c>
      <c r="AM241" s="52" t="s">
        <v>66</v>
      </c>
      <c r="AN241" s="52"/>
      <c r="AO241" s="52"/>
      <c r="AP241" s="52"/>
      <c r="AQ241" s="53">
        <f t="shared" si="12"/>
        <v>5</v>
      </c>
      <c r="AR241" s="54">
        <f t="shared" si="13"/>
        <v>0</v>
      </c>
      <c r="AS241" s="55">
        <f t="shared" si="14"/>
        <v>5</v>
      </c>
      <c r="AT241" s="102" t="s">
        <v>661</v>
      </c>
      <c r="AU241" s="103" t="s">
        <v>1761</v>
      </c>
      <c r="AV241" s="104">
        <v>2.46</v>
      </c>
      <c r="AW241" s="105">
        <v>45574</v>
      </c>
      <c r="AX241" s="104">
        <v>2.46</v>
      </c>
      <c r="AY241" s="106">
        <v>45607</v>
      </c>
      <c r="AZ241" s="102" t="s">
        <v>671</v>
      </c>
      <c r="BA241" s="103" t="s">
        <v>2251</v>
      </c>
      <c r="BB241" s="104">
        <v>8.2200000000000006</v>
      </c>
      <c r="BC241" s="106">
        <v>45574</v>
      </c>
      <c r="BD241" s="104">
        <v>8.2200000000000006</v>
      </c>
      <c r="BE241" s="106">
        <v>45607</v>
      </c>
      <c r="BF241" s="102" t="s">
        <v>672</v>
      </c>
      <c r="BG241" s="103" t="s">
        <v>2534</v>
      </c>
      <c r="BH241" s="104">
        <v>20.88</v>
      </c>
      <c r="BI241" s="106">
        <v>45574</v>
      </c>
      <c r="BJ241" s="104">
        <v>20.88</v>
      </c>
      <c r="BK241" s="106">
        <v>45607</v>
      </c>
      <c r="BL241" s="102" t="s">
        <v>673</v>
      </c>
      <c r="BM241" s="103" t="s">
        <v>2250</v>
      </c>
      <c r="BN241" s="104">
        <v>2.4</v>
      </c>
      <c r="BO241" s="106">
        <v>45574</v>
      </c>
      <c r="BP241" s="104">
        <v>2.4</v>
      </c>
      <c r="BQ241" s="106">
        <v>45607</v>
      </c>
      <c r="BR241" s="102" t="s">
        <v>674</v>
      </c>
      <c r="BS241" s="103" t="s">
        <v>2533</v>
      </c>
      <c r="BT241" s="104">
        <v>4.4400000000000004</v>
      </c>
      <c r="BU241" s="106">
        <v>45574</v>
      </c>
      <c r="BV241" s="104">
        <v>4.4400000000000004</v>
      </c>
      <c r="BW241" s="106">
        <v>45607</v>
      </c>
      <c r="BX241" s="121"/>
      <c r="BY241" s="122" t="s">
        <v>1356</v>
      </c>
      <c r="BZ241" s="123"/>
      <c r="CA241" s="124"/>
      <c r="CB241" s="123"/>
      <c r="CC241" s="124"/>
      <c r="CD241" s="121"/>
      <c r="CE241" s="122" t="s">
        <v>1356</v>
      </c>
      <c r="CF241" s="123"/>
      <c r="CG241" s="124"/>
      <c r="CH241" s="123"/>
      <c r="CI241" s="124"/>
      <c r="CJ241" s="121"/>
      <c r="CK241" s="122" t="s">
        <v>1356</v>
      </c>
      <c r="CL241" s="123"/>
      <c r="CM241" s="124"/>
      <c r="CN241" s="123"/>
      <c r="CO241" s="124"/>
      <c r="CP241" s="121"/>
      <c r="CQ241" s="122" t="s">
        <v>1356</v>
      </c>
      <c r="CR241" s="123"/>
      <c r="CS241" s="124"/>
      <c r="CT241" s="123"/>
      <c r="CU241" s="124"/>
      <c r="CV241" s="121"/>
      <c r="CW241" s="122" t="s">
        <v>1356</v>
      </c>
      <c r="CX241" s="123"/>
      <c r="CY241" s="124"/>
      <c r="CZ241" s="123"/>
      <c r="DA241" s="124"/>
      <c r="DB241" s="129" t="s">
        <v>6962</v>
      </c>
      <c r="DC241" s="129" t="s">
        <v>105</v>
      </c>
    </row>
    <row r="242" spans="1:107" s="40" customFormat="1" ht="14.55" customHeight="1" x14ac:dyDescent="0.3">
      <c r="A242" s="66" t="s">
        <v>3500</v>
      </c>
      <c r="B242" s="66" t="s">
        <v>3617</v>
      </c>
      <c r="C242" s="66" t="s">
        <v>3618</v>
      </c>
      <c r="D242" s="66" t="s">
        <v>689</v>
      </c>
      <c r="E242" s="66" t="s">
        <v>690</v>
      </c>
      <c r="F242" s="66" t="s">
        <v>256</v>
      </c>
      <c r="G242" s="68" t="s">
        <v>72</v>
      </c>
      <c r="H242" s="43" t="s">
        <v>251</v>
      </c>
      <c r="I242" s="68">
        <v>1701</v>
      </c>
      <c r="J242" s="68">
        <v>170150</v>
      </c>
      <c r="K242" s="69">
        <v>4</v>
      </c>
      <c r="L242" s="66" t="s">
        <v>607</v>
      </c>
      <c r="M242" s="66" t="s">
        <v>691</v>
      </c>
      <c r="N242" s="66" t="s">
        <v>692</v>
      </c>
      <c r="O242" s="66" t="s">
        <v>693</v>
      </c>
      <c r="P242" s="66"/>
      <c r="Q242" s="66" t="s">
        <v>694</v>
      </c>
      <c r="R242" s="66" t="s">
        <v>60</v>
      </c>
      <c r="S242" s="66"/>
      <c r="T242" s="66"/>
      <c r="U242" s="66" t="s">
        <v>609</v>
      </c>
      <c r="V242" s="66"/>
      <c r="W242" s="66" t="s">
        <v>695</v>
      </c>
      <c r="X242" s="66" t="s">
        <v>696</v>
      </c>
      <c r="Y242" s="66" t="s">
        <v>697</v>
      </c>
      <c r="Z242" s="66"/>
      <c r="AA242" s="66"/>
      <c r="AB242" s="66">
        <v>170150043</v>
      </c>
      <c r="AC242" s="66">
        <v>170150043008</v>
      </c>
      <c r="AD242" s="66">
        <v>170150043008005</v>
      </c>
      <c r="AE242" s="69">
        <v>4</v>
      </c>
      <c r="AF242" s="69" t="s">
        <v>499</v>
      </c>
      <c r="AG242" s="46" t="s">
        <v>66</v>
      </c>
      <c r="AH242" s="70" t="s">
        <v>698</v>
      </c>
      <c r="AI242" s="71" t="s">
        <v>66</v>
      </c>
      <c r="AJ242" s="49" t="s">
        <v>6938</v>
      </c>
      <c r="AK242" s="50" t="s">
        <v>67</v>
      </c>
      <c r="AL242" s="58">
        <v>45574</v>
      </c>
      <c r="AM242" s="52" t="s">
        <v>66</v>
      </c>
      <c r="AN242" s="52"/>
      <c r="AO242" s="52"/>
      <c r="AP242" s="52"/>
      <c r="AQ242" s="53">
        <f t="shared" si="12"/>
        <v>1</v>
      </c>
      <c r="AR242" s="54">
        <f t="shared" si="13"/>
        <v>0</v>
      </c>
      <c r="AS242" s="55">
        <f t="shared" si="14"/>
        <v>1</v>
      </c>
      <c r="AT242" s="102" t="s">
        <v>699</v>
      </c>
      <c r="AU242" s="103" t="s">
        <v>6730</v>
      </c>
      <c r="AV242" s="104">
        <v>3.75</v>
      </c>
      <c r="AW242" s="105">
        <v>45574</v>
      </c>
      <c r="AX242" s="104">
        <v>3.75</v>
      </c>
      <c r="AY242" s="106">
        <v>45607</v>
      </c>
      <c r="AZ242" s="102"/>
      <c r="BA242" s="103" t="s">
        <v>1356</v>
      </c>
      <c r="BB242" s="104"/>
      <c r="BC242" s="106"/>
      <c r="BD242" s="104"/>
      <c r="BE242" s="106"/>
      <c r="BF242" s="102"/>
      <c r="BG242" s="103" t="s">
        <v>1356</v>
      </c>
      <c r="BH242" s="104"/>
      <c r="BI242" s="106"/>
      <c r="BJ242" s="104"/>
      <c r="BK242" s="106"/>
      <c r="BL242" s="102"/>
      <c r="BM242" s="103" t="s">
        <v>1356</v>
      </c>
      <c r="BN242" s="104"/>
      <c r="BO242" s="106"/>
      <c r="BP242" s="104"/>
      <c r="BQ242" s="106"/>
      <c r="BR242" s="102"/>
      <c r="BS242" s="103" t="s">
        <v>1356</v>
      </c>
      <c r="BT242" s="104"/>
      <c r="BU242" s="106"/>
      <c r="BV242" s="104"/>
      <c r="BW242" s="106"/>
      <c r="BX242" s="121"/>
      <c r="BY242" s="122" t="s">
        <v>1356</v>
      </c>
      <c r="BZ242" s="123"/>
      <c r="CA242" s="124"/>
      <c r="CB242" s="123"/>
      <c r="CC242" s="124"/>
      <c r="CD242" s="121"/>
      <c r="CE242" s="122" t="s">
        <v>1356</v>
      </c>
      <c r="CF242" s="123"/>
      <c r="CG242" s="124"/>
      <c r="CH242" s="123"/>
      <c r="CI242" s="124"/>
      <c r="CJ242" s="121"/>
      <c r="CK242" s="122" t="s">
        <v>1356</v>
      </c>
      <c r="CL242" s="123"/>
      <c r="CM242" s="124"/>
      <c r="CN242" s="123"/>
      <c r="CO242" s="124"/>
      <c r="CP242" s="121"/>
      <c r="CQ242" s="122" t="s">
        <v>1356</v>
      </c>
      <c r="CR242" s="123"/>
      <c r="CS242" s="124"/>
      <c r="CT242" s="123"/>
      <c r="CU242" s="124"/>
      <c r="CV242" s="121"/>
      <c r="CW242" s="122" t="s">
        <v>1356</v>
      </c>
      <c r="CX242" s="123"/>
      <c r="CY242" s="124"/>
      <c r="CZ242" s="123"/>
      <c r="DA242" s="124"/>
      <c r="DB242" s="129" t="s">
        <v>6962</v>
      </c>
      <c r="DC242" s="129" t="s">
        <v>105</v>
      </c>
    </row>
    <row r="243" spans="1:107" s="40" customFormat="1" ht="14.55" customHeight="1" x14ac:dyDescent="0.3">
      <c r="A243" s="25" t="s">
        <v>3500</v>
      </c>
      <c r="B243" s="25" t="s">
        <v>3968</v>
      </c>
      <c r="C243" s="25" t="s">
        <v>3969</v>
      </c>
      <c r="D243" s="25" t="s">
        <v>2215</v>
      </c>
      <c r="E243" s="25" t="s">
        <v>70</v>
      </c>
      <c r="F243" s="25" t="s">
        <v>596</v>
      </c>
      <c r="G243" s="26" t="s">
        <v>72</v>
      </c>
      <c r="H243" s="27" t="s">
        <v>251</v>
      </c>
      <c r="I243" s="26">
        <v>1701</v>
      </c>
      <c r="J243" s="26">
        <v>170150</v>
      </c>
      <c r="K243" s="28">
        <v>4</v>
      </c>
      <c r="L243" s="25" t="s">
        <v>2216</v>
      </c>
      <c r="M243" s="25"/>
      <c r="N243" s="25" t="s">
        <v>2217</v>
      </c>
      <c r="O243" s="25"/>
      <c r="P243" s="25"/>
      <c r="Q243" s="25"/>
      <c r="R243" s="25"/>
      <c r="S243" s="25"/>
      <c r="T243" s="25"/>
      <c r="U243" s="25"/>
      <c r="V243" s="25"/>
      <c r="W243" s="25"/>
      <c r="X243" s="25" t="s">
        <v>2218</v>
      </c>
      <c r="Y243" s="25"/>
      <c r="Z243" s="25"/>
      <c r="AA243" s="25"/>
      <c r="AB243" s="25"/>
      <c r="AC243" s="25"/>
      <c r="AD243" s="25"/>
      <c r="AE243" s="28">
        <v>2</v>
      </c>
      <c r="AF243" s="28" t="s">
        <v>64</v>
      </c>
      <c r="AG243" s="29" t="s">
        <v>65</v>
      </c>
      <c r="AH243" s="30"/>
      <c r="AI243" s="31" t="s">
        <v>65</v>
      </c>
      <c r="AJ243" s="32" t="s">
        <v>6938</v>
      </c>
      <c r="AK243" s="33" t="s">
        <v>92</v>
      </c>
      <c r="AL243" s="34">
        <v>45586</v>
      </c>
      <c r="AM243" s="36"/>
      <c r="AN243" s="36"/>
      <c r="AO243" s="36"/>
      <c r="AP243" s="36"/>
      <c r="AQ243" s="37">
        <f t="shared" si="12"/>
        <v>0</v>
      </c>
      <c r="AR243" s="38">
        <f t="shared" si="13"/>
        <v>0</v>
      </c>
      <c r="AS243" s="39">
        <f t="shared" si="14"/>
        <v>0</v>
      </c>
      <c r="AT243" s="91"/>
      <c r="AU243" s="92" t="s">
        <v>1356</v>
      </c>
      <c r="AV243" s="93"/>
      <c r="AW243" s="94"/>
      <c r="AX243" s="93"/>
      <c r="AY243" s="95"/>
      <c r="AZ243" s="91"/>
      <c r="BA243" s="92" t="s">
        <v>1356</v>
      </c>
      <c r="BB243" s="93"/>
      <c r="BC243" s="95"/>
      <c r="BD243" s="93"/>
      <c r="BE243" s="95"/>
      <c r="BF243" s="91"/>
      <c r="BG243" s="92" t="s">
        <v>1356</v>
      </c>
      <c r="BH243" s="93"/>
      <c r="BI243" s="95"/>
      <c r="BJ243" s="93"/>
      <c r="BK243" s="95"/>
      <c r="BL243" s="91"/>
      <c r="BM243" s="92" t="s">
        <v>1356</v>
      </c>
      <c r="BN243" s="93"/>
      <c r="BO243" s="95"/>
      <c r="BP243" s="93"/>
      <c r="BQ243" s="95"/>
      <c r="BR243" s="91"/>
      <c r="BS243" s="92" t="s">
        <v>1356</v>
      </c>
      <c r="BT243" s="93"/>
      <c r="BU243" s="95"/>
      <c r="BV243" s="93"/>
      <c r="BW243" s="95"/>
      <c r="BX243" s="113"/>
      <c r="BY243" s="114" t="s">
        <v>1356</v>
      </c>
      <c r="BZ243" s="115"/>
      <c r="CA243" s="116"/>
      <c r="CB243" s="115"/>
      <c r="CC243" s="116"/>
      <c r="CD243" s="113"/>
      <c r="CE243" s="114" t="s">
        <v>1356</v>
      </c>
      <c r="CF243" s="115"/>
      <c r="CG243" s="116"/>
      <c r="CH243" s="115"/>
      <c r="CI243" s="116"/>
      <c r="CJ243" s="113"/>
      <c r="CK243" s="114" t="s">
        <v>1356</v>
      </c>
      <c r="CL243" s="115"/>
      <c r="CM243" s="116"/>
      <c r="CN243" s="115"/>
      <c r="CO243" s="116"/>
      <c r="CP243" s="113"/>
      <c r="CQ243" s="114" t="s">
        <v>1356</v>
      </c>
      <c r="CR243" s="115"/>
      <c r="CS243" s="116"/>
      <c r="CT243" s="115"/>
      <c r="CU243" s="116"/>
      <c r="CV243" s="113"/>
      <c r="CW243" s="114" t="s">
        <v>1356</v>
      </c>
      <c r="CX243" s="115"/>
      <c r="CY243" s="116"/>
      <c r="CZ243" s="115"/>
      <c r="DA243" s="116"/>
      <c r="DB243" s="128" t="s">
        <v>7085</v>
      </c>
      <c r="DC243" s="128" t="s">
        <v>92</v>
      </c>
    </row>
    <row r="244" spans="1:107" s="40" customFormat="1" ht="14.55" customHeight="1" x14ac:dyDescent="0.3">
      <c r="A244" s="66" t="s">
        <v>3500</v>
      </c>
      <c r="B244" s="66" t="s">
        <v>3619</v>
      </c>
      <c r="C244" s="66" t="s">
        <v>3620</v>
      </c>
      <c r="D244" s="66" t="s">
        <v>700</v>
      </c>
      <c r="E244" s="66" t="s">
        <v>701</v>
      </c>
      <c r="F244" s="66" t="s">
        <v>256</v>
      </c>
      <c r="G244" s="68" t="s">
        <v>72</v>
      </c>
      <c r="H244" s="43" t="s">
        <v>251</v>
      </c>
      <c r="I244" s="68">
        <v>1701</v>
      </c>
      <c r="J244" s="68">
        <v>170184</v>
      </c>
      <c r="K244" s="69">
        <v>4</v>
      </c>
      <c r="L244" s="66" t="s">
        <v>702</v>
      </c>
      <c r="M244" s="66" t="s">
        <v>703</v>
      </c>
      <c r="N244" s="66" t="s">
        <v>704</v>
      </c>
      <c r="O244" s="66"/>
      <c r="P244" s="66"/>
      <c r="Q244" s="66" t="s">
        <v>705</v>
      </c>
      <c r="R244" s="66" t="s">
        <v>60</v>
      </c>
      <c r="S244" s="66"/>
      <c r="T244" s="66"/>
      <c r="U244" s="66" t="s">
        <v>706</v>
      </c>
      <c r="V244" s="66"/>
      <c r="W244" s="66" t="s">
        <v>707</v>
      </c>
      <c r="X244" s="66" t="s">
        <v>708</v>
      </c>
      <c r="Y244" s="66" t="s">
        <v>709</v>
      </c>
      <c r="Z244" s="66">
        <v>-78.386504352092743</v>
      </c>
      <c r="AA244" s="66">
        <v>-0.21641083759045179</v>
      </c>
      <c r="AB244" s="66">
        <v>170184012</v>
      </c>
      <c r="AC244" s="66">
        <v>170184012006</v>
      </c>
      <c r="AD244" s="66">
        <v>170184012006002</v>
      </c>
      <c r="AE244" s="69">
        <v>4</v>
      </c>
      <c r="AF244" s="69" t="s">
        <v>499</v>
      </c>
      <c r="AG244" s="46" t="s">
        <v>66</v>
      </c>
      <c r="AH244" s="70" t="s">
        <v>710</v>
      </c>
      <c r="AI244" s="71" t="s">
        <v>66</v>
      </c>
      <c r="AJ244" s="49" t="s">
        <v>6938</v>
      </c>
      <c r="AK244" s="50" t="s">
        <v>67</v>
      </c>
      <c r="AL244" s="58">
        <v>45574</v>
      </c>
      <c r="AM244" s="52" t="s">
        <v>66</v>
      </c>
      <c r="AN244" s="52"/>
      <c r="AO244" s="52"/>
      <c r="AP244" s="52"/>
      <c r="AQ244" s="53">
        <f t="shared" si="12"/>
        <v>2</v>
      </c>
      <c r="AR244" s="54">
        <f t="shared" si="13"/>
        <v>0</v>
      </c>
      <c r="AS244" s="55">
        <f t="shared" si="14"/>
        <v>2</v>
      </c>
      <c r="AT244" s="102" t="s">
        <v>711</v>
      </c>
      <c r="AU244" s="103" t="s">
        <v>6748</v>
      </c>
      <c r="AV244" s="104">
        <v>5.51</v>
      </c>
      <c r="AW244" s="105">
        <v>45574</v>
      </c>
      <c r="AX244" s="104">
        <v>5.51</v>
      </c>
      <c r="AY244" s="106">
        <v>45607</v>
      </c>
      <c r="AZ244" s="102" t="s">
        <v>712</v>
      </c>
      <c r="BA244" s="103" t="s">
        <v>2716</v>
      </c>
      <c r="BB244" s="104">
        <v>3.39</v>
      </c>
      <c r="BC244" s="106">
        <v>45574</v>
      </c>
      <c r="BD244" s="104">
        <v>3.39</v>
      </c>
      <c r="BE244" s="106">
        <v>45607</v>
      </c>
      <c r="BF244" s="102"/>
      <c r="BG244" s="103" t="s">
        <v>1356</v>
      </c>
      <c r="BH244" s="104"/>
      <c r="BI244" s="106"/>
      <c r="BJ244" s="104"/>
      <c r="BK244" s="106"/>
      <c r="BL244" s="102"/>
      <c r="BM244" s="103" t="s">
        <v>1356</v>
      </c>
      <c r="BN244" s="104"/>
      <c r="BO244" s="106"/>
      <c r="BP244" s="104"/>
      <c r="BQ244" s="106"/>
      <c r="BR244" s="102"/>
      <c r="BS244" s="103" t="s">
        <v>1356</v>
      </c>
      <c r="BT244" s="104"/>
      <c r="BU244" s="106"/>
      <c r="BV244" s="104"/>
      <c r="BW244" s="106"/>
      <c r="BX244" s="121"/>
      <c r="BY244" s="122" t="s">
        <v>1356</v>
      </c>
      <c r="BZ244" s="123"/>
      <c r="CA244" s="124"/>
      <c r="CB244" s="123"/>
      <c r="CC244" s="124"/>
      <c r="CD244" s="121"/>
      <c r="CE244" s="122" t="s">
        <v>1356</v>
      </c>
      <c r="CF244" s="123"/>
      <c r="CG244" s="124"/>
      <c r="CH244" s="123"/>
      <c r="CI244" s="124"/>
      <c r="CJ244" s="121"/>
      <c r="CK244" s="122" t="s">
        <v>1356</v>
      </c>
      <c r="CL244" s="123"/>
      <c r="CM244" s="124"/>
      <c r="CN244" s="123"/>
      <c r="CO244" s="124"/>
      <c r="CP244" s="121"/>
      <c r="CQ244" s="122" t="s">
        <v>1356</v>
      </c>
      <c r="CR244" s="123"/>
      <c r="CS244" s="124"/>
      <c r="CT244" s="123"/>
      <c r="CU244" s="124"/>
      <c r="CV244" s="121"/>
      <c r="CW244" s="122" t="s">
        <v>1356</v>
      </c>
      <c r="CX244" s="123"/>
      <c r="CY244" s="124"/>
      <c r="CZ244" s="123"/>
      <c r="DA244" s="124"/>
      <c r="DB244" s="129" t="s">
        <v>6962</v>
      </c>
      <c r="DC244" s="129" t="s">
        <v>105</v>
      </c>
    </row>
    <row r="245" spans="1:107" s="40" customFormat="1" ht="14.55" customHeight="1" x14ac:dyDescent="0.3">
      <c r="A245" s="25" t="s">
        <v>3500</v>
      </c>
      <c r="B245" s="25" t="s">
        <v>3972</v>
      </c>
      <c r="C245" s="25" t="s">
        <v>3973</v>
      </c>
      <c r="D245" s="25" t="s">
        <v>2228</v>
      </c>
      <c r="E245" s="25" t="s">
        <v>70</v>
      </c>
      <c r="F245" s="25" t="s">
        <v>201</v>
      </c>
      <c r="G245" s="26" t="s">
        <v>72</v>
      </c>
      <c r="H245" s="27" t="s">
        <v>251</v>
      </c>
      <c r="I245" s="26">
        <v>1701</v>
      </c>
      <c r="J245" s="26">
        <v>170150</v>
      </c>
      <c r="K245" s="28">
        <v>3</v>
      </c>
      <c r="L245" s="25" t="s">
        <v>2229</v>
      </c>
      <c r="M245" s="25" t="s">
        <v>2230</v>
      </c>
      <c r="N245" s="25" t="s">
        <v>2231</v>
      </c>
      <c r="O245" s="25"/>
      <c r="P245" s="25"/>
      <c r="Q245" s="25"/>
      <c r="R245" s="25"/>
      <c r="S245" s="25"/>
      <c r="T245" s="25"/>
      <c r="U245" s="25"/>
      <c r="V245" s="25"/>
      <c r="W245" s="25" t="s">
        <v>2232</v>
      </c>
      <c r="X245" s="25"/>
      <c r="Y245" s="25"/>
      <c r="Z245" s="25"/>
      <c r="AA245" s="25"/>
      <c r="AB245" s="25"/>
      <c r="AC245" s="25"/>
      <c r="AD245" s="25"/>
      <c r="AE245" s="28">
        <v>2</v>
      </c>
      <c r="AF245" s="28" t="s">
        <v>64</v>
      </c>
      <c r="AG245" s="29" t="s">
        <v>65</v>
      </c>
      <c r="AH245" s="30"/>
      <c r="AI245" s="31" t="s">
        <v>65</v>
      </c>
      <c r="AJ245" s="32" t="s">
        <v>6938</v>
      </c>
      <c r="AK245" s="33" t="s">
        <v>92</v>
      </c>
      <c r="AL245" s="34">
        <v>45566</v>
      </c>
      <c r="AM245" s="36"/>
      <c r="AN245" s="36"/>
      <c r="AO245" s="36"/>
      <c r="AP245" s="36"/>
      <c r="AQ245" s="37">
        <f t="shared" si="12"/>
        <v>0</v>
      </c>
      <c r="AR245" s="38">
        <f t="shared" si="13"/>
        <v>0</v>
      </c>
      <c r="AS245" s="39">
        <f t="shared" si="14"/>
        <v>0</v>
      </c>
      <c r="AT245" s="91"/>
      <c r="AU245" s="92" t="s">
        <v>1356</v>
      </c>
      <c r="AV245" s="93"/>
      <c r="AW245" s="94"/>
      <c r="AX245" s="93"/>
      <c r="AY245" s="95"/>
      <c r="AZ245" s="91"/>
      <c r="BA245" s="92" t="s">
        <v>1356</v>
      </c>
      <c r="BB245" s="93"/>
      <c r="BC245" s="95"/>
      <c r="BD245" s="93"/>
      <c r="BE245" s="95"/>
      <c r="BF245" s="91"/>
      <c r="BG245" s="92" t="s">
        <v>1356</v>
      </c>
      <c r="BH245" s="93"/>
      <c r="BI245" s="95"/>
      <c r="BJ245" s="93"/>
      <c r="BK245" s="95"/>
      <c r="BL245" s="91"/>
      <c r="BM245" s="92" t="s">
        <v>1356</v>
      </c>
      <c r="BN245" s="93"/>
      <c r="BO245" s="95"/>
      <c r="BP245" s="93"/>
      <c r="BQ245" s="95"/>
      <c r="BR245" s="91"/>
      <c r="BS245" s="92" t="s">
        <v>1356</v>
      </c>
      <c r="BT245" s="93"/>
      <c r="BU245" s="95"/>
      <c r="BV245" s="93"/>
      <c r="BW245" s="95"/>
      <c r="BX245" s="113"/>
      <c r="BY245" s="114" t="s">
        <v>1356</v>
      </c>
      <c r="BZ245" s="115"/>
      <c r="CA245" s="116"/>
      <c r="CB245" s="115"/>
      <c r="CC245" s="116"/>
      <c r="CD245" s="113"/>
      <c r="CE245" s="114" t="s">
        <v>1356</v>
      </c>
      <c r="CF245" s="115"/>
      <c r="CG245" s="116"/>
      <c r="CH245" s="115"/>
      <c r="CI245" s="116"/>
      <c r="CJ245" s="113"/>
      <c r="CK245" s="114" t="s">
        <v>1356</v>
      </c>
      <c r="CL245" s="115"/>
      <c r="CM245" s="116"/>
      <c r="CN245" s="115"/>
      <c r="CO245" s="116"/>
      <c r="CP245" s="113"/>
      <c r="CQ245" s="114" t="s">
        <v>1356</v>
      </c>
      <c r="CR245" s="115"/>
      <c r="CS245" s="116"/>
      <c r="CT245" s="115"/>
      <c r="CU245" s="116"/>
      <c r="CV245" s="113"/>
      <c r="CW245" s="114" t="s">
        <v>1356</v>
      </c>
      <c r="CX245" s="115"/>
      <c r="CY245" s="116"/>
      <c r="CZ245" s="115"/>
      <c r="DA245" s="116"/>
      <c r="DB245" s="128" t="s">
        <v>7085</v>
      </c>
      <c r="DC245" s="128" t="s">
        <v>92</v>
      </c>
    </row>
    <row r="246" spans="1:107" s="40" customFormat="1" ht="14.55" customHeight="1" x14ac:dyDescent="0.3">
      <c r="A246" s="25" t="s">
        <v>3500</v>
      </c>
      <c r="B246" s="25" t="s">
        <v>3974</v>
      </c>
      <c r="C246" s="25" t="s">
        <v>3975</v>
      </c>
      <c r="D246" s="25" t="s">
        <v>2233</v>
      </c>
      <c r="E246" s="25" t="s">
        <v>70</v>
      </c>
      <c r="F246" s="25" t="s">
        <v>220</v>
      </c>
      <c r="G246" s="26" t="s">
        <v>72</v>
      </c>
      <c r="H246" s="27" t="s">
        <v>251</v>
      </c>
      <c r="I246" s="26">
        <v>1701</v>
      </c>
      <c r="J246" s="26">
        <v>170150</v>
      </c>
      <c r="K246" s="28">
        <v>3</v>
      </c>
      <c r="L246" s="25" t="s">
        <v>2234</v>
      </c>
      <c r="M246" s="25" t="s">
        <v>2235</v>
      </c>
      <c r="N246" s="25" t="s">
        <v>1406</v>
      </c>
      <c r="O246" s="25"/>
      <c r="P246" s="25"/>
      <c r="Q246" s="25"/>
      <c r="R246" s="25"/>
      <c r="S246" s="25"/>
      <c r="T246" s="25"/>
      <c r="U246" s="25" t="s">
        <v>2236</v>
      </c>
      <c r="V246" s="25"/>
      <c r="W246" s="25" t="s">
        <v>2237</v>
      </c>
      <c r="X246" s="25" t="s">
        <v>2238</v>
      </c>
      <c r="Y246" s="25" t="s">
        <v>2239</v>
      </c>
      <c r="Z246" s="25"/>
      <c r="AA246" s="25"/>
      <c r="AB246" s="25">
        <v>170150406</v>
      </c>
      <c r="AC246" s="25">
        <v>170150406005</v>
      </c>
      <c r="AD246" s="25">
        <v>170150406005005</v>
      </c>
      <c r="AE246" s="28">
        <v>2</v>
      </c>
      <c r="AF246" s="28" t="s">
        <v>64</v>
      </c>
      <c r="AG246" s="29" t="s">
        <v>65</v>
      </c>
      <c r="AH246" s="30"/>
      <c r="AI246" s="31" t="s">
        <v>65</v>
      </c>
      <c r="AJ246" s="32" t="s">
        <v>6938</v>
      </c>
      <c r="AK246" s="33" t="s">
        <v>92</v>
      </c>
      <c r="AL246" s="34">
        <v>45574</v>
      </c>
      <c r="AM246" s="36"/>
      <c r="AN246" s="36"/>
      <c r="AO246" s="36"/>
      <c r="AP246" s="36"/>
      <c r="AQ246" s="37">
        <f t="shared" si="12"/>
        <v>0</v>
      </c>
      <c r="AR246" s="38">
        <f t="shared" si="13"/>
        <v>0</v>
      </c>
      <c r="AS246" s="39">
        <f t="shared" si="14"/>
        <v>0</v>
      </c>
      <c r="AT246" s="91"/>
      <c r="AU246" s="92" t="s">
        <v>1356</v>
      </c>
      <c r="AV246" s="93"/>
      <c r="AW246" s="94"/>
      <c r="AX246" s="93"/>
      <c r="AY246" s="95"/>
      <c r="AZ246" s="91"/>
      <c r="BA246" s="92" t="s">
        <v>1356</v>
      </c>
      <c r="BB246" s="93"/>
      <c r="BC246" s="95"/>
      <c r="BD246" s="93"/>
      <c r="BE246" s="95"/>
      <c r="BF246" s="91"/>
      <c r="BG246" s="92" t="s">
        <v>1356</v>
      </c>
      <c r="BH246" s="93"/>
      <c r="BI246" s="95"/>
      <c r="BJ246" s="93"/>
      <c r="BK246" s="95"/>
      <c r="BL246" s="91"/>
      <c r="BM246" s="92" t="s">
        <v>1356</v>
      </c>
      <c r="BN246" s="93"/>
      <c r="BO246" s="95"/>
      <c r="BP246" s="93"/>
      <c r="BQ246" s="95"/>
      <c r="BR246" s="91"/>
      <c r="BS246" s="92" t="s">
        <v>1356</v>
      </c>
      <c r="BT246" s="93"/>
      <c r="BU246" s="95"/>
      <c r="BV246" s="93"/>
      <c r="BW246" s="95"/>
      <c r="BX246" s="113"/>
      <c r="BY246" s="114" t="s">
        <v>1356</v>
      </c>
      <c r="BZ246" s="115"/>
      <c r="CA246" s="116"/>
      <c r="CB246" s="115"/>
      <c r="CC246" s="116"/>
      <c r="CD246" s="113"/>
      <c r="CE246" s="114" t="s">
        <v>1356</v>
      </c>
      <c r="CF246" s="115"/>
      <c r="CG246" s="116"/>
      <c r="CH246" s="115"/>
      <c r="CI246" s="116"/>
      <c r="CJ246" s="113"/>
      <c r="CK246" s="114" t="s">
        <v>1356</v>
      </c>
      <c r="CL246" s="115"/>
      <c r="CM246" s="116"/>
      <c r="CN246" s="115"/>
      <c r="CO246" s="116"/>
      <c r="CP246" s="113"/>
      <c r="CQ246" s="114" t="s">
        <v>1356</v>
      </c>
      <c r="CR246" s="115"/>
      <c r="CS246" s="116"/>
      <c r="CT246" s="115"/>
      <c r="CU246" s="116"/>
      <c r="CV246" s="113"/>
      <c r="CW246" s="114" t="s">
        <v>1356</v>
      </c>
      <c r="CX246" s="115"/>
      <c r="CY246" s="116"/>
      <c r="CZ246" s="115"/>
      <c r="DA246" s="116"/>
      <c r="DB246" s="128" t="s">
        <v>7085</v>
      </c>
      <c r="DC246" s="128" t="s">
        <v>92</v>
      </c>
    </row>
    <row r="247" spans="1:107" s="40" customFormat="1" ht="14.55" customHeight="1" x14ac:dyDescent="0.3">
      <c r="A247" s="66" t="s">
        <v>3500</v>
      </c>
      <c r="B247" s="66" t="s">
        <v>3976</v>
      </c>
      <c r="C247" s="66" t="s">
        <v>3977</v>
      </c>
      <c r="D247" s="66" t="s">
        <v>2240</v>
      </c>
      <c r="E247" s="66" t="s">
        <v>2241</v>
      </c>
      <c r="F247" s="66" t="s">
        <v>439</v>
      </c>
      <c r="G247" s="68" t="s">
        <v>72</v>
      </c>
      <c r="H247" s="43" t="s">
        <v>251</v>
      </c>
      <c r="I247" s="68">
        <v>1705</v>
      </c>
      <c r="J247" s="68">
        <v>170550</v>
      </c>
      <c r="K247" s="69">
        <v>4</v>
      </c>
      <c r="L247" s="66" t="s">
        <v>2242</v>
      </c>
      <c r="M247" s="66" t="s">
        <v>2243</v>
      </c>
      <c r="N247" s="66" t="s">
        <v>2244</v>
      </c>
      <c r="O247" s="66"/>
      <c r="P247" s="66"/>
      <c r="Q247" s="66"/>
      <c r="R247" s="66"/>
      <c r="S247" s="66"/>
      <c r="T247" s="66"/>
      <c r="U247" s="66" t="s">
        <v>2245</v>
      </c>
      <c r="V247" s="66"/>
      <c r="W247" s="66"/>
      <c r="X247" s="66" t="s">
        <v>2246</v>
      </c>
      <c r="Y247" s="66" t="s">
        <v>2247</v>
      </c>
      <c r="Z247" s="66"/>
      <c r="AA247" s="66"/>
      <c r="AB247" s="66"/>
      <c r="AC247" s="66"/>
      <c r="AD247" s="66"/>
      <c r="AE247" s="69">
        <v>2</v>
      </c>
      <c r="AF247" s="69" t="s">
        <v>64</v>
      </c>
      <c r="AG247" s="46" t="s">
        <v>66</v>
      </c>
      <c r="AH247" s="70">
        <v>40903</v>
      </c>
      <c r="AI247" s="71" t="s">
        <v>66</v>
      </c>
      <c r="AJ247" s="49" t="s">
        <v>6938</v>
      </c>
      <c r="AK247" s="50" t="s">
        <v>67</v>
      </c>
      <c r="AL247" s="58">
        <v>45574</v>
      </c>
      <c r="AM247" s="52" t="s">
        <v>66</v>
      </c>
      <c r="AN247" s="52"/>
      <c r="AO247" s="52"/>
      <c r="AP247" s="52"/>
      <c r="AQ247" s="53">
        <f t="shared" si="12"/>
        <v>3</v>
      </c>
      <c r="AR247" s="54">
        <f t="shared" si="13"/>
        <v>0</v>
      </c>
      <c r="AS247" s="55">
        <f t="shared" si="14"/>
        <v>3</v>
      </c>
      <c r="AT247" s="107" t="s">
        <v>2248</v>
      </c>
      <c r="AU247" s="103" t="s">
        <v>2249</v>
      </c>
      <c r="AV247" s="104">
        <v>2.8</v>
      </c>
      <c r="AW247" s="105">
        <v>45574</v>
      </c>
      <c r="AX247" s="104">
        <v>2.8</v>
      </c>
      <c r="AY247" s="106">
        <v>45614</v>
      </c>
      <c r="AZ247" s="107" t="s">
        <v>673</v>
      </c>
      <c r="BA247" s="103" t="s">
        <v>2250</v>
      </c>
      <c r="BB247" s="108">
        <v>2.1800000000000002</v>
      </c>
      <c r="BC247" s="106">
        <v>45574</v>
      </c>
      <c r="BD247" s="108">
        <v>2.1800000000000002</v>
      </c>
      <c r="BE247" s="106">
        <v>45614</v>
      </c>
      <c r="BF247" s="107" t="s">
        <v>671</v>
      </c>
      <c r="BG247" s="103" t="s">
        <v>2251</v>
      </c>
      <c r="BH247" s="108">
        <v>5.66</v>
      </c>
      <c r="BI247" s="106">
        <v>45574</v>
      </c>
      <c r="BJ247" s="108">
        <v>5.66</v>
      </c>
      <c r="BK247" s="106">
        <v>45574</v>
      </c>
      <c r="BL247" s="102"/>
      <c r="BM247" s="103" t="s">
        <v>1356</v>
      </c>
      <c r="BN247" s="104"/>
      <c r="BO247" s="106"/>
      <c r="BP247" s="104"/>
      <c r="BQ247" s="106"/>
      <c r="BR247" s="102"/>
      <c r="BS247" s="103" t="s">
        <v>1356</v>
      </c>
      <c r="BT247" s="104"/>
      <c r="BU247" s="106"/>
      <c r="BV247" s="104"/>
      <c r="BW247" s="106"/>
      <c r="BX247" s="121"/>
      <c r="BY247" s="122" t="s">
        <v>1356</v>
      </c>
      <c r="BZ247" s="123"/>
      <c r="CA247" s="124"/>
      <c r="CB247" s="123"/>
      <c r="CC247" s="124"/>
      <c r="CD247" s="121"/>
      <c r="CE247" s="122" t="s">
        <v>1356</v>
      </c>
      <c r="CF247" s="123"/>
      <c r="CG247" s="124"/>
      <c r="CH247" s="123"/>
      <c r="CI247" s="124"/>
      <c r="CJ247" s="121"/>
      <c r="CK247" s="122" t="s">
        <v>1356</v>
      </c>
      <c r="CL247" s="123"/>
      <c r="CM247" s="124"/>
      <c r="CN247" s="123"/>
      <c r="CO247" s="124"/>
      <c r="CP247" s="121"/>
      <c r="CQ247" s="122" t="s">
        <v>1356</v>
      </c>
      <c r="CR247" s="123"/>
      <c r="CS247" s="124"/>
      <c r="CT247" s="123"/>
      <c r="CU247" s="124"/>
      <c r="CV247" s="121"/>
      <c r="CW247" s="122" t="s">
        <v>1356</v>
      </c>
      <c r="CX247" s="123"/>
      <c r="CY247" s="124"/>
      <c r="CZ247" s="123"/>
      <c r="DA247" s="124"/>
      <c r="DB247" s="129" t="s">
        <v>6962</v>
      </c>
      <c r="DC247" s="129" t="s">
        <v>105</v>
      </c>
    </row>
    <row r="248" spans="1:107" s="40" customFormat="1" ht="14.55" customHeight="1" x14ac:dyDescent="0.3">
      <c r="A248" s="25" t="s">
        <v>3500</v>
      </c>
      <c r="B248" s="25" t="s">
        <v>3978</v>
      </c>
      <c r="C248" s="25" t="s">
        <v>3979</v>
      </c>
      <c r="D248" s="25" t="s">
        <v>2252</v>
      </c>
      <c r="E248" s="25" t="s">
        <v>70</v>
      </c>
      <c r="F248" s="25" t="s">
        <v>439</v>
      </c>
      <c r="G248" s="26" t="s">
        <v>72</v>
      </c>
      <c r="H248" s="27" t="s">
        <v>251</v>
      </c>
      <c r="I248" s="26">
        <v>1701</v>
      </c>
      <c r="J248" s="26">
        <v>170150</v>
      </c>
      <c r="K248" s="28">
        <v>4</v>
      </c>
      <c r="L248" s="25" t="s">
        <v>735</v>
      </c>
      <c r="M248" s="25" t="s">
        <v>736</v>
      </c>
      <c r="N248" s="25" t="s">
        <v>737</v>
      </c>
      <c r="O248" s="25"/>
      <c r="P248" s="25"/>
      <c r="Q248" s="25"/>
      <c r="R248" s="25"/>
      <c r="S248" s="25"/>
      <c r="T248" s="25"/>
      <c r="U248" s="25" t="s">
        <v>2253</v>
      </c>
      <c r="V248" s="25"/>
      <c r="W248" s="25" t="s">
        <v>2254</v>
      </c>
      <c r="X248" s="25" t="s">
        <v>2255</v>
      </c>
      <c r="Y248" s="25"/>
      <c r="Z248" s="25"/>
      <c r="AA248" s="25"/>
      <c r="AB248" s="25"/>
      <c r="AC248" s="25"/>
      <c r="AD248" s="25"/>
      <c r="AE248" s="28">
        <v>2</v>
      </c>
      <c r="AF248" s="28" t="s">
        <v>64</v>
      </c>
      <c r="AG248" s="29" t="s">
        <v>65</v>
      </c>
      <c r="AH248" s="30"/>
      <c r="AI248" s="31" t="s">
        <v>66</v>
      </c>
      <c r="AJ248" s="32" t="s">
        <v>6938</v>
      </c>
      <c r="AK248" s="33" t="s">
        <v>67</v>
      </c>
      <c r="AL248" s="34">
        <v>45561</v>
      </c>
      <c r="AM248" s="36" t="s">
        <v>66</v>
      </c>
      <c r="AN248" s="36"/>
      <c r="AO248" s="36"/>
      <c r="AP248" s="36"/>
      <c r="AQ248" s="37">
        <f t="shared" si="12"/>
        <v>0</v>
      </c>
      <c r="AR248" s="38">
        <f t="shared" si="13"/>
        <v>0</v>
      </c>
      <c r="AS248" s="39">
        <f t="shared" si="14"/>
        <v>0</v>
      </c>
      <c r="AT248" s="91"/>
      <c r="AU248" s="92" t="s">
        <v>1356</v>
      </c>
      <c r="AV248" s="93"/>
      <c r="AW248" s="94"/>
      <c r="AX248" s="93"/>
      <c r="AY248" s="95"/>
      <c r="AZ248" s="91"/>
      <c r="BA248" s="92" t="s">
        <v>1356</v>
      </c>
      <c r="BB248" s="93"/>
      <c r="BC248" s="95"/>
      <c r="BD248" s="93"/>
      <c r="BE248" s="95"/>
      <c r="BF248" s="91"/>
      <c r="BG248" s="92" t="s">
        <v>1356</v>
      </c>
      <c r="BH248" s="93"/>
      <c r="BI248" s="95"/>
      <c r="BJ248" s="93"/>
      <c r="BK248" s="95"/>
      <c r="BL248" s="91"/>
      <c r="BM248" s="92" t="s">
        <v>1356</v>
      </c>
      <c r="BN248" s="93"/>
      <c r="BO248" s="95"/>
      <c r="BP248" s="93"/>
      <c r="BQ248" s="95"/>
      <c r="BR248" s="91"/>
      <c r="BS248" s="92" t="s">
        <v>1356</v>
      </c>
      <c r="BT248" s="93"/>
      <c r="BU248" s="95"/>
      <c r="BV248" s="93"/>
      <c r="BW248" s="95"/>
      <c r="BX248" s="113"/>
      <c r="BY248" s="114" t="s">
        <v>1356</v>
      </c>
      <c r="BZ248" s="115"/>
      <c r="CA248" s="116"/>
      <c r="CB248" s="115"/>
      <c r="CC248" s="116"/>
      <c r="CD248" s="113"/>
      <c r="CE248" s="114" t="s">
        <v>1356</v>
      </c>
      <c r="CF248" s="115"/>
      <c r="CG248" s="116"/>
      <c r="CH248" s="115"/>
      <c r="CI248" s="116"/>
      <c r="CJ248" s="113"/>
      <c r="CK248" s="114" t="s">
        <v>1356</v>
      </c>
      <c r="CL248" s="115"/>
      <c r="CM248" s="116"/>
      <c r="CN248" s="115"/>
      <c r="CO248" s="116"/>
      <c r="CP248" s="113"/>
      <c r="CQ248" s="114" t="s">
        <v>1356</v>
      </c>
      <c r="CR248" s="115"/>
      <c r="CS248" s="116"/>
      <c r="CT248" s="115"/>
      <c r="CU248" s="116"/>
      <c r="CV248" s="113"/>
      <c r="CW248" s="114" t="s">
        <v>1356</v>
      </c>
      <c r="CX248" s="115"/>
      <c r="CY248" s="116"/>
      <c r="CZ248" s="115"/>
      <c r="DA248" s="116"/>
      <c r="DB248" s="128" t="s">
        <v>7085</v>
      </c>
      <c r="DC248" s="128" t="s">
        <v>105</v>
      </c>
    </row>
    <row r="249" spans="1:107" s="40" customFormat="1" ht="14.55" customHeight="1" x14ac:dyDescent="0.3">
      <c r="A249" s="42" t="s">
        <v>4108</v>
      </c>
      <c r="B249" s="42" t="s">
        <v>4113</v>
      </c>
      <c r="C249" s="42" t="s">
        <v>4114</v>
      </c>
      <c r="D249" s="42" t="s">
        <v>3302</v>
      </c>
      <c r="E249" s="42" t="s">
        <v>3302</v>
      </c>
      <c r="F249" s="42" t="s">
        <v>108</v>
      </c>
      <c r="G249" s="42" t="s">
        <v>1688</v>
      </c>
      <c r="H249" s="43" t="s">
        <v>6931</v>
      </c>
      <c r="I249" s="44">
        <v>1101</v>
      </c>
      <c r="J249" s="44">
        <v>110150</v>
      </c>
      <c r="K249" s="45">
        <v>4</v>
      </c>
      <c r="L249" s="42"/>
      <c r="M249" s="42" t="s">
        <v>810</v>
      </c>
      <c r="N249" s="42"/>
      <c r="O249" s="42"/>
      <c r="P249" s="42"/>
      <c r="Q249" s="42"/>
      <c r="R249" s="42"/>
      <c r="S249" s="42"/>
      <c r="T249" s="42"/>
      <c r="U249" s="42" t="s">
        <v>3303</v>
      </c>
      <c r="V249" s="42"/>
      <c r="W249" s="42" t="s">
        <v>3304</v>
      </c>
      <c r="X249" s="42" t="s">
        <v>3305</v>
      </c>
      <c r="Y249" s="42" t="s">
        <v>3306</v>
      </c>
      <c r="Z249" s="42"/>
      <c r="AA249" s="42"/>
      <c r="AB249" s="42"/>
      <c r="AC249" s="42"/>
      <c r="AD249" s="42"/>
      <c r="AE249" s="45">
        <v>2</v>
      </c>
      <c r="AF249" s="45" t="s">
        <v>64</v>
      </c>
      <c r="AG249" s="46" t="s">
        <v>66</v>
      </c>
      <c r="AH249" s="47" t="s">
        <v>3307</v>
      </c>
      <c r="AI249" s="48" t="s">
        <v>66</v>
      </c>
      <c r="AJ249" s="49" t="s">
        <v>6938</v>
      </c>
      <c r="AK249" s="50" t="s">
        <v>67</v>
      </c>
      <c r="AL249" s="51">
        <v>45574</v>
      </c>
      <c r="AM249" s="52" t="s">
        <v>66</v>
      </c>
      <c r="AN249" s="42"/>
      <c r="AO249" s="42"/>
      <c r="AP249" s="42"/>
      <c r="AQ249" s="53">
        <f t="shared" si="12"/>
        <v>3</v>
      </c>
      <c r="AR249" s="54">
        <f t="shared" si="13"/>
        <v>0</v>
      </c>
      <c r="AS249" s="55">
        <f t="shared" si="14"/>
        <v>3</v>
      </c>
      <c r="AT249" s="96" t="s">
        <v>3300</v>
      </c>
      <c r="AU249" s="96" t="s">
        <v>3341</v>
      </c>
      <c r="AV249" s="96">
        <v>1</v>
      </c>
      <c r="AW249" s="97">
        <v>45574</v>
      </c>
      <c r="AX249" s="96">
        <v>1.05</v>
      </c>
      <c r="AY249" s="98">
        <v>45608</v>
      </c>
      <c r="AZ249" s="96" t="s">
        <v>2723</v>
      </c>
      <c r="BA249" s="96" t="s">
        <v>2724</v>
      </c>
      <c r="BB249" s="96">
        <v>0.75</v>
      </c>
      <c r="BC249" s="98">
        <v>45574</v>
      </c>
      <c r="BD249" s="96">
        <v>0.75</v>
      </c>
      <c r="BE249" s="98">
        <v>45608</v>
      </c>
      <c r="BF249" s="96" t="s">
        <v>119</v>
      </c>
      <c r="BG249" s="96" t="s">
        <v>3343</v>
      </c>
      <c r="BH249" s="96">
        <v>0.95</v>
      </c>
      <c r="BI249" s="98">
        <v>45574</v>
      </c>
      <c r="BJ249" s="96">
        <v>0.9</v>
      </c>
      <c r="BK249" s="98">
        <v>45608</v>
      </c>
      <c r="BL249" s="96"/>
      <c r="BM249" s="96" t="s">
        <v>1356</v>
      </c>
      <c r="BN249" s="96"/>
      <c r="BO249" s="98"/>
      <c r="BP249" s="96"/>
      <c r="BQ249" s="98"/>
      <c r="BR249" s="96"/>
      <c r="BS249" s="96" t="s">
        <v>1356</v>
      </c>
      <c r="BT249" s="96"/>
      <c r="BU249" s="98"/>
      <c r="BV249" s="96"/>
      <c r="BW249" s="98"/>
      <c r="BX249" s="117"/>
      <c r="BY249" s="117" t="s">
        <v>1356</v>
      </c>
      <c r="BZ249" s="117"/>
      <c r="CA249" s="118"/>
      <c r="CB249" s="117"/>
      <c r="CC249" s="118"/>
      <c r="CD249" s="117"/>
      <c r="CE249" s="117" t="s">
        <v>1356</v>
      </c>
      <c r="CF249" s="117"/>
      <c r="CG249" s="118"/>
      <c r="CH249" s="117"/>
      <c r="CI249" s="118"/>
      <c r="CJ249" s="117"/>
      <c r="CK249" s="117" t="s">
        <v>1356</v>
      </c>
      <c r="CL249" s="117"/>
      <c r="CM249" s="118"/>
      <c r="CN249" s="117"/>
      <c r="CO249" s="118"/>
      <c r="CP249" s="117"/>
      <c r="CQ249" s="117" t="s">
        <v>1356</v>
      </c>
      <c r="CR249" s="117"/>
      <c r="CS249" s="118"/>
      <c r="CT249" s="117"/>
      <c r="CU249" s="118"/>
      <c r="CV249" s="117"/>
      <c r="CW249" s="117" t="s">
        <v>1356</v>
      </c>
      <c r="CX249" s="117"/>
      <c r="CY249" s="118"/>
      <c r="CZ249" s="117"/>
      <c r="DA249" s="118"/>
      <c r="DB249" s="129" t="s">
        <v>6962</v>
      </c>
      <c r="DC249" s="130" t="s">
        <v>105</v>
      </c>
    </row>
    <row r="250" spans="1:107" s="40" customFormat="1" ht="14.55" customHeight="1" x14ac:dyDescent="0.3">
      <c r="A250" s="25" t="s">
        <v>3500</v>
      </c>
      <c r="B250" s="25" t="s">
        <v>3982</v>
      </c>
      <c r="C250" s="25" t="s">
        <v>3983</v>
      </c>
      <c r="D250" s="25" t="s">
        <v>2265</v>
      </c>
      <c r="E250" s="25" t="s">
        <v>2266</v>
      </c>
      <c r="F250" s="25" t="s">
        <v>1028</v>
      </c>
      <c r="G250" s="26" t="s">
        <v>72</v>
      </c>
      <c r="H250" s="27" t="s">
        <v>251</v>
      </c>
      <c r="I250" s="26">
        <v>1701</v>
      </c>
      <c r="J250" s="26">
        <v>170150</v>
      </c>
      <c r="K250" s="28">
        <v>3</v>
      </c>
      <c r="L250" s="25" t="s">
        <v>2267</v>
      </c>
      <c r="M250" s="25" t="s">
        <v>2268</v>
      </c>
      <c r="N250" s="25" t="s">
        <v>2269</v>
      </c>
      <c r="O250" s="25"/>
      <c r="P250" s="25"/>
      <c r="Q250" s="25"/>
      <c r="R250" s="25"/>
      <c r="S250" s="25"/>
      <c r="T250" s="25"/>
      <c r="U250" s="25"/>
      <c r="V250" s="25" t="s">
        <v>1941</v>
      </c>
      <c r="W250" s="25"/>
      <c r="X250" s="25" t="s">
        <v>2270</v>
      </c>
      <c r="Y250" s="25" t="s">
        <v>2271</v>
      </c>
      <c r="Z250" s="25">
        <v>-78.548085451093357</v>
      </c>
      <c r="AA250" s="25">
        <v>-0.3193378605197093</v>
      </c>
      <c r="AB250" s="25">
        <v>170150450</v>
      </c>
      <c r="AC250" s="25">
        <v>170150450005</v>
      </c>
      <c r="AD250" s="25">
        <v>170150450005001</v>
      </c>
      <c r="AE250" s="28">
        <v>2</v>
      </c>
      <c r="AF250" s="28" t="s">
        <v>64</v>
      </c>
      <c r="AG250" s="29" t="s">
        <v>65</v>
      </c>
      <c r="AH250" s="30"/>
      <c r="AI250" s="31" t="s">
        <v>66</v>
      </c>
      <c r="AJ250" s="32" t="s">
        <v>6938</v>
      </c>
      <c r="AK250" s="33" t="s">
        <v>67</v>
      </c>
      <c r="AL250" s="34">
        <v>45583</v>
      </c>
      <c r="AM250" s="36" t="s">
        <v>66</v>
      </c>
      <c r="AN250" s="36"/>
      <c r="AO250" s="36"/>
      <c r="AP250" s="36"/>
      <c r="AQ250" s="37">
        <f t="shared" si="12"/>
        <v>0</v>
      </c>
      <c r="AR250" s="38">
        <f t="shared" si="13"/>
        <v>0</v>
      </c>
      <c r="AS250" s="39">
        <f t="shared" si="14"/>
        <v>0</v>
      </c>
      <c r="AT250" s="91"/>
      <c r="AU250" s="92" t="s">
        <v>1356</v>
      </c>
      <c r="AV250" s="93"/>
      <c r="AW250" s="94"/>
      <c r="AX250" s="93"/>
      <c r="AY250" s="95"/>
      <c r="AZ250" s="91"/>
      <c r="BA250" s="92" t="s">
        <v>1356</v>
      </c>
      <c r="BB250" s="93"/>
      <c r="BC250" s="95"/>
      <c r="BD250" s="93"/>
      <c r="BE250" s="95"/>
      <c r="BF250" s="91"/>
      <c r="BG250" s="92" t="s">
        <v>1356</v>
      </c>
      <c r="BH250" s="93"/>
      <c r="BI250" s="95"/>
      <c r="BJ250" s="93"/>
      <c r="BK250" s="95"/>
      <c r="BL250" s="91"/>
      <c r="BM250" s="92" t="s">
        <v>1356</v>
      </c>
      <c r="BN250" s="93"/>
      <c r="BO250" s="95"/>
      <c r="BP250" s="93"/>
      <c r="BQ250" s="95"/>
      <c r="BR250" s="91"/>
      <c r="BS250" s="92" t="s">
        <v>1356</v>
      </c>
      <c r="BT250" s="93"/>
      <c r="BU250" s="95"/>
      <c r="BV250" s="93"/>
      <c r="BW250" s="95"/>
      <c r="BX250" s="113"/>
      <c r="BY250" s="114" t="s">
        <v>1356</v>
      </c>
      <c r="BZ250" s="115"/>
      <c r="CA250" s="116"/>
      <c r="CB250" s="115"/>
      <c r="CC250" s="116"/>
      <c r="CD250" s="113"/>
      <c r="CE250" s="114" t="s">
        <v>1356</v>
      </c>
      <c r="CF250" s="115"/>
      <c r="CG250" s="116"/>
      <c r="CH250" s="115"/>
      <c r="CI250" s="116"/>
      <c r="CJ250" s="113"/>
      <c r="CK250" s="114" t="s">
        <v>1356</v>
      </c>
      <c r="CL250" s="115"/>
      <c r="CM250" s="116"/>
      <c r="CN250" s="115"/>
      <c r="CO250" s="116"/>
      <c r="CP250" s="113"/>
      <c r="CQ250" s="114" t="s">
        <v>1356</v>
      </c>
      <c r="CR250" s="115"/>
      <c r="CS250" s="116"/>
      <c r="CT250" s="115"/>
      <c r="CU250" s="116"/>
      <c r="CV250" s="113"/>
      <c r="CW250" s="114" t="s">
        <v>1356</v>
      </c>
      <c r="CX250" s="115"/>
      <c r="CY250" s="116"/>
      <c r="CZ250" s="115"/>
      <c r="DA250" s="116"/>
      <c r="DB250" s="128" t="s">
        <v>7085</v>
      </c>
      <c r="DC250" s="128" t="s">
        <v>105</v>
      </c>
    </row>
    <row r="251" spans="1:107" s="40" customFormat="1" ht="14.55" customHeight="1" x14ac:dyDescent="0.3">
      <c r="A251" s="25" t="s">
        <v>3500</v>
      </c>
      <c r="B251" s="25" t="s">
        <v>3984</v>
      </c>
      <c r="C251" s="25" t="s">
        <v>3985</v>
      </c>
      <c r="D251" s="25" t="s">
        <v>2272</v>
      </c>
      <c r="E251" s="25" t="s">
        <v>70</v>
      </c>
      <c r="F251" s="25" t="s">
        <v>352</v>
      </c>
      <c r="G251" s="26" t="s">
        <v>72</v>
      </c>
      <c r="H251" s="27" t="s">
        <v>251</v>
      </c>
      <c r="I251" s="26">
        <v>1701</v>
      </c>
      <c r="J251" s="26">
        <v>170151</v>
      </c>
      <c r="K251" s="28">
        <v>3</v>
      </c>
      <c r="L251" s="25" t="s">
        <v>2273</v>
      </c>
      <c r="M251" s="25" t="s">
        <v>2274</v>
      </c>
      <c r="N251" s="25" t="s">
        <v>2275</v>
      </c>
      <c r="O251" s="25"/>
      <c r="P251" s="25"/>
      <c r="Q251" s="25"/>
      <c r="R251" s="25"/>
      <c r="S251" s="25" t="s">
        <v>146</v>
      </c>
      <c r="T251" s="25"/>
      <c r="U251" s="25"/>
      <c r="V251" s="25"/>
      <c r="W251" s="25" t="s">
        <v>2276</v>
      </c>
      <c r="X251" s="25" t="s">
        <v>2277</v>
      </c>
      <c r="Y251" s="25" t="s">
        <v>2278</v>
      </c>
      <c r="Z251" s="25"/>
      <c r="AA251" s="25"/>
      <c r="AB251" s="25"/>
      <c r="AC251" s="25"/>
      <c r="AD251" s="25"/>
      <c r="AE251" s="28">
        <v>2</v>
      </c>
      <c r="AF251" s="28" t="s">
        <v>64</v>
      </c>
      <c r="AG251" s="29" t="s">
        <v>65</v>
      </c>
      <c r="AH251" s="30"/>
      <c r="AI251" s="31" t="s">
        <v>66</v>
      </c>
      <c r="AJ251" s="32" t="s">
        <v>6938</v>
      </c>
      <c r="AK251" s="33" t="s">
        <v>67</v>
      </c>
      <c r="AL251" s="34">
        <v>45587</v>
      </c>
      <c r="AM251" s="36" t="s">
        <v>66</v>
      </c>
      <c r="AN251" s="36"/>
      <c r="AO251" s="36"/>
      <c r="AP251" s="36"/>
      <c r="AQ251" s="37">
        <f t="shared" si="12"/>
        <v>0</v>
      </c>
      <c r="AR251" s="38">
        <f t="shared" si="13"/>
        <v>0</v>
      </c>
      <c r="AS251" s="39">
        <f t="shared" si="14"/>
        <v>0</v>
      </c>
      <c r="AT251" s="91"/>
      <c r="AU251" s="92" t="s">
        <v>1356</v>
      </c>
      <c r="AV251" s="93"/>
      <c r="AW251" s="94"/>
      <c r="AX251" s="93"/>
      <c r="AY251" s="95"/>
      <c r="AZ251" s="91"/>
      <c r="BA251" s="92" t="s">
        <v>1356</v>
      </c>
      <c r="BB251" s="93"/>
      <c r="BC251" s="95"/>
      <c r="BD251" s="93"/>
      <c r="BE251" s="95"/>
      <c r="BF251" s="91"/>
      <c r="BG251" s="92" t="s">
        <v>1356</v>
      </c>
      <c r="BH251" s="93"/>
      <c r="BI251" s="95"/>
      <c r="BJ251" s="93"/>
      <c r="BK251" s="95"/>
      <c r="BL251" s="91"/>
      <c r="BM251" s="92" t="s">
        <v>1356</v>
      </c>
      <c r="BN251" s="93"/>
      <c r="BO251" s="95"/>
      <c r="BP251" s="93"/>
      <c r="BQ251" s="95"/>
      <c r="BR251" s="91"/>
      <c r="BS251" s="92" t="s">
        <v>1356</v>
      </c>
      <c r="BT251" s="93"/>
      <c r="BU251" s="95"/>
      <c r="BV251" s="93"/>
      <c r="BW251" s="95"/>
      <c r="BX251" s="113"/>
      <c r="BY251" s="114" t="s">
        <v>1356</v>
      </c>
      <c r="BZ251" s="115"/>
      <c r="CA251" s="116"/>
      <c r="CB251" s="115"/>
      <c r="CC251" s="116"/>
      <c r="CD251" s="113"/>
      <c r="CE251" s="114" t="s">
        <v>1356</v>
      </c>
      <c r="CF251" s="115"/>
      <c r="CG251" s="116"/>
      <c r="CH251" s="115"/>
      <c r="CI251" s="116"/>
      <c r="CJ251" s="113"/>
      <c r="CK251" s="114" t="s">
        <v>1356</v>
      </c>
      <c r="CL251" s="115"/>
      <c r="CM251" s="116"/>
      <c r="CN251" s="115"/>
      <c r="CO251" s="116"/>
      <c r="CP251" s="113"/>
      <c r="CQ251" s="114" t="s">
        <v>1356</v>
      </c>
      <c r="CR251" s="115"/>
      <c r="CS251" s="116"/>
      <c r="CT251" s="115"/>
      <c r="CU251" s="116"/>
      <c r="CV251" s="113"/>
      <c r="CW251" s="114" t="s">
        <v>1356</v>
      </c>
      <c r="CX251" s="115"/>
      <c r="CY251" s="116"/>
      <c r="CZ251" s="115"/>
      <c r="DA251" s="116"/>
      <c r="DB251" s="128" t="s">
        <v>7085</v>
      </c>
      <c r="DC251" s="128" t="s">
        <v>105</v>
      </c>
    </row>
    <row r="252" spans="1:107" s="40" customFormat="1" ht="14.55" customHeight="1" x14ac:dyDescent="0.3">
      <c r="A252" s="25" t="s">
        <v>3500</v>
      </c>
      <c r="B252" s="25" t="s">
        <v>3986</v>
      </c>
      <c r="C252" s="25" t="s">
        <v>3987</v>
      </c>
      <c r="D252" s="25" t="s">
        <v>2279</v>
      </c>
      <c r="E252" s="25" t="s">
        <v>70</v>
      </c>
      <c r="F252" s="25" t="s">
        <v>361</v>
      </c>
      <c r="G252" s="26" t="s">
        <v>72</v>
      </c>
      <c r="H252" s="27" t="s">
        <v>251</v>
      </c>
      <c r="I252" s="26">
        <v>1701</v>
      </c>
      <c r="J252" s="26">
        <v>170150</v>
      </c>
      <c r="K252" s="28">
        <v>3</v>
      </c>
      <c r="L252" s="25" t="s">
        <v>2280</v>
      </c>
      <c r="M252" s="25" t="s">
        <v>2281</v>
      </c>
      <c r="N252" s="25" t="s">
        <v>2282</v>
      </c>
      <c r="O252" s="25"/>
      <c r="P252" s="25"/>
      <c r="Q252" s="25"/>
      <c r="R252" s="25"/>
      <c r="S252" s="25"/>
      <c r="T252" s="25"/>
      <c r="U252" s="25"/>
      <c r="V252" s="25"/>
      <c r="W252" s="25" t="s">
        <v>2283</v>
      </c>
      <c r="X252" s="25"/>
      <c r="Y252" s="25" t="s">
        <v>2284</v>
      </c>
      <c r="Z252" s="25"/>
      <c r="AA252" s="25"/>
      <c r="AB252" s="25"/>
      <c r="AC252" s="25"/>
      <c r="AD252" s="25"/>
      <c r="AE252" s="28">
        <v>2</v>
      </c>
      <c r="AF252" s="28" t="s">
        <v>64</v>
      </c>
      <c r="AG252" s="29" t="s">
        <v>65</v>
      </c>
      <c r="AH252" s="30"/>
      <c r="AI252" s="31" t="s">
        <v>65</v>
      </c>
      <c r="AJ252" s="32" t="s">
        <v>6938</v>
      </c>
      <c r="AK252" s="33" t="s">
        <v>92</v>
      </c>
      <c r="AL252" s="34">
        <v>45561</v>
      </c>
      <c r="AM252" s="36"/>
      <c r="AN252" s="36"/>
      <c r="AO252" s="36"/>
      <c r="AP252" s="36"/>
      <c r="AQ252" s="37">
        <f t="shared" si="12"/>
        <v>0</v>
      </c>
      <c r="AR252" s="38">
        <f t="shared" si="13"/>
        <v>0</v>
      </c>
      <c r="AS252" s="39">
        <f t="shared" si="14"/>
        <v>0</v>
      </c>
      <c r="AT252" s="91"/>
      <c r="AU252" s="92" t="s">
        <v>1356</v>
      </c>
      <c r="AV252" s="93"/>
      <c r="AW252" s="94"/>
      <c r="AX252" s="93"/>
      <c r="AY252" s="95"/>
      <c r="AZ252" s="91"/>
      <c r="BA252" s="92" t="s">
        <v>1356</v>
      </c>
      <c r="BB252" s="93"/>
      <c r="BC252" s="95"/>
      <c r="BD252" s="93"/>
      <c r="BE252" s="95"/>
      <c r="BF252" s="91"/>
      <c r="BG252" s="92" t="s">
        <v>1356</v>
      </c>
      <c r="BH252" s="93"/>
      <c r="BI252" s="95"/>
      <c r="BJ252" s="93"/>
      <c r="BK252" s="95"/>
      <c r="BL252" s="91"/>
      <c r="BM252" s="92" t="s">
        <v>1356</v>
      </c>
      <c r="BN252" s="93"/>
      <c r="BO252" s="95"/>
      <c r="BP252" s="93"/>
      <c r="BQ252" s="95"/>
      <c r="BR252" s="91"/>
      <c r="BS252" s="92" t="s">
        <v>1356</v>
      </c>
      <c r="BT252" s="93"/>
      <c r="BU252" s="95"/>
      <c r="BV252" s="93"/>
      <c r="BW252" s="95"/>
      <c r="BX252" s="113"/>
      <c r="BY252" s="114" t="s">
        <v>1356</v>
      </c>
      <c r="BZ252" s="115"/>
      <c r="CA252" s="116"/>
      <c r="CB252" s="115"/>
      <c r="CC252" s="116"/>
      <c r="CD252" s="113"/>
      <c r="CE252" s="114" t="s">
        <v>1356</v>
      </c>
      <c r="CF252" s="115"/>
      <c r="CG252" s="116"/>
      <c r="CH252" s="115"/>
      <c r="CI252" s="116"/>
      <c r="CJ252" s="113"/>
      <c r="CK252" s="114" t="s">
        <v>1356</v>
      </c>
      <c r="CL252" s="115"/>
      <c r="CM252" s="116"/>
      <c r="CN252" s="115"/>
      <c r="CO252" s="116"/>
      <c r="CP252" s="113"/>
      <c r="CQ252" s="114" t="s">
        <v>1356</v>
      </c>
      <c r="CR252" s="115"/>
      <c r="CS252" s="116"/>
      <c r="CT252" s="115"/>
      <c r="CU252" s="116"/>
      <c r="CV252" s="113"/>
      <c r="CW252" s="114" t="s">
        <v>1356</v>
      </c>
      <c r="CX252" s="115"/>
      <c r="CY252" s="116"/>
      <c r="CZ252" s="115"/>
      <c r="DA252" s="116"/>
      <c r="DB252" s="128" t="s">
        <v>7085</v>
      </c>
      <c r="DC252" s="128" t="s">
        <v>92</v>
      </c>
    </row>
    <row r="253" spans="1:107" s="40" customFormat="1" ht="14.55" customHeight="1" x14ac:dyDescent="0.3">
      <c r="A253" s="25" t="s">
        <v>3500</v>
      </c>
      <c r="B253" s="25" t="s">
        <v>3988</v>
      </c>
      <c r="C253" s="25" t="s">
        <v>3989</v>
      </c>
      <c r="D253" s="25" t="s">
        <v>2285</v>
      </c>
      <c r="E253" s="25" t="s">
        <v>70</v>
      </c>
      <c r="F253" s="25" t="s">
        <v>95</v>
      </c>
      <c r="G253" s="26" t="s">
        <v>72</v>
      </c>
      <c r="H253" s="27" t="s">
        <v>251</v>
      </c>
      <c r="I253" s="26">
        <v>1701</v>
      </c>
      <c r="J253" s="26">
        <v>170152</v>
      </c>
      <c r="K253" s="28">
        <v>4</v>
      </c>
      <c r="L253" s="25" t="s">
        <v>2286</v>
      </c>
      <c r="M253" s="25" t="s">
        <v>2287</v>
      </c>
      <c r="N253" s="25" t="s">
        <v>2288</v>
      </c>
      <c r="O253" s="25"/>
      <c r="P253" s="25"/>
      <c r="Q253" s="25" t="s">
        <v>2289</v>
      </c>
      <c r="R253" s="25" t="s">
        <v>113</v>
      </c>
      <c r="S253" s="25"/>
      <c r="T253" s="25"/>
      <c r="U253" s="25" t="s">
        <v>523</v>
      </c>
      <c r="V253" s="25"/>
      <c r="W253" s="25" t="s">
        <v>2290</v>
      </c>
      <c r="X253" s="25" t="s">
        <v>2291</v>
      </c>
      <c r="Y253" s="25" t="s">
        <v>2292</v>
      </c>
      <c r="Z253" s="25">
        <v>-78.477122783660889</v>
      </c>
      <c r="AA253" s="25">
        <v>-0.36728845813165489</v>
      </c>
      <c r="AB253" s="25">
        <v>170152999</v>
      </c>
      <c r="AC253" s="25">
        <v>170152999016</v>
      </c>
      <c r="AD253" s="25">
        <v>170152999016001</v>
      </c>
      <c r="AE253" s="28">
        <v>3</v>
      </c>
      <c r="AF253" s="28" t="s">
        <v>377</v>
      </c>
      <c r="AG253" s="29" t="s">
        <v>65</v>
      </c>
      <c r="AH253" s="30"/>
      <c r="AI253" s="31" t="s">
        <v>66</v>
      </c>
      <c r="AJ253" s="32" t="s">
        <v>6938</v>
      </c>
      <c r="AK253" s="33" t="s">
        <v>67</v>
      </c>
      <c r="AL253" s="34">
        <v>45573</v>
      </c>
      <c r="AM253" s="36" t="s">
        <v>66</v>
      </c>
      <c r="AN253" s="36"/>
      <c r="AO253" s="36"/>
      <c r="AP253" s="36"/>
      <c r="AQ253" s="37">
        <f t="shared" si="12"/>
        <v>0</v>
      </c>
      <c r="AR253" s="38">
        <f t="shared" si="13"/>
        <v>0</v>
      </c>
      <c r="AS253" s="39">
        <f t="shared" si="14"/>
        <v>0</v>
      </c>
      <c r="AT253" s="91"/>
      <c r="AU253" s="92" t="s">
        <v>1356</v>
      </c>
      <c r="AV253" s="93"/>
      <c r="AW253" s="94"/>
      <c r="AX253" s="93"/>
      <c r="AY253" s="95"/>
      <c r="AZ253" s="91"/>
      <c r="BA253" s="92" t="s">
        <v>1356</v>
      </c>
      <c r="BB253" s="93"/>
      <c r="BC253" s="95"/>
      <c r="BD253" s="93"/>
      <c r="BE253" s="95"/>
      <c r="BF253" s="91"/>
      <c r="BG253" s="92" t="s">
        <v>1356</v>
      </c>
      <c r="BH253" s="93"/>
      <c r="BI253" s="95"/>
      <c r="BJ253" s="93"/>
      <c r="BK253" s="95"/>
      <c r="BL253" s="91"/>
      <c r="BM253" s="92" t="s">
        <v>1356</v>
      </c>
      <c r="BN253" s="93"/>
      <c r="BO253" s="95"/>
      <c r="BP253" s="93"/>
      <c r="BQ253" s="95"/>
      <c r="BR253" s="91"/>
      <c r="BS253" s="92" t="s">
        <v>1356</v>
      </c>
      <c r="BT253" s="93"/>
      <c r="BU253" s="95"/>
      <c r="BV253" s="93"/>
      <c r="BW253" s="95"/>
      <c r="BX253" s="113"/>
      <c r="BY253" s="114" t="s">
        <v>1356</v>
      </c>
      <c r="BZ253" s="115"/>
      <c r="CA253" s="116"/>
      <c r="CB253" s="115"/>
      <c r="CC253" s="116"/>
      <c r="CD253" s="113"/>
      <c r="CE253" s="114" t="s">
        <v>1356</v>
      </c>
      <c r="CF253" s="115"/>
      <c r="CG253" s="116"/>
      <c r="CH253" s="115"/>
      <c r="CI253" s="116"/>
      <c r="CJ253" s="113"/>
      <c r="CK253" s="114" t="s">
        <v>1356</v>
      </c>
      <c r="CL253" s="115"/>
      <c r="CM253" s="116"/>
      <c r="CN253" s="115"/>
      <c r="CO253" s="116"/>
      <c r="CP253" s="113"/>
      <c r="CQ253" s="114" t="s">
        <v>1356</v>
      </c>
      <c r="CR253" s="115"/>
      <c r="CS253" s="116"/>
      <c r="CT253" s="115"/>
      <c r="CU253" s="116"/>
      <c r="CV253" s="113"/>
      <c r="CW253" s="114" t="s">
        <v>1356</v>
      </c>
      <c r="CX253" s="115"/>
      <c r="CY253" s="116"/>
      <c r="CZ253" s="115"/>
      <c r="DA253" s="116"/>
      <c r="DB253" s="128" t="s">
        <v>7085</v>
      </c>
      <c r="DC253" s="128" t="s">
        <v>105</v>
      </c>
    </row>
    <row r="254" spans="1:107" s="40" customFormat="1" ht="14.55" customHeight="1" x14ac:dyDescent="0.3">
      <c r="A254" s="25" t="s">
        <v>3500</v>
      </c>
      <c r="B254" s="25" t="s">
        <v>3990</v>
      </c>
      <c r="C254" s="25" t="s">
        <v>3991</v>
      </c>
      <c r="D254" s="25" t="s">
        <v>2293</v>
      </c>
      <c r="E254" s="25" t="s">
        <v>70</v>
      </c>
      <c r="F254" s="25" t="s">
        <v>201</v>
      </c>
      <c r="G254" s="26" t="s">
        <v>72</v>
      </c>
      <c r="H254" s="27" t="s">
        <v>251</v>
      </c>
      <c r="I254" s="26">
        <v>1701</v>
      </c>
      <c r="J254" s="26">
        <v>170150</v>
      </c>
      <c r="K254" s="28">
        <v>4</v>
      </c>
      <c r="L254" s="25" t="s">
        <v>2294</v>
      </c>
      <c r="M254" s="25" t="s">
        <v>2295</v>
      </c>
      <c r="N254" s="25" t="s">
        <v>2296</v>
      </c>
      <c r="O254" s="25"/>
      <c r="P254" s="25"/>
      <c r="Q254" s="25"/>
      <c r="R254" s="25"/>
      <c r="S254" s="25"/>
      <c r="T254" s="25"/>
      <c r="U254" s="25"/>
      <c r="V254" s="25"/>
      <c r="W254" s="25" t="s">
        <v>2297</v>
      </c>
      <c r="X254" s="25" t="s">
        <v>2298</v>
      </c>
      <c r="Y254" s="25" t="s">
        <v>2299</v>
      </c>
      <c r="Z254" s="25"/>
      <c r="AA254" s="25"/>
      <c r="AB254" s="25"/>
      <c r="AC254" s="25"/>
      <c r="AD254" s="25"/>
      <c r="AE254" s="28">
        <v>3</v>
      </c>
      <c r="AF254" s="28" t="s">
        <v>377</v>
      </c>
      <c r="AG254" s="29" t="s">
        <v>65</v>
      </c>
      <c r="AH254" s="30"/>
      <c r="AI254" s="31" t="s">
        <v>66</v>
      </c>
      <c r="AJ254" s="32" t="s">
        <v>6938</v>
      </c>
      <c r="AK254" s="33" t="s">
        <v>67</v>
      </c>
      <c r="AL254" s="34">
        <v>45575</v>
      </c>
      <c r="AM254" s="36" t="s">
        <v>66</v>
      </c>
      <c r="AN254" s="36"/>
      <c r="AO254" s="36"/>
      <c r="AP254" s="36"/>
      <c r="AQ254" s="37">
        <f t="shared" si="12"/>
        <v>0</v>
      </c>
      <c r="AR254" s="38">
        <f t="shared" si="13"/>
        <v>0</v>
      </c>
      <c r="AS254" s="39">
        <f t="shared" si="14"/>
        <v>0</v>
      </c>
      <c r="AT254" s="91"/>
      <c r="AU254" s="92" t="s">
        <v>1356</v>
      </c>
      <c r="AV254" s="93"/>
      <c r="AW254" s="94"/>
      <c r="AX254" s="93"/>
      <c r="AY254" s="95"/>
      <c r="AZ254" s="91"/>
      <c r="BA254" s="92" t="s">
        <v>1356</v>
      </c>
      <c r="BB254" s="93"/>
      <c r="BC254" s="95"/>
      <c r="BD254" s="93"/>
      <c r="BE254" s="95"/>
      <c r="BF254" s="91"/>
      <c r="BG254" s="92" t="s">
        <v>1356</v>
      </c>
      <c r="BH254" s="93"/>
      <c r="BI254" s="95"/>
      <c r="BJ254" s="93"/>
      <c r="BK254" s="95"/>
      <c r="BL254" s="91"/>
      <c r="BM254" s="92" t="s">
        <v>1356</v>
      </c>
      <c r="BN254" s="93"/>
      <c r="BO254" s="95"/>
      <c r="BP254" s="93"/>
      <c r="BQ254" s="95"/>
      <c r="BR254" s="91"/>
      <c r="BS254" s="92" t="s">
        <v>1356</v>
      </c>
      <c r="BT254" s="93"/>
      <c r="BU254" s="95"/>
      <c r="BV254" s="93"/>
      <c r="BW254" s="95"/>
      <c r="BX254" s="113"/>
      <c r="BY254" s="114" t="s">
        <v>1356</v>
      </c>
      <c r="BZ254" s="115"/>
      <c r="CA254" s="116"/>
      <c r="CB254" s="115"/>
      <c r="CC254" s="116"/>
      <c r="CD254" s="113"/>
      <c r="CE254" s="114" t="s">
        <v>1356</v>
      </c>
      <c r="CF254" s="115"/>
      <c r="CG254" s="116"/>
      <c r="CH254" s="115"/>
      <c r="CI254" s="116"/>
      <c r="CJ254" s="113"/>
      <c r="CK254" s="114" t="s">
        <v>1356</v>
      </c>
      <c r="CL254" s="115"/>
      <c r="CM254" s="116"/>
      <c r="CN254" s="115"/>
      <c r="CO254" s="116"/>
      <c r="CP254" s="113"/>
      <c r="CQ254" s="114" t="s">
        <v>1356</v>
      </c>
      <c r="CR254" s="115"/>
      <c r="CS254" s="116"/>
      <c r="CT254" s="115"/>
      <c r="CU254" s="116"/>
      <c r="CV254" s="113"/>
      <c r="CW254" s="114" t="s">
        <v>1356</v>
      </c>
      <c r="CX254" s="115"/>
      <c r="CY254" s="116"/>
      <c r="CZ254" s="115"/>
      <c r="DA254" s="116"/>
      <c r="DB254" s="128" t="s">
        <v>7085</v>
      </c>
      <c r="DC254" s="128" t="s">
        <v>105</v>
      </c>
    </row>
    <row r="255" spans="1:107" s="40" customFormat="1" ht="14.55" customHeight="1" x14ac:dyDescent="0.3">
      <c r="A255" s="25" t="s">
        <v>3500</v>
      </c>
      <c r="B255" s="25" t="s">
        <v>3992</v>
      </c>
      <c r="C255" s="25" t="s">
        <v>3993</v>
      </c>
      <c r="D255" s="25" t="s">
        <v>2300</v>
      </c>
      <c r="E255" s="25" t="s">
        <v>70</v>
      </c>
      <c r="F255" s="25" t="s">
        <v>825</v>
      </c>
      <c r="G255" s="26" t="s">
        <v>72</v>
      </c>
      <c r="H255" s="27" t="s">
        <v>251</v>
      </c>
      <c r="I255" s="26">
        <v>1703</v>
      </c>
      <c r="J255" s="26">
        <v>170350</v>
      </c>
      <c r="K255" s="28">
        <v>4</v>
      </c>
      <c r="L255" s="25" t="s">
        <v>2301</v>
      </c>
      <c r="M255" s="25" t="s">
        <v>2302</v>
      </c>
      <c r="N255" s="25" t="s">
        <v>2303</v>
      </c>
      <c r="O255" s="25"/>
      <c r="P255" s="25"/>
      <c r="Q255" s="25"/>
      <c r="R255" s="25"/>
      <c r="S255" s="25"/>
      <c r="T255" s="25"/>
      <c r="U255" s="25"/>
      <c r="V255" s="25"/>
      <c r="W255" s="25" t="s">
        <v>2304</v>
      </c>
      <c r="X255" s="25" t="s">
        <v>2305</v>
      </c>
      <c r="Y255" s="25" t="s">
        <v>2306</v>
      </c>
      <c r="Z255" s="25"/>
      <c r="AA255" s="25"/>
      <c r="AB255" s="25"/>
      <c r="AC255" s="25"/>
      <c r="AD255" s="25"/>
      <c r="AE255" s="28">
        <v>3</v>
      </c>
      <c r="AF255" s="28" t="s">
        <v>377</v>
      </c>
      <c r="AG255" s="29" t="s">
        <v>65</v>
      </c>
      <c r="AH255" s="30"/>
      <c r="AI255" s="31" t="s">
        <v>65</v>
      </c>
      <c r="AJ255" s="32" t="s">
        <v>6938</v>
      </c>
      <c r="AK255" s="33" t="s">
        <v>92</v>
      </c>
      <c r="AL255" s="34">
        <v>45588</v>
      </c>
      <c r="AM255" s="36"/>
      <c r="AN255" s="36"/>
      <c r="AO255" s="36"/>
      <c r="AP255" s="36"/>
      <c r="AQ255" s="37">
        <f t="shared" si="12"/>
        <v>0</v>
      </c>
      <c r="AR255" s="38">
        <f t="shared" si="13"/>
        <v>0</v>
      </c>
      <c r="AS255" s="39">
        <f t="shared" si="14"/>
        <v>0</v>
      </c>
      <c r="AT255" s="91"/>
      <c r="AU255" s="92" t="s">
        <v>1356</v>
      </c>
      <c r="AV255" s="93"/>
      <c r="AW255" s="94"/>
      <c r="AX255" s="93"/>
      <c r="AY255" s="95"/>
      <c r="AZ255" s="91"/>
      <c r="BA255" s="92" t="s">
        <v>1356</v>
      </c>
      <c r="BB255" s="93"/>
      <c r="BC255" s="95"/>
      <c r="BD255" s="93"/>
      <c r="BE255" s="95"/>
      <c r="BF255" s="91"/>
      <c r="BG255" s="92" t="s">
        <v>1356</v>
      </c>
      <c r="BH255" s="93"/>
      <c r="BI255" s="95"/>
      <c r="BJ255" s="93"/>
      <c r="BK255" s="95"/>
      <c r="BL255" s="91"/>
      <c r="BM255" s="92" t="s">
        <v>1356</v>
      </c>
      <c r="BN255" s="93"/>
      <c r="BO255" s="95"/>
      <c r="BP255" s="93"/>
      <c r="BQ255" s="95"/>
      <c r="BR255" s="91"/>
      <c r="BS255" s="92" t="s">
        <v>1356</v>
      </c>
      <c r="BT255" s="93"/>
      <c r="BU255" s="95"/>
      <c r="BV255" s="93"/>
      <c r="BW255" s="95"/>
      <c r="BX255" s="113"/>
      <c r="BY255" s="114" t="s">
        <v>1356</v>
      </c>
      <c r="BZ255" s="115"/>
      <c r="CA255" s="116"/>
      <c r="CB255" s="115"/>
      <c r="CC255" s="116"/>
      <c r="CD255" s="113"/>
      <c r="CE255" s="114" t="s">
        <v>1356</v>
      </c>
      <c r="CF255" s="115"/>
      <c r="CG255" s="116"/>
      <c r="CH255" s="115"/>
      <c r="CI255" s="116"/>
      <c r="CJ255" s="113"/>
      <c r="CK255" s="114" t="s">
        <v>1356</v>
      </c>
      <c r="CL255" s="115"/>
      <c r="CM255" s="116"/>
      <c r="CN255" s="115"/>
      <c r="CO255" s="116"/>
      <c r="CP255" s="113"/>
      <c r="CQ255" s="114" t="s">
        <v>1356</v>
      </c>
      <c r="CR255" s="115"/>
      <c r="CS255" s="116"/>
      <c r="CT255" s="115"/>
      <c r="CU255" s="116"/>
      <c r="CV255" s="113"/>
      <c r="CW255" s="114" t="s">
        <v>1356</v>
      </c>
      <c r="CX255" s="115"/>
      <c r="CY255" s="116"/>
      <c r="CZ255" s="115"/>
      <c r="DA255" s="116"/>
      <c r="DB255" s="128" t="s">
        <v>7085</v>
      </c>
      <c r="DC255" s="128" t="s">
        <v>92</v>
      </c>
    </row>
    <row r="256" spans="1:107" s="40" customFormat="1" ht="14.55" customHeight="1" x14ac:dyDescent="0.3">
      <c r="A256" s="42" t="s">
        <v>4108</v>
      </c>
      <c r="B256" s="42" t="s">
        <v>4135</v>
      </c>
      <c r="C256" s="42" t="s">
        <v>4136</v>
      </c>
      <c r="D256" s="42" t="s">
        <v>2936</v>
      </c>
      <c r="E256" s="42" t="s">
        <v>2937</v>
      </c>
      <c r="F256" s="42" t="s">
        <v>274</v>
      </c>
      <c r="G256" s="42" t="s">
        <v>1688</v>
      </c>
      <c r="H256" s="43" t="s">
        <v>6931</v>
      </c>
      <c r="I256" s="44">
        <v>1101</v>
      </c>
      <c r="J256" s="44">
        <v>110150</v>
      </c>
      <c r="K256" s="45">
        <v>4</v>
      </c>
      <c r="L256" s="42" t="s">
        <v>2938</v>
      </c>
      <c r="M256" s="42" t="s">
        <v>2939</v>
      </c>
      <c r="N256" s="42" t="s">
        <v>2940</v>
      </c>
      <c r="O256" s="42"/>
      <c r="P256" s="42"/>
      <c r="Q256" s="42"/>
      <c r="R256" s="42" t="s">
        <v>113</v>
      </c>
      <c r="S256" s="42"/>
      <c r="T256" s="42"/>
      <c r="U256" s="42" t="s">
        <v>2941</v>
      </c>
      <c r="V256" s="42"/>
      <c r="W256" s="42" t="s">
        <v>2942</v>
      </c>
      <c r="X256" s="42" t="s">
        <v>2943</v>
      </c>
      <c r="Y256" s="42" t="s">
        <v>2944</v>
      </c>
      <c r="Z256" s="42">
        <v>-79.222396820750873</v>
      </c>
      <c r="AA256" s="42">
        <v>-3.9481277878122438</v>
      </c>
      <c r="AB256" s="42">
        <v>110150003</v>
      </c>
      <c r="AC256" s="42">
        <v>110150003003</v>
      </c>
      <c r="AD256" s="42">
        <v>110150003003001</v>
      </c>
      <c r="AE256" s="45">
        <v>2</v>
      </c>
      <c r="AF256" s="45" t="s">
        <v>64</v>
      </c>
      <c r="AG256" s="46" t="s">
        <v>66</v>
      </c>
      <c r="AH256" s="47">
        <v>60484</v>
      </c>
      <c r="AI256" s="48" t="s">
        <v>66</v>
      </c>
      <c r="AJ256" s="49" t="s">
        <v>6938</v>
      </c>
      <c r="AK256" s="50" t="s">
        <v>67</v>
      </c>
      <c r="AL256" s="51">
        <v>45574</v>
      </c>
      <c r="AM256" s="52" t="s">
        <v>66</v>
      </c>
      <c r="AN256" s="42"/>
      <c r="AO256" s="42"/>
      <c r="AP256" s="42"/>
      <c r="AQ256" s="53">
        <f t="shared" si="12"/>
        <v>2</v>
      </c>
      <c r="AR256" s="54">
        <f t="shared" si="13"/>
        <v>2</v>
      </c>
      <c r="AS256" s="55">
        <f t="shared" si="14"/>
        <v>4</v>
      </c>
      <c r="AT256" s="96" t="s">
        <v>2945</v>
      </c>
      <c r="AU256" s="96" t="s">
        <v>3345</v>
      </c>
      <c r="AV256" s="96">
        <v>0.21</v>
      </c>
      <c r="AW256" s="97">
        <v>45574</v>
      </c>
      <c r="AX256" s="96">
        <v>0.21</v>
      </c>
      <c r="AY256" s="98">
        <v>45607</v>
      </c>
      <c r="AZ256" s="96" t="s">
        <v>2945</v>
      </c>
      <c r="BA256" s="96" t="s">
        <v>3345</v>
      </c>
      <c r="BB256" s="96">
        <v>0.2261</v>
      </c>
      <c r="BC256" s="98">
        <v>45607</v>
      </c>
      <c r="BD256" s="96"/>
      <c r="BE256" s="98"/>
      <c r="BF256" s="96"/>
      <c r="BG256" s="96" t="s">
        <v>1356</v>
      </c>
      <c r="BH256" s="96"/>
      <c r="BI256" s="98"/>
      <c r="BJ256" s="96"/>
      <c r="BK256" s="98"/>
      <c r="BL256" s="96"/>
      <c r="BM256" s="96" t="s">
        <v>1356</v>
      </c>
      <c r="BN256" s="96"/>
      <c r="BO256" s="98"/>
      <c r="BP256" s="96"/>
      <c r="BQ256" s="98"/>
      <c r="BR256" s="96"/>
      <c r="BS256" s="96" t="s">
        <v>1356</v>
      </c>
      <c r="BT256" s="96"/>
      <c r="BU256" s="98"/>
      <c r="BV256" s="96"/>
      <c r="BW256" s="98"/>
      <c r="BX256" s="117"/>
      <c r="BY256" s="117"/>
      <c r="BZ256" s="117"/>
      <c r="CA256" s="118"/>
      <c r="CB256" s="117"/>
      <c r="CC256" s="118"/>
      <c r="CD256" s="117"/>
      <c r="CE256" s="117"/>
      <c r="CF256" s="117"/>
      <c r="CG256" s="118"/>
      <c r="CH256" s="117"/>
      <c r="CI256" s="118"/>
      <c r="CJ256" s="117" t="s">
        <v>2945</v>
      </c>
      <c r="CK256" s="117" t="s">
        <v>3345</v>
      </c>
      <c r="CL256" s="117" t="s">
        <v>2946</v>
      </c>
      <c r="CM256" s="118">
        <v>45574</v>
      </c>
      <c r="CN256" s="117"/>
      <c r="CO256" s="118"/>
      <c r="CP256" s="117" t="s">
        <v>2945</v>
      </c>
      <c r="CQ256" s="117" t="s">
        <v>3345</v>
      </c>
      <c r="CR256" s="117" t="s">
        <v>2947</v>
      </c>
      <c r="CS256" s="118">
        <v>45574</v>
      </c>
      <c r="CT256" s="117"/>
      <c r="CU256" s="118"/>
      <c r="CV256" s="117"/>
      <c r="CW256" s="117" t="s">
        <v>1356</v>
      </c>
      <c r="CX256" s="117"/>
      <c r="CY256" s="118"/>
      <c r="CZ256" s="117"/>
      <c r="DA256" s="118"/>
      <c r="DB256" s="129" t="s">
        <v>6962</v>
      </c>
      <c r="DC256" s="130" t="s">
        <v>105</v>
      </c>
    </row>
    <row r="257" spans="1:107" s="40" customFormat="1" ht="14.55" customHeight="1" x14ac:dyDescent="0.3">
      <c r="A257" s="25" t="s">
        <v>3500</v>
      </c>
      <c r="B257" s="25" t="s">
        <v>3996</v>
      </c>
      <c r="C257" s="25" t="s">
        <v>3997</v>
      </c>
      <c r="D257" s="25" t="s">
        <v>2319</v>
      </c>
      <c r="E257" s="25" t="s">
        <v>2320</v>
      </c>
      <c r="F257" s="25" t="s">
        <v>1950</v>
      </c>
      <c r="G257" s="26" t="s">
        <v>72</v>
      </c>
      <c r="H257" s="27" t="s">
        <v>251</v>
      </c>
      <c r="I257" s="26">
        <v>1701</v>
      </c>
      <c r="J257" s="26">
        <v>170150</v>
      </c>
      <c r="K257" s="28">
        <v>4</v>
      </c>
      <c r="L257" s="25" t="s">
        <v>859</v>
      </c>
      <c r="M257" s="25" t="s">
        <v>2321</v>
      </c>
      <c r="N257" s="25" t="s">
        <v>775</v>
      </c>
      <c r="O257" s="25"/>
      <c r="P257" s="25"/>
      <c r="Q257" s="25" t="s">
        <v>2320</v>
      </c>
      <c r="R257" s="25" t="s">
        <v>60</v>
      </c>
      <c r="S257" s="25"/>
      <c r="T257" s="25"/>
      <c r="U257" s="25"/>
      <c r="V257" s="25"/>
      <c r="W257" s="25" t="s">
        <v>2322</v>
      </c>
      <c r="X257" s="25" t="s">
        <v>2323</v>
      </c>
      <c r="Y257" s="25" t="s">
        <v>2324</v>
      </c>
      <c r="Z257" s="25"/>
      <c r="AA257" s="25"/>
      <c r="AB257" s="25">
        <v>170150356</v>
      </c>
      <c r="AC257" s="25">
        <v>170150356006</v>
      </c>
      <c r="AD257" s="25">
        <v>170150356006003</v>
      </c>
      <c r="AE257" s="28">
        <v>3</v>
      </c>
      <c r="AF257" s="28" t="s">
        <v>377</v>
      </c>
      <c r="AG257" s="29" t="s">
        <v>65</v>
      </c>
      <c r="AH257" s="30"/>
      <c r="AI257" s="31" t="s">
        <v>66</v>
      </c>
      <c r="AJ257" s="32" t="s">
        <v>6938</v>
      </c>
      <c r="AK257" s="33" t="s">
        <v>67</v>
      </c>
      <c r="AL257" s="34">
        <v>45566</v>
      </c>
      <c r="AM257" s="36" t="s">
        <v>66</v>
      </c>
      <c r="AN257" s="36"/>
      <c r="AO257" s="36"/>
      <c r="AP257" s="36"/>
      <c r="AQ257" s="37">
        <f t="shared" si="12"/>
        <v>0</v>
      </c>
      <c r="AR257" s="38">
        <f t="shared" si="13"/>
        <v>0</v>
      </c>
      <c r="AS257" s="39">
        <f t="shared" si="14"/>
        <v>0</v>
      </c>
      <c r="AT257" s="91"/>
      <c r="AU257" s="92" t="s">
        <v>1356</v>
      </c>
      <c r="AV257" s="93"/>
      <c r="AW257" s="94"/>
      <c r="AX257" s="93"/>
      <c r="AY257" s="95"/>
      <c r="AZ257" s="91"/>
      <c r="BA257" s="92" t="s">
        <v>1356</v>
      </c>
      <c r="BB257" s="93"/>
      <c r="BC257" s="95"/>
      <c r="BD257" s="93"/>
      <c r="BE257" s="95"/>
      <c r="BF257" s="91"/>
      <c r="BG257" s="92" t="s">
        <v>1356</v>
      </c>
      <c r="BH257" s="93"/>
      <c r="BI257" s="95"/>
      <c r="BJ257" s="93"/>
      <c r="BK257" s="95"/>
      <c r="BL257" s="91"/>
      <c r="BM257" s="92" t="s">
        <v>1356</v>
      </c>
      <c r="BN257" s="93"/>
      <c r="BO257" s="95"/>
      <c r="BP257" s="93"/>
      <c r="BQ257" s="95"/>
      <c r="BR257" s="91"/>
      <c r="BS257" s="92" t="s">
        <v>1356</v>
      </c>
      <c r="BT257" s="93"/>
      <c r="BU257" s="95"/>
      <c r="BV257" s="93"/>
      <c r="BW257" s="95"/>
      <c r="BX257" s="113"/>
      <c r="BY257" s="114" t="s">
        <v>1356</v>
      </c>
      <c r="BZ257" s="115"/>
      <c r="CA257" s="116"/>
      <c r="CB257" s="115"/>
      <c r="CC257" s="116"/>
      <c r="CD257" s="113"/>
      <c r="CE257" s="114" t="s">
        <v>1356</v>
      </c>
      <c r="CF257" s="115"/>
      <c r="CG257" s="116"/>
      <c r="CH257" s="115"/>
      <c r="CI257" s="116"/>
      <c r="CJ257" s="113"/>
      <c r="CK257" s="114" t="s">
        <v>1356</v>
      </c>
      <c r="CL257" s="115"/>
      <c r="CM257" s="116"/>
      <c r="CN257" s="115"/>
      <c r="CO257" s="116"/>
      <c r="CP257" s="113"/>
      <c r="CQ257" s="114" t="s">
        <v>1356</v>
      </c>
      <c r="CR257" s="115"/>
      <c r="CS257" s="116"/>
      <c r="CT257" s="115"/>
      <c r="CU257" s="116"/>
      <c r="CV257" s="113"/>
      <c r="CW257" s="114" t="s">
        <v>1356</v>
      </c>
      <c r="CX257" s="115"/>
      <c r="CY257" s="116"/>
      <c r="CZ257" s="115"/>
      <c r="DA257" s="116"/>
      <c r="DB257" s="128" t="s">
        <v>7085</v>
      </c>
      <c r="DC257" s="128" t="s">
        <v>105</v>
      </c>
    </row>
    <row r="258" spans="1:107" s="40" customFormat="1" ht="14.55" customHeight="1" x14ac:dyDescent="0.3">
      <c r="A258" s="25" t="s">
        <v>3500</v>
      </c>
      <c r="B258" s="25" t="s">
        <v>3998</v>
      </c>
      <c r="C258" s="25" t="s">
        <v>3999</v>
      </c>
      <c r="D258" s="25" t="s">
        <v>2325</v>
      </c>
      <c r="E258" s="25" t="s">
        <v>2326</v>
      </c>
      <c r="F258" s="25" t="s">
        <v>95</v>
      </c>
      <c r="G258" s="26" t="s">
        <v>72</v>
      </c>
      <c r="H258" s="27" t="s">
        <v>251</v>
      </c>
      <c r="I258" s="26">
        <v>1705</v>
      </c>
      <c r="J258" s="26">
        <v>170550</v>
      </c>
      <c r="K258" s="28">
        <v>4</v>
      </c>
      <c r="L258" s="25" t="s">
        <v>1341</v>
      </c>
      <c r="M258" s="25" t="s">
        <v>2327</v>
      </c>
      <c r="N258" s="25" t="s">
        <v>1485</v>
      </c>
      <c r="O258" s="25"/>
      <c r="P258" s="25" t="s">
        <v>2328</v>
      </c>
      <c r="Q258" s="25"/>
      <c r="R258" s="25" t="s">
        <v>60</v>
      </c>
      <c r="S258" s="25"/>
      <c r="T258" s="25" t="s">
        <v>1228</v>
      </c>
      <c r="U258" s="25"/>
      <c r="V258" s="25"/>
      <c r="W258" s="25" t="s">
        <v>2329</v>
      </c>
      <c r="X258" s="25" t="s">
        <v>2330</v>
      </c>
      <c r="Y258" s="25" t="s">
        <v>2331</v>
      </c>
      <c r="Z258" s="25">
        <v>-78.467468999999994</v>
      </c>
      <c r="AA258" s="25">
        <v>-0.36224899999999999</v>
      </c>
      <c r="AB258" s="25">
        <v>170550015</v>
      </c>
      <c r="AC258" s="25">
        <v>170550015011</v>
      </c>
      <c r="AD258" s="25">
        <v>170550015011001</v>
      </c>
      <c r="AE258" s="28">
        <v>4</v>
      </c>
      <c r="AF258" s="28" t="s">
        <v>499</v>
      </c>
      <c r="AG258" s="29" t="s">
        <v>65</v>
      </c>
      <c r="AH258" s="30"/>
      <c r="AI258" s="31" t="s">
        <v>66</v>
      </c>
      <c r="AJ258" s="32" t="s">
        <v>6938</v>
      </c>
      <c r="AK258" s="33" t="s">
        <v>67</v>
      </c>
      <c r="AL258" s="34">
        <v>45573</v>
      </c>
      <c r="AM258" s="36" t="s">
        <v>66</v>
      </c>
      <c r="AN258" s="36"/>
      <c r="AO258" s="36"/>
      <c r="AP258" s="36"/>
      <c r="AQ258" s="37">
        <f t="shared" si="12"/>
        <v>0</v>
      </c>
      <c r="AR258" s="38">
        <f t="shared" si="13"/>
        <v>0</v>
      </c>
      <c r="AS258" s="39">
        <f t="shared" si="14"/>
        <v>0</v>
      </c>
      <c r="AT258" s="91"/>
      <c r="AU258" s="92" t="s">
        <v>1356</v>
      </c>
      <c r="AV258" s="93"/>
      <c r="AW258" s="94"/>
      <c r="AX258" s="93"/>
      <c r="AY258" s="95"/>
      <c r="AZ258" s="91"/>
      <c r="BA258" s="92" t="s">
        <v>1356</v>
      </c>
      <c r="BB258" s="93"/>
      <c r="BC258" s="95"/>
      <c r="BD258" s="93"/>
      <c r="BE258" s="95"/>
      <c r="BF258" s="91"/>
      <c r="BG258" s="92" t="s">
        <v>1356</v>
      </c>
      <c r="BH258" s="93"/>
      <c r="BI258" s="95"/>
      <c r="BJ258" s="93"/>
      <c r="BK258" s="95"/>
      <c r="BL258" s="91"/>
      <c r="BM258" s="92" t="s">
        <v>1356</v>
      </c>
      <c r="BN258" s="93"/>
      <c r="BO258" s="95"/>
      <c r="BP258" s="93"/>
      <c r="BQ258" s="95"/>
      <c r="BR258" s="91"/>
      <c r="BS258" s="92" t="s">
        <v>1356</v>
      </c>
      <c r="BT258" s="93"/>
      <c r="BU258" s="95"/>
      <c r="BV258" s="93"/>
      <c r="BW258" s="95"/>
      <c r="BX258" s="113"/>
      <c r="BY258" s="114" t="s">
        <v>1356</v>
      </c>
      <c r="BZ258" s="115"/>
      <c r="CA258" s="116"/>
      <c r="CB258" s="115"/>
      <c r="CC258" s="116"/>
      <c r="CD258" s="113"/>
      <c r="CE258" s="114" t="s">
        <v>1356</v>
      </c>
      <c r="CF258" s="115"/>
      <c r="CG258" s="116"/>
      <c r="CH258" s="115"/>
      <c r="CI258" s="116"/>
      <c r="CJ258" s="113"/>
      <c r="CK258" s="114" t="s">
        <v>1356</v>
      </c>
      <c r="CL258" s="115"/>
      <c r="CM258" s="116"/>
      <c r="CN258" s="115"/>
      <c r="CO258" s="116"/>
      <c r="CP258" s="113"/>
      <c r="CQ258" s="114" t="s">
        <v>1356</v>
      </c>
      <c r="CR258" s="115"/>
      <c r="CS258" s="116"/>
      <c r="CT258" s="115"/>
      <c r="CU258" s="116"/>
      <c r="CV258" s="113"/>
      <c r="CW258" s="114" t="s">
        <v>1356</v>
      </c>
      <c r="CX258" s="115"/>
      <c r="CY258" s="116"/>
      <c r="CZ258" s="115"/>
      <c r="DA258" s="116"/>
      <c r="DB258" s="128" t="s">
        <v>7085</v>
      </c>
      <c r="DC258" s="131" t="s">
        <v>6751</v>
      </c>
    </row>
    <row r="259" spans="1:107" s="40" customFormat="1" ht="14.55" customHeight="1" x14ac:dyDescent="0.3">
      <c r="A259" s="25" t="s">
        <v>3500</v>
      </c>
      <c r="B259" s="25" t="s">
        <v>4000</v>
      </c>
      <c r="C259" s="25" t="s">
        <v>4001</v>
      </c>
      <c r="D259" s="25" t="s">
        <v>2332</v>
      </c>
      <c r="E259" s="25" t="s">
        <v>2333</v>
      </c>
      <c r="F259" s="25" t="s">
        <v>142</v>
      </c>
      <c r="G259" s="26" t="s">
        <v>72</v>
      </c>
      <c r="H259" s="27" t="s">
        <v>251</v>
      </c>
      <c r="I259" s="26">
        <v>1705</v>
      </c>
      <c r="J259" s="26">
        <v>170550</v>
      </c>
      <c r="K259" s="28">
        <v>4</v>
      </c>
      <c r="L259" s="25" t="s">
        <v>2334</v>
      </c>
      <c r="M259" s="25"/>
      <c r="N259" s="25" t="s">
        <v>2335</v>
      </c>
      <c r="O259" s="25" t="s">
        <v>2336</v>
      </c>
      <c r="P259" s="25"/>
      <c r="Q259" s="25"/>
      <c r="R259" s="25" t="s">
        <v>403</v>
      </c>
      <c r="S259" s="25" t="s">
        <v>60</v>
      </c>
      <c r="T259" s="25"/>
      <c r="U259" s="25" t="s">
        <v>523</v>
      </c>
      <c r="V259" s="25"/>
      <c r="W259" s="25" t="s">
        <v>2337</v>
      </c>
      <c r="X259" s="25" t="s">
        <v>2338</v>
      </c>
      <c r="Y259" s="25" t="s">
        <v>2339</v>
      </c>
      <c r="Z259" s="25"/>
      <c r="AA259" s="25"/>
      <c r="AB259" s="25">
        <v>170550015</v>
      </c>
      <c r="AC259" s="25">
        <v>170550015010</v>
      </c>
      <c r="AD259" s="25">
        <v>170550015010003</v>
      </c>
      <c r="AE259" s="28">
        <v>4</v>
      </c>
      <c r="AF259" s="28" t="s">
        <v>499</v>
      </c>
      <c r="AG259" s="29" t="s">
        <v>65</v>
      </c>
      <c r="AH259" s="30"/>
      <c r="AI259" s="31" t="s">
        <v>66</v>
      </c>
      <c r="AJ259" s="32" t="s">
        <v>6938</v>
      </c>
      <c r="AK259" s="33" t="s">
        <v>67</v>
      </c>
      <c r="AL259" s="34">
        <v>45569</v>
      </c>
      <c r="AM259" s="36" t="s">
        <v>66</v>
      </c>
      <c r="AN259" s="36"/>
      <c r="AO259" s="36"/>
      <c r="AP259" s="36"/>
      <c r="AQ259" s="37">
        <f t="shared" si="12"/>
        <v>0</v>
      </c>
      <c r="AR259" s="38">
        <f t="shared" si="13"/>
        <v>0</v>
      </c>
      <c r="AS259" s="39">
        <f t="shared" si="14"/>
        <v>0</v>
      </c>
      <c r="AT259" s="91"/>
      <c r="AU259" s="92" t="s">
        <v>1356</v>
      </c>
      <c r="AV259" s="93"/>
      <c r="AW259" s="94"/>
      <c r="AX259" s="93"/>
      <c r="AY259" s="95"/>
      <c r="AZ259" s="91"/>
      <c r="BA259" s="92" t="s">
        <v>1356</v>
      </c>
      <c r="BB259" s="93"/>
      <c r="BC259" s="95"/>
      <c r="BD259" s="93"/>
      <c r="BE259" s="95"/>
      <c r="BF259" s="91"/>
      <c r="BG259" s="92" t="s">
        <v>1356</v>
      </c>
      <c r="BH259" s="93"/>
      <c r="BI259" s="95"/>
      <c r="BJ259" s="93"/>
      <c r="BK259" s="95"/>
      <c r="BL259" s="91"/>
      <c r="BM259" s="92" t="s">
        <v>1356</v>
      </c>
      <c r="BN259" s="93"/>
      <c r="BO259" s="95"/>
      <c r="BP259" s="93"/>
      <c r="BQ259" s="95"/>
      <c r="BR259" s="91"/>
      <c r="BS259" s="92" t="s">
        <v>1356</v>
      </c>
      <c r="BT259" s="93"/>
      <c r="BU259" s="95"/>
      <c r="BV259" s="93"/>
      <c r="BW259" s="95"/>
      <c r="BX259" s="113"/>
      <c r="BY259" s="114" t="s">
        <v>1356</v>
      </c>
      <c r="BZ259" s="115"/>
      <c r="CA259" s="116"/>
      <c r="CB259" s="115"/>
      <c r="CC259" s="116"/>
      <c r="CD259" s="113"/>
      <c r="CE259" s="114" t="s">
        <v>1356</v>
      </c>
      <c r="CF259" s="115"/>
      <c r="CG259" s="116"/>
      <c r="CH259" s="115"/>
      <c r="CI259" s="116"/>
      <c r="CJ259" s="113"/>
      <c r="CK259" s="114" t="s">
        <v>1356</v>
      </c>
      <c r="CL259" s="115"/>
      <c r="CM259" s="116"/>
      <c r="CN259" s="115"/>
      <c r="CO259" s="116"/>
      <c r="CP259" s="113"/>
      <c r="CQ259" s="114" t="s">
        <v>1356</v>
      </c>
      <c r="CR259" s="115"/>
      <c r="CS259" s="116"/>
      <c r="CT259" s="115"/>
      <c r="CU259" s="116"/>
      <c r="CV259" s="113"/>
      <c r="CW259" s="114" t="s">
        <v>1356</v>
      </c>
      <c r="CX259" s="115"/>
      <c r="CY259" s="116"/>
      <c r="CZ259" s="115"/>
      <c r="DA259" s="116"/>
      <c r="DB259" s="128" t="s">
        <v>7085</v>
      </c>
      <c r="DC259" s="128" t="s">
        <v>78</v>
      </c>
    </row>
    <row r="260" spans="1:107" s="40" customFormat="1" ht="14.55" customHeight="1" x14ac:dyDescent="0.3">
      <c r="A260" s="25" t="s">
        <v>3500</v>
      </c>
      <c r="B260" s="25" t="s">
        <v>4002</v>
      </c>
      <c r="C260" s="25" t="s">
        <v>4003</v>
      </c>
      <c r="D260" s="25" t="s">
        <v>2340</v>
      </c>
      <c r="E260" s="25" t="s">
        <v>2340</v>
      </c>
      <c r="F260" s="25" t="s">
        <v>567</v>
      </c>
      <c r="G260" s="26" t="s">
        <v>72</v>
      </c>
      <c r="H260" s="27" t="s">
        <v>251</v>
      </c>
      <c r="I260" s="26">
        <v>1701</v>
      </c>
      <c r="J260" s="26">
        <v>170152</v>
      </c>
      <c r="K260" s="28">
        <v>4</v>
      </c>
      <c r="L260" s="25" t="s">
        <v>258</v>
      </c>
      <c r="M260" s="25" t="s">
        <v>2341</v>
      </c>
      <c r="N260" s="25" t="s">
        <v>2342</v>
      </c>
      <c r="O260" s="25"/>
      <c r="P260" s="25"/>
      <c r="Q260" s="25"/>
      <c r="R260" s="25" t="s">
        <v>60</v>
      </c>
      <c r="S260" s="25"/>
      <c r="T260" s="25"/>
      <c r="U260" s="25" t="s">
        <v>1228</v>
      </c>
      <c r="V260" s="25"/>
      <c r="W260" s="25" t="s">
        <v>2343</v>
      </c>
      <c r="X260" s="25" t="s">
        <v>2344</v>
      </c>
      <c r="Y260" s="25" t="s">
        <v>2345</v>
      </c>
      <c r="Z260" s="25">
        <v>-78.464764505624771</v>
      </c>
      <c r="AA260" s="25">
        <v>-0.3516300301136302</v>
      </c>
      <c r="AB260" s="25">
        <v>170152999</v>
      </c>
      <c r="AC260" s="25">
        <v>170152999019</v>
      </c>
      <c r="AD260" s="25"/>
      <c r="AE260" s="28">
        <v>4</v>
      </c>
      <c r="AF260" s="28" t="s">
        <v>499</v>
      </c>
      <c r="AG260" s="29" t="s">
        <v>65</v>
      </c>
      <c r="AH260" s="30"/>
      <c r="AI260" s="31" t="s">
        <v>66</v>
      </c>
      <c r="AJ260" s="32" t="s">
        <v>6938</v>
      </c>
      <c r="AK260" s="33" t="s">
        <v>67</v>
      </c>
      <c r="AL260" s="34">
        <v>45569</v>
      </c>
      <c r="AM260" s="36" t="s">
        <v>66</v>
      </c>
      <c r="AN260" s="36"/>
      <c r="AO260" s="36"/>
      <c r="AP260" s="36"/>
      <c r="AQ260" s="37">
        <f t="shared" si="12"/>
        <v>0</v>
      </c>
      <c r="AR260" s="38">
        <f t="shared" si="13"/>
        <v>0</v>
      </c>
      <c r="AS260" s="39">
        <f t="shared" si="14"/>
        <v>0</v>
      </c>
      <c r="AT260" s="91"/>
      <c r="AU260" s="92" t="s">
        <v>1356</v>
      </c>
      <c r="AV260" s="93"/>
      <c r="AW260" s="94"/>
      <c r="AX260" s="93"/>
      <c r="AY260" s="95"/>
      <c r="AZ260" s="91"/>
      <c r="BA260" s="92" t="s">
        <v>1356</v>
      </c>
      <c r="BB260" s="93"/>
      <c r="BC260" s="95"/>
      <c r="BD260" s="93"/>
      <c r="BE260" s="95"/>
      <c r="BF260" s="91"/>
      <c r="BG260" s="92" t="s">
        <v>1356</v>
      </c>
      <c r="BH260" s="93"/>
      <c r="BI260" s="95"/>
      <c r="BJ260" s="93"/>
      <c r="BK260" s="95"/>
      <c r="BL260" s="91"/>
      <c r="BM260" s="92" t="s">
        <v>1356</v>
      </c>
      <c r="BN260" s="93"/>
      <c r="BO260" s="95"/>
      <c r="BP260" s="93"/>
      <c r="BQ260" s="95"/>
      <c r="BR260" s="91"/>
      <c r="BS260" s="92" t="s">
        <v>1356</v>
      </c>
      <c r="BT260" s="93"/>
      <c r="BU260" s="95"/>
      <c r="BV260" s="93"/>
      <c r="BW260" s="95"/>
      <c r="BX260" s="113"/>
      <c r="BY260" s="114" t="s">
        <v>1356</v>
      </c>
      <c r="BZ260" s="115"/>
      <c r="CA260" s="116"/>
      <c r="CB260" s="115"/>
      <c r="CC260" s="116"/>
      <c r="CD260" s="113"/>
      <c r="CE260" s="114" t="s">
        <v>1356</v>
      </c>
      <c r="CF260" s="115"/>
      <c r="CG260" s="116"/>
      <c r="CH260" s="115"/>
      <c r="CI260" s="116"/>
      <c r="CJ260" s="113"/>
      <c r="CK260" s="114" t="s">
        <v>1356</v>
      </c>
      <c r="CL260" s="115"/>
      <c r="CM260" s="116"/>
      <c r="CN260" s="115"/>
      <c r="CO260" s="116"/>
      <c r="CP260" s="113"/>
      <c r="CQ260" s="114" t="s">
        <v>1356</v>
      </c>
      <c r="CR260" s="115"/>
      <c r="CS260" s="116"/>
      <c r="CT260" s="115"/>
      <c r="CU260" s="116"/>
      <c r="CV260" s="113"/>
      <c r="CW260" s="114" t="s">
        <v>1356</v>
      </c>
      <c r="CX260" s="115"/>
      <c r="CY260" s="116"/>
      <c r="CZ260" s="115"/>
      <c r="DA260" s="116"/>
      <c r="DB260" s="128" t="s">
        <v>7085</v>
      </c>
      <c r="DC260" s="128" t="s">
        <v>105</v>
      </c>
    </row>
    <row r="261" spans="1:107" s="40" customFormat="1" ht="14.55" customHeight="1" x14ac:dyDescent="0.3">
      <c r="A261" s="25" t="s">
        <v>3500</v>
      </c>
      <c r="B261" s="25" t="s">
        <v>4004</v>
      </c>
      <c r="C261" s="25" t="s">
        <v>4005</v>
      </c>
      <c r="D261" s="25" t="s">
        <v>2346</v>
      </c>
      <c r="E261" s="25" t="s">
        <v>70</v>
      </c>
      <c r="F261" s="25" t="s">
        <v>220</v>
      </c>
      <c r="G261" s="26" t="s">
        <v>72</v>
      </c>
      <c r="H261" s="27" t="s">
        <v>251</v>
      </c>
      <c r="I261" s="26">
        <v>1701</v>
      </c>
      <c r="J261" s="26">
        <v>170150</v>
      </c>
      <c r="K261" s="28">
        <v>4</v>
      </c>
      <c r="L261" s="25" t="s">
        <v>1406</v>
      </c>
      <c r="M261" s="25"/>
      <c r="N261" s="25" t="s">
        <v>2347</v>
      </c>
      <c r="O261" s="25"/>
      <c r="P261" s="25"/>
      <c r="Q261" s="25"/>
      <c r="R261" s="25" t="s">
        <v>60</v>
      </c>
      <c r="S261" s="25"/>
      <c r="T261" s="25"/>
      <c r="U261" s="25"/>
      <c r="V261" s="25"/>
      <c r="W261" s="25" t="s">
        <v>2348</v>
      </c>
      <c r="X261" s="25" t="s">
        <v>2238</v>
      </c>
      <c r="Y261" s="25" t="s">
        <v>2349</v>
      </c>
      <c r="Z261" s="25">
        <v>-78.540583999999996</v>
      </c>
      <c r="AA261" s="25">
        <v>-0.35259499999999999</v>
      </c>
      <c r="AB261" s="25">
        <v>170150498</v>
      </c>
      <c r="AC261" s="25">
        <v>170150498001</v>
      </c>
      <c r="AD261" s="25">
        <v>170150498001020</v>
      </c>
      <c r="AE261" s="28">
        <v>4</v>
      </c>
      <c r="AF261" s="28" t="s">
        <v>499</v>
      </c>
      <c r="AG261" s="29" t="s">
        <v>65</v>
      </c>
      <c r="AH261" s="30"/>
      <c r="AI261" s="31" t="s">
        <v>66</v>
      </c>
      <c r="AJ261" s="32" t="s">
        <v>6938</v>
      </c>
      <c r="AK261" s="33" t="s">
        <v>67</v>
      </c>
      <c r="AL261" s="34">
        <v>45561</v>
      </c>
      <c r="AM261" s="36" t="s">
        <v>66</v>
      </c>
      <c r="AN261" s="36"/>
      <c r="AO261" s="36"/>
      <c r="AP261" s="36"/>
      <c r="AQ261" s="37">
        <f t="shared" si="12"/>
        <v>0</v>
      </c>
      <c r="AR261" s="38">
        <f t="shared" si="13"/>
        <v>0</v>
      </c>
      <c r="AS261" s="39">
        <f t="shared" si="14"/>
        <v>0</v>
      </c>
      <c r="AT261" s="91"/>
      <c r="AU261" s="92" t="s">
        <v>1356</v>
      </c>
      <c r="AV261" s="93"/>
      <c r="AW261" s="94"/>
      <c r="AX261" s="93"/>
      <c r="AY261" s="95"/>
      <c r="AZ261" s="91"/>
      <c r="BA261" s="92" t="s">
        <v>1356</v>
      </c>
      <c r="BB261" s="93"/>
      <c r="BC261" s="95"/>
      <c r="BD261" s="93"/>
      <c r="BE261" s="95"/>
      <c r="BF261" s="91"/>
      <c r="BG261" s="92" t="s">
        <v>1356</v>
      </c>
      <c r="BH261" s="93"/>
      <c r="BI261" s="95"/>
      <c r="BJ261" s="93"/>
      <c r="BK261" s="95"/>
      <c r="BL261" s="91"/>
      <c r="BM261" s="92" t="s">
        <v>1356</v>
      </c>
      <c r="BN261" s="93"/>
      <c r="BO261" s="95"/>
      <c r="BP261" s="93"/>
      <c r="BQ261" s="95"/>
      <c r="BR261" s="91"/>
      <c r="BS261" s="92" t="s">
        <v>1356</v>
      </c>
      <c r="BT261" s="93"/>
      <c r="BU261" s="95"/>
      <c r="BV261" s="93"/>
      <c r="BW261" s="95"/>
      <c r="BX261" s="113"/>
      <c r="BY261" s="114" t="s">
        <v>1356</v>
      </c>
      <c r="BZ261" s="115"/>
      <c r="CA261" s="116"/>
      <c r="CB261" s="115"/>
      <c r="CC261" s="116"/>
      <c r="CD261" s="113"/>
      <c r="CE261" s="114" t="s">
        <v>1356</v>
      </c>
      <c r="CF261" s="115"/>
      <c r="CG261" s="116"/>
      <c r="CH261" s="115"/>
      <c r="CI261" s="116"/>
      <c r="CJ261" s="113"/>
      <c r="CK261" s="114" t="s">
        <v>1356</v>
      </c>
      <c r="CL261" s="115"/>
      <c r="CM261" s="116"/>
      <c r="CN261" s="115"/>
      <c r="CO261" s="116"/>
      <c r="CP261" s="113"/>
      <c r="CQ261" s="114" t="s">
        <v>1356</v>
      </c>
      <c r="CR261" s="115"/>
      <c r="CS261" s="116"/>
      <c r="CT261" s="115"/>
      <c r="CU261" s="116"/>
      <c r="CV261" s="113"/>
      <c r="CW261" s="114" t="s">
        <v>1356</v>
      </c>
      <c r="CX261" s="115"/>
      <c r="CY261" s="116"/>
      <c r="CZ261" s="115"/>
      <c r="DA261" s="116"/>
      <c r="DB261" s="128" t="s">
        <v>7085</v>
      </c>
      <c r="DC261" s="128" t="s">
        <v>105</v>
      </c>
    </row>
    <row r="262" spans="1:107" s="40" customFormat="1" ht="14.55" customHeight="1" x14ac:dyDescent="0.3">
      <c r="A262" s="25" t="s">
        <v>3500</v>
      </c>
      <c r="B262" s="25" t="s">
        <v>4006</v>
      </c>
      <c r="C262" s="25" t="s">
        <v>4007</v>
      </c>
      <c r="D262" s="25" t="s">
        <v>2350</v>
      </c>
      <c r="E262" s="25" t="s">
        <v>2351</v>
      </c>
      <c r="F262" s="25" t="s">
        <v>327</v>
      </c>
      <c r="G262" s="26" t="s">
        <v>72</v>
      </c>
      <c r="H262" s="27" t="s">
        <v>251</v>
      </c>
      <c r="I262" s="26">
        <v>1701</v>
      </c>
      <c r="J262" s="26">
        <v>170150</v>
      </c>
      <c r="K262" s="28">
        <v>4</v>
      </c>
      <c r="L262" s="25" t="s">
        <v>971</v>
      </c>
      <c r="M262" s="25" t="s">
        <v>258</v>
      </c>
      <c r="N262" s="25" t="s">
        <v>2352</v>
      </c>
      <c r="O262" s="25"/>
      <c r="P262" s="25"/>
      <c r="Q262" s="25"/>
      <c r="R262" s="25"/>
      <c r="S262" s="25"/>
      <c r="T262" s="25"/>
      <c r="U262" s="25" t="s">
        <v>2353</v>
      </c>
      <c r="V262" s="25"/>
      <c r="W262" s="25" t="s">
        <v>2354</v>
      </c>
      <c r="X262" s="25" t="s">
        <v>2355</v>
      </c>
      <c r="Y262" s="25" t="s">
        <v>2356</v>
      </c>
      <c r="Z262" s="25">
        <v>-78.482166000000007</v>
      </c>
      <c r="AA262" s="25">
        <v>-0.37116900000000003</v>
      </c>
      <c r="AB262" s="25">
        <v>170150117</v>
      </c>
      <c r="AC262" s="25">
        <v>170150117001</v>
      </c>
      <c r="AD262" s="25">
        <v>170150117001002</v>
      </c>
      <c r="AE262" s="28">
        <v>4</v>
      </c>
      <c r="AF262" s="28" t="s">
        <v>499</v>
      </c>
      <c r="AG262" s="29" t="s">
        <v>65</v>
      </c>
      <c r="AH262" s="30"/>
      <c r="AI262" s="31" t="s">
        <v>66</v>
      </c>
      <c r="AJ262" s="32" t="s">
        <v>6938</v>
      </c>
      <c r="AK262" s="33" t="s">
        <v>67</v>
      </c>
      <c r="AL262" s="34">
        <v>45586</v>
      </c>
      <c r="AM262" s="36" t="s">
        <v>66</v>
      </c>
      <c r="AN262" s="36"/>
      <c r="AO262" s="36"/>
      <c r="AP262" s="36"/>
      <c r="AQ262" s="37">
        <f t="shared" ref="AQ262:AQ325" si="15">+COUNTA(AT262,AZ262,BF262,BL262,BR262)</f>
        <v>0</v>
      </c>
      <c r="AR262" s="38">
        <f t="shared" ref="AR262:AR325" si="16">+COUNTA(BX262,CD262,CJ262,CP262,CV262)</f>
        <v>0</v>
      </c>
      <c r="AS262" s="39">
        <f t="shared" ref="AS262:AS325" si="17">+AQ262+AR262</f>
        <v>0</v>
      </c>
      <c r="AT262" s="91"/>
      <c r="AU262" s="92" t="s">
        <v>1356</v>
      </c>
      <c r="AV262" s="93"/>
      <c r="AW262" s="94"/>
      <c r="AX262" s="93"/>
      <c r="AY262" s="95"/>
      <c r="AZ262" s="91"/>
      <c r="BA262" s="92" t="s">
        <v>1356</v>
      </c>
      <c r="BB262" s="93"/>
      <c r="BC262" s="95"/>
      <c r="BD262" s="93"/>
      <c r="BE262" s="95"/>
      <c r="BF262" s="91"/>
      <c r="BG262" s="92" t="s">
        <v>1356</v>
      </c>
      <c r="BH262" s="93"/>
      <c r="BI262" s="95"/>
      <c r="BJ262" s="93"/>
      <c r="BK262" s="95"/>
      <c r="BL262" s="91"/>
      <c r="BM262" s="92" t="s">
        <v>1356</v>
      </c>
      <c r="BN262" s="93"/>
      <c r="BO262" s="95"/>
      <c r="BP262" s="93"/>
      <c r="BQ262" s="95"/>
      <c r="BR262" s="91"/>
      <c r="BS262" s="92" t="s">
        <v>1356</v>
      </c>
      <c r="BT262" s="93"/>
      <c r="BU262" s="95"/>
      <c r="BV262" s="93"/>
      <c r="BW262" s="95"/>
      <c r="BX262" s="113"/>
      <c r="BY262" s="114" t="s">
        <v>1356</v>
      </c>
      <c r="BZ262" s="115"/>
      <c r="CA262" s="116"/>
      <c r="CB262" s="115"/>
      <c r="CC262" s="116"/>
      <c r="CD262" s="113"/>
      <c r="CE262" s="114" t="s">
        <v>1356</v>
      </c>
      <c r="CF262" s="115"/>
      <c r="CG262" s="116"/>
      <c r="CH262" s="115"/>
      <c r="CI262" s="116"/>
      <c r="CJ262" s="113"/>
      <c r="CK262" s="114" t="s">
        <v>1356</v>
      </c>
      <c r="CL262" s="115"/>
      <c r="CM262" s="116"/>
      <c r="CN262" s="115"/>
      <c r="CO262" s="116"/>
      <c r="CP262" s="113"/>
      <c r="CQ262" s="114" t="s">
        <v>1356</v>
      </c>
      <c r="CR262" s="115"/>
      <c r="CS262" s="116"/>
      <c r="CT262" s="115"/>
      <c r="CU262" s="116"/>
      <c r="CV262" s="113"/>
      <c r="CW262" s="114" t="s">
        <v>1356</v>
      </c>
      <c r="CX262" s="115"/>
      <c r="CY262" s="116"/>
      <c r="CZ262" s="115"/>
      <c r="DA262" s="116"/>
      <c r="DB262" s="128" t="s">
        <v>7085</v>
      </c>
      <c r="DC262" s="128" t="s">
        <v>105</v>
      </c>
    </row>
    <row r="263" spans="1:107" s="40" customFormat="1" ht="14.55" customHeight="1" x14ac:dyDescent="0.3">
      <c r="A263" s="25" t="s">
        <v>3500</v>
      </c>
      <c r="B263" s="25" t="s">
        <v>4008</v>
      </c>
      <c r="C263" s="25" t="s">
        <v>4009</v>
      </c>
      <c r="D263" s="25" t="s">
        <v>2357</v>
      </c>
      <c r="E263" s="25" t="s">
        <v>2358</v>
      </c>
      <c r="F263" s="25" t="s">
        <v>89</v>
      </c>
      <c r="G263" s="26" t="s">
        <v>72</v>
      </c>
      <c r="H263" s="27" t="s">
        <v>251</v>
      </c>
      <c r="I263" s="26">
        <v>1701</v>
      </c>
      <c r="J263" s="26">
        <v>170151</v>
      </c>
      <c r="K263" s="28">
        <v>4</v>
      </c>
      <c r="L263" s="25" t="s">
        <v>2359</v>
      </c>
      <c r="M263" s="25" t="s">
        <v>2360</v>
      </c>
      <c r="N263" s="25" t="s">
        <v>1392</v>
      </c>
      <c r="O263" s="25"/>
      <c r="P263" s="25" t="s">
        <v>2361</v>
      </c>
      <c r="Q263" s="25"/>
      <c r="R263" s="25" t="s">
        <v>60</v>
      </c>
      <c r="S263" s="25"/>
      <c r="T263" s="25"/>
      <c r="U263" s="25" t="s">
        <v>2362</v>
      </c>
      <c r="V263" s="25"/>
      <c r="W263" s="25" t="s">
        <v>2363</v>
      </c>
      <c r="X263" s="25" t="s">
        <v>2364</v>
      </c>
      <c r="Y263" s="25" t="s">
        <v>2365</v>
      </c>
      <c r="Z263" s="25"/>
      <c r="AA263" s="25"/>
      <c r="AB263" s="25">
        <v>170151905</v>
      </c>
      <c r="AC263" s="25">
        <v>170151905006</v>
      </c>
      <c r="AD263" s="25">
        <v>170151905006002</v>
      </c>
      <c r="AE263" s="28">
        <v>5</v>
      </c>
      <c r="AF263" s="28" t="s">
        <v>772</v>
      </c>
      <c r="AG263" s="29" t="s">
        <v>65</v>
      </c>
      <c r="AH263" s="30"/>
      <c r="AI263" s="31" t="s">
        <v>66</v>
      </c>
      <c r="AJ263" s="32" t="s">
        <v>6938</v>
      </c>
      <c r="AK263" s="33" t="s">
        <v>67</v>
      </c>
      <c r="AL263" s="34">
        <v>45575</v>
      </c>
      <c r="AM263" s="36" t="s">
        <v>66</v>
      </c>
      <c r="AN263" s="36"/>
      <c r="AO263" s="36"/>
      <c r="AP263" s="36"/>
      <c r="AQ263" s="37">
        <f t="shared" si="15"/>
        <v>0</v>
      </c>
      <c r="AR263" s="38">
        <f t="shared" si="16"/>
        <v>0</v>
      </c>
      <c r="AS263" s="39">
        <f t="shared" si="17"/>
        <v>0</v>
      </c>
      <c r="AT263" s="91"/>
      <c r="AU263" s="92" t="s">
        <v>1356</v>
      </c>
      <c r="AV263" s="93"/>
      <c r="AW263" s="94"/>
      <c r="AX263" s="93"/>
      <c r="AY263" s="95"/>
      <c r="AZ263" s="91"/>
      <c r="BA263" s="92" t="s">
        <v>1356</v>
      </c>
      <c r="BB263" s="93"/>
      <c r="BC263" s="95"/>
      <c r="BD263" s="93"/>
      <c r="BE263" s="95"/>
      <c r="BF263" s="91"/>
      <c r="BG263" s="92" t="s">
        <v>1356</v>
      </c>
      <c r="BH263" s="93"/>
      <c r="BI263" s="95"/>
      <c r="BJ263" s="93"/>
      <c r="BK263" s="95"/>
      <c r="BL263" s="91"/>
      <c r="BM263" s="92" t="s">
        <v>1356</v>
      </c>
      <c r="BN263" s="93"/>
      <c r="BO263" s="95"/>
      <c r="BP263" s="93"/>
      <c r="BQ263" s="95"/>
      <c r="BR263" s="91"/>
      <c r="BS263" s="92" t="s">
        <v>1356</v>
      </c>
      <c r="BT263" s="93"/>
      <c r="BU263" s="95"/>
      <c r="BV263" s="93"/>
      <c r="BW263" s="95"/>
      <c r="BX263" s="113"/>
      <c r="BY263" s="114" t="s">
        <v>1356</v>
      </c>
      <c r="BZ263" s="115"/>
      <c r="CA263" s="116"/>
      <c r="CB263" s="115"/>
      <c r="CC263" s="116"/>
      <c r="CD263" s="113"/>
      <c r="CE263" s="114" t="s">
        <v>1356</v>
      </c>
      <c r="CF263" s="115"/>
      <c r="CG263" s="116"/>
      <c r="CH263" s="115"/>
      <c r="CI263" s="116"/>
      <c r="CJ263" s="113"/>
      <c r="CK263" s="114" t="s">
        <v>1356</v>
      </c>
      <c r="CL263" s="115"/>
      <c r="CM263" s="116"/>
      <c r="CN263" s="115"/>
      <c r="CO263" s="116"/>
      <c r="CP263" s="113"/>
      <c r="CQ263" s="114" t="s">
        <v>1356</v>
      </c>
      <c r="CR263" s="115"/>
      <c r="CS263" s="116"/>
      <c r="CT263" s="115"/>
      <c r="CU263" s="116"/>
      <c r="CV263" s="113"/>
      <c r="CW263" s="114" t="s">
        <v>1356</v>
      </c>
      <c r="CX263" s="115"/>
      <c r="CY263" s="116"/>
      <c r="CZ263" s="115"/>
      <c r="DA263" s="116"/>
      <c r="DB263" s="128" t="s">
        <v>7085</v>
      </c>
      <c r="DC263" s="131" t="s">
        <v>6751</v>
      </c>
    </row>
    <row r="264" spans="1:107" s="40" customFormat="1" ht="14.55" customHeight="1" x14ac:dyDescent="0.3">
      <c r="A264" s="25" t="s">
        <v>3500</v>
      </c>
      <c r="B264" s="25" t="s">
        <v>4010</v>
      </c>
      <c r="C264" s="25" t="s">
        <v>4011</v>
      </c>
      <c r="D264" s="25" t="s">
        <v>2366</v>
      </c>
      <c r="E264" s="25" t="s">
        <v>2367</v>
      </c>
      <c r="F264" s="25" t="s">
        <v>134</v>
      </c>
      <c r="G264" s="26" t="s">
        <v>72</v>
      </c>
      <c r="H264" s="27" t="s">
        <v>251</v>
      </c>
      <c r="I264" s="26">
        <v>1705</v>
      </c>
      <c r="J264" s="26">
        <v>170550</v>
      </c>
      <c r="K264" s="28">
        <v>4</v>
      </c>
      <c r="L264" s="25" t="s">
        <v>2288</v>
      </c>
      <c r="M264" s="25" t="s">
        <v>258</v>
      </c>
      <c r="N264" s="25" t="s">
        <v>2368</v>
      </c>
      <c r="O264" s="25"/>
      <c r="P264" s="25"/>
      <c r="Q264" s="25"/>
      <c r="R264" s="25"/>
      <c r="S264" s="25"/>
      <c r="T264" s="25"/>
      <c r="U264" s="25"/>
      <c r="V264" s="25"/>
      <c r="W264" s="25" t="s">
        <v>2369</v>
      </c>
      <c r="X264" s="25" t="s">
        <v>2338</v>
      </c>
      <c r="Y264" s="25" t="s">
        <v>1189</v>
      </c>
      <c r="Z264" s="25"/>
      <c r="AA264" s="25"/>
      <c r="AB264" s="25"/>
      <c r="AC264" s="25"/>
      <c r="AD264" s="25"/>
      <c r="AE264" s="28">
        <v>5</v>
      </c>
      <c r="AF264" s="28" t="s">
        <v>772</v>
      </c>
      <c r="AG264" s="29" t="s">
        <v>65</v>
      </c>
      <c r="AH264" s="30"/>
      <c r="AI264" s="31" t="s">
        <v>66</v>
      </c>
      <c r="AJ264" s="32" t="s">
        <v>6938</v>
      </c>
      <c r="AK264" s="33" t="s">
        <v>67</v>
      </c>
      <c r="AL264" s="34">
        <v>45569</v>
      </c>
      <c r="AM264" s="36" t="s">
        <v>66</v>
      </c>
      <c r="AN264" s="36"/>
      <c r="AO264" s="36"/>
      <c r="AP264" s="36"/>
      <c r="AQ264" s="37">
        <f t="shared" si="15"/>
        <v>0</v>
      </c>
      <c r="AR264" s="38">
        <f t="shared" si="16"/>
        <v>0</v>
      </c>
      <c r="AS264" s="39">
        <f t="shared" si="17"/>
        <v>0</v>
      </c>
      <c r="AT264" s="91"/>
      <c r="AU264" s="92" t="s">
        <v>1356</v>
      </c>
      <c r="AV264" s="93"/>
      <c r="AW264" s="94"/>
      <c r="AX264" s="93"/>
      <c r="AY264" s="95"/>
      <c r="AZ264" s="91"/>
      <c r="BA264" s="92" t="s">
        <v>1356</v>
      </c>
      <c r="BB264" s="93"/>
      <c r="BC264" s="95"/>
      <c r="BD264" s="93"/>
      <c r="BE264" s="95"/>
      <c r="BF264" s="91"/>
      <c r="BG264" s="92" t="s">
        <v>1356</v>
      </c>
      <c r="BH264" s="93"/>
      <c r="BI264" s="95"/>
      <c r="BJ264" s="93"/>
      <c r="BK264" s="95"/>
      <c r="BL264" s="91"/>
      <c r="BM264" s="92" t="s">
        <v>1356</v>
      </c>
      <c r="BN264" s="93"/>
      <c r="BO264" s="95"/>
      <c r="BP264" s="93"/>
      <c r="BQ264" s="95"/>
      <c r="BR264" s="91"/>
      <c r="BS264" s="92" t="s">
        <v>1356</v>
      </c>
      <c r="BT264" s="93"/>
      <c r="BU264" s="95"/>
      <c r="BV264" s="93"/>
      <c r="BW264" s="95"/>
      <c r="BX264" s="113"/>
      <c r="BY264" s="114" t="s">
        <v>1356</v>
      </c>
      <c r="BZ264" s="115"/>
      <c r="CA264" s="116"/>
      <c r="CB264" s="115"/>
      <c r="CC264" s="116"/>
      <c r="CD264" s="113"/>
      <c r="CE264" s="114" t="s">
        <v>1356</v>
      </c>
      <c r="CF264" s="115"/>
      <c r="CG264" s="116"/>
      <c r="CH264" s="115"/>
      <c r="CI264" s="116"/>
      <c r="CJ264" s="113"/>
      <c r="CK264" s="114" t="s">
        <v>1356</v>
      </c>
      <c r="CL264" s="115"/>
      <c r="CM264" s="116"/>
      <c r="CN264" s="115"/>
      <c r="CO264" s="116"/>
      <c r="CP264" s="113"/>
      <c r="CQ264" s="114" t="s">
        <v>1356</v>
      </c>
      <c r="CR264" s="115"/>
      <c r="CS264" s="116"/>
      <c r="CT264" s="115"/>
      <c r="CU264" s="116"/>
      <c r="CV264" s="113"/>
      <c r="CW264" s="114" t="s">
        <v>1356</v>
      </c>
      <c r="CX264" s="115"/>
      <c r="CY264" s="116"/>
      <c r="CZ264" s="115"/>
      <c r="DA264" s="116"/>
      <c r="DB264" s="128" t="s">
        <v>7085</v>
      </c>
      <c r="DC264" s="128" t="s">
        <v>105</v>
      </c>
    </row>
    <row r="265" spans="1:107" s="40" customFormat="1" ht="14.55" customHeight="1" x14ac:dyDescent="0.3">
      <c r="A265" s="42" t="s">
        <v>4108</v>
      </c>
      <c r="B265" s="42" t="s">
        <v>4141</v>
      </c>
      <c r="C265" s="42" t="s">
        <v>4142</v>
      </c>
      <c r="D265" s="42" t="s">
        <v>2960</v>
      </c>
      <c r="E265" s="42" t="s">
        <v>70</v>
      </c>
      <c r="F265" s="42" t="s">
        <v>1585</v>
      </c>
      <c r="G265" s="42" t="s">
        <v>2928</v>
      </c>
      <c r="H265" s="43" t="s">
        <v>6929</v>
      </c>
      <c r="I265" s="44">
        <v>707</v>
      </c>
      <c r="J265" s="44">
        <v>70750</v>
      </c>
      <c r="K265" s="45">
        <v>4</v>
      </c>
      <c r="L265" s="42" t="s">
        <v>2961</v>
      </c>
      <c r="M265" s="42"/>
      <c r="N265" s="42" t="s">
        <v>2962</v>
      </c>
      <c r="O265" s="42"/>
      <c r="P265" s="42"/>
      <c r="Q265" s="42"/>
      <c r="R265" s="42"/>
      <c r="S265" s="42"/>
      <c r="T265" s="42"/>
      <c r="U265" s="42"/>
      <c r="V265" s="42"/>
      <c r="W265" s="42"/>
      <c r="X265" s="42" t="s">
        <v>2963</v>
      </c>
      <c r="Y265" s="42" t="s">
        <v>2964</v>
      </c>
      <c r="Z265" s="42"/>
      <c r="AA265" s="42"/>
      <c r="AB265" s="42"/>
      <c r="AC265" s="42"/>
      <c r="AD265" s="42"/>
      <c r="AE265" s="45">
        <v>2</v>
      </c>
      <c r="AF265" s="45" t="s">
        <v>64</v>
      </c>
      <c r="AG265" s="46" t="s">
        <v>66</v>
      </c>
      <c r="AH265" s="47">
        <v>60483</v>
      </c>
      <c r="AI265" s="48" t="s">
        <v>66</v>
      </c>
      <c r="AJ265" s="49" t="s">
        <v>6938</v>
      </c>
      <c r="AK265" s="50" t="s">
        <v>67</v>
      </c>
      <c r="AL265" s="51">
        <v>45574</v>
      </c>
      <c r="AM265" s="52" t="s">
        <v>66</v>
      </c>
      <c r="AN265" s="42"/>
      <c r="AO265" s="42"/>
      <c r="AP265" s="42"/>
      <c r="AQ265" s="53">
        <f t="shared" si="15"/>
        <v>0</v>
      </c>
      <c r="AR265" s="54">
        <f t="shared" si="16"/>
        <v>2</v>
      </c>
      <c r="AS265" s="55">
        <f t="shared" si="17"/>
        <v>2</v>
      </c>
      <c r="AT265" s="96"/>
      <c r="AU265" s="96"/>
      <c r="AV265" s="96"/>
      <c r="AW265" s="97"/>
      <c r="AX265" s="96"/>
      <c r="AY265" s="98"/>
      <c r="AZ265" s="96"/>
      <c r="BA265" s="96"/>
      <c r="BB265" s="96"/>
      <c r="BC265" s="98"/>
      <c r="BD265" s="96"/>
      <c r="BE265" s="98"/>
      <c r="BF265" s="96"/>
      <c r="BG265" s="96" t="s">
        <v>1356</v>
      </c>
      <c r="BH265" s="96"/>
      <c r="BI265" s="98"/>
      <c r="BJ265" s="96"/>
      <c r="BK265" s="98"/>
      <c r="BL265" s="96"/>
      <c r="BM265" s="96" t="s">
        <v>1356</v>
      </c>
      <c r="BN265" s="96"/>
      <c r="BO265" s="98"/>
      <c r="BP265" s="96"/>
      <c r="BQ265" s="98"/>
      <c r="BR265" s="96"/>
      <c r="BS265" s="96" t="s">
        <v>1356</v>
      </c>
      <c r="BT265" s="96"/>
      <c r="BU265" s="98"/>
      <c r="BV265" s="96"/>
      <c r="BW265" s="98"/>
      <c r="BX265" s="117" t="s">
        <v>1960</v>
      </c>
      <c r="BY265" s="117" t="s">
        <v>1961</v>
      </c>
      <c r="BZ265" s="117">
        <v>82.11</v>
      </c>
      <c r="CA265" s="118">
        <v>45574</v>
      </c>
      <c r="CB265" s="117">
        <v>82.11</v>
      </c>
      <c r="CC265" s="118">
        <v>45616</v>
      </c>
      <c r="CD265" s="117" t="s">
        <v>1962</v>
      </c>
      <c r="CE265" s="117" t="s">
        <v>1963</v>
      </c>
      <c r="CF265" s="117">
        <v>121.73</v>
      </c>
      <c r="CG265" s="118">
        <v>45574</v>
      </c>
      <c r="CH265" s="117">
        <v>121.73</v>
      </c>
      <c r="CI265" s="118">
        <v>45616</v>
      </c>
      <c r="CJ265" s="117"/>
      <c r="CK265" s="117"/>
      <c r="CL265" s="117"/>
      <c r="CM265" s="118"/>
      <c r="CN265" s="117"/>
      <c r="CO265" s="118"/>
      <c r="CP265" s="117"/>
      <c r="CQ265" s="117" t="s">
        <v>1356</v>
      </c>
      <c r="CR265" s="117"/>
      <c r="CS265" s="118"/>
      <c r="CT265" s="117"/>
      <c r="CU265" s="118"/>
      <c r="CV265" s="117"/>
      <c r="CW265" s="117" t="s">
        <v>1356</v>
      </c>
      <c r="CX265" s="117"/>
      <c r="CY265" s="118"/>
      <c r="CZ265" s="117"/>
      <c r="DA265" s="118"/>
      <c r="DB265" s="129" t="s">
        <v>6962</v>
      </c>
      <c r="DC265" s="130" t="s">
        <v>105</v>
      </c>
    </row>
    <row r="266" spans="1:107" s="40" customFormat="1" ht="14.55" customHeight="1" x14ac:dyDescent="0.3">
      <c r="A266" s="25" t="s">
        <v>3500</v>
      </c>
      <c r="B266" s="25" t="s">
        <v>4014</v>
      </c>
      <c r="C266" s="25" t="s">
        <v>4015</v>
      </c>
      <c r="D266" s="25" t="s">
        <v>2376</v>
      </c>
      <c r="E266" s="25" t="s">
        <v>2377</v>
      </c>
      <c r="F266" s="25" t="s">
        <v>210</v>
      </c>
      <c r="G266" s="26" t="s">
        <v>72</v>
      </c>
      <c r="H266" s="27" t="s">
        <v>251</v>
      </c>
      <c r="I266" s="26">
        <v>1701</v>
      </c>
      <c r="J266" s="26">
        <v>170150</v>
      </c>
      <c r="K266" s="28">
        <v>4</v>
      </c>
      <c r="L266" s="25" t="s">
        <v>1116</v>
      </c>
      <c r="M266" s="25" t="s">
        <v>2378</v>
      </c>
      <c r="N266" s="25" t="s">
        <v>2379</v>
      </c>
      <c r="O266" s="25"/>
      <c r="P266" s="25"/>
      <c r="Q266" s="25"/>
      <c r="R266" s="25" t="s">
        <v>60</v>
      </c>
      <c r="S266" s="25"/>
      <c r="T266" s="25"/>
      <c r="U266" s="25" t="s">
        <v>2380</v>
      </c>
      <c r="V266" s="25"/>
      <c r="W266" s="25" t="s">
        <v>2381</v>
      </c>
      <c r="X266" s="25" t="s">
        <v>2382</v>
      </c>
      <c r="Y266" s="25" t="s">
        <v>2383</v>
      </c>
      <c r="Z266" s="25">
        <v>-78.534716784954071</v>
      </c>
      <c r="AA266" s="25">
        <v>-0.28327998518943998</v>
      </c>
      <c r="AB266" s="25">
        <v>170150357</v>
      </c>
      <c r="AC266" s="25">
        <v>170150357002</v>
      </c>
      <c r="AD266" s="25">
        <v>170150357002001</v>
      </c>
      <c r="AE266" s="28">
        <v>5</v>
      </c>
      <c r="AF266" s="28" t="s">
        <v>772</v>
      </c>
      <c r="AG266" s="29" t="s">
        <v>65</v>
      </c>
      <c r="AH266" s="30"/>
      <c r="AI266" s="31" t="s">
        <v>66</v>
      </c>
      <c r="AJ266" s="32" t="s">
        <v>6938</v>
      </c>
      <c r="AK266" s="33" t="s">
        <v>67</v>
      </c>
      <c r="AL266" s="34">
        <v>45568</v>
      </c>
      <c r="AM266" s="36" t="s">
        <v>66</v>
      </c>
      <c r="AN266" s="36"/>
      <c r="AO266" s="36"/>
      <c r="AP266" s="36"/>
      <c r="AQ266" s="37">
        <f t="shared" si="15"/>
        <v>0</v>
      </c>
      <c r="AR266" s="38">
        <f t="shared" si="16"/>
        <v>0</v>
      </c>
      <c r="AS266" s="39">
        <f t="shared" si="17"/>
        <v>0</v>
      </c>
      <c r="AT266" s="91"/>
      <c r="AU266" s="92" t="s">
        <v>1356</v>
      </c>
      <c r="AV266" s="93"/>
      <c r="AW266" s="94"/>
      <c r="AX266" s="93"/>
      <c r="AY266" s="95"/>
      <c r="AZ266" s="91"/>
      <c r="BA266" s="92" t="s">
        <v>1356</v>
      </c>
      <c r="BB266" s="93"/>
      <c r="BC266" s="95"/>
      <c r="BD266" s="93"/>
      <c r="BE266" s="95"/>
      <c r="BF266" s="91"/>
      <c r="BG266" s="92" t="s">
        <v>1356</v>
      </c>
      <c r="BH266" s="93"/>
      <c r="BI266" s="95"/>
      <c r="BJ266" s="93"/>
      <c r="BK266" s="95"/>
      <c r="BL266" s="91"/>
      <c r="BM266" s="92" t="s">
        <v>1356</v>
      </c>
      <c r="BN266" s="93"/>
      <c r="BO266" s="95"/>
      <c r="BP266" s="93"/>
      <c r="BQ266" s="95"/>
      <c r="BR266" s="91"/>
      <c r="BS266" s="92" t="s">
        <v>1356</v>
      </c>
      <c r="BT266" s="93"/>
      <c r="BU266" s="95"/>
      <c r="BV266" s="93"/>
      <c r="BW266" s="95"/>
      <c r="BX266" s="113"/>
      <c r="BY266" s="114" t="s">
        <v>1356</v>
      </c>
      <c r="BZ266" s="115"/>
      <c r="CA266" s="116"/>
      <c r="CB266" s="115"/>
      <c r="CC266" s="116"/>
      <c r="CD266" s="113"/>
      <c r="CE266" s="114" t="s">
        <v>1356</v>
      </c>
      <c r="CF266" s="115"/>
      <c r="CG266" s="116"/>
      <c r="CH266" s="115"/>
      <c r="CI266" s="116"/>
      <c r="CJ266" s="113"/>
      <c r="CK266" s="114" t="s">
        <v>1356</v>
      </c>
      <c r="CL266" s="115"/>
      <c r="CM266" s="116"/>
      <c r="CN266" s="115"/>
      <c r="CO266" s="116"/>
      <c r="CP266" s="113"/>
      <c r="CQ266" s="114" t="s">
        <v>1356</v>
      </c>
      <c r="CR266" s="115"/>
      <c r="CS266" s="116"/>
      <c r="CT266" s="115"/>
      <c r="CU266" s="116"/>
      <c r="CV266" s="113"/>
      <c r="CW266" s="114" t="s">
        <v>1356</v>
      </c>
      <c r="CX266" s="115"/>
      <c r="CY266" s="116"/>
      <c r="CZ266" s="115"/>
      <c r="DA266" s="116"/>
      <c r="DB266" s="128" t="s">
        <v>7085</v>
      </c>
      <c r="DC266" s="128" t="s">
        <v>78</v>
      </c>
    </row>
    <row r="267" spans="1:107" s="40" customFormat="1" ht="14.55" customHeight="1" x14ac:dyDescent="0.3">
      <c r="A267" s="25" t="s">
        <v>3500</v>
      </c>
      <c r="B267" s="25" t="s">
        <v>4016</v>
      </c>
      <c r="C267" s="25" t="s">
        <v>4017</v>
      </c>
      <c r="D267" s="25" t="s">
        <v>2384</v>
      </c>
      <c r="E267" s="25" t="s">
        <v>2385</v>
      </c>
      <c r="F267" s="25" t="s">
        <v>825</v>
      </c>
      <c r="G267" s="26" t="s">
        <v>72</v>
      </c>
      <c r="H267" s="27" t="s">
        <v>251</v>
      </c>
      <c r="I267" s="26">
        <v>1701</v>
      </c>
      <c r="J267" s="26">
        <v>170151</v>
      </c>
      <c r="K267" s="28">
        <v>4</v>
      </c>
      <c r="L267" s="25" t="s">
        <v>2386</v>
      </c>
      <c r="M267" s="25" t="s">
        <v>2387</v>
      </c>
      <c r="N267" s="25" t="s">
        <v>2388</v>
      </c>
      <c r="O267" s="25"/>
      <c r="P267" s="25"/>
      <c r="Q267" s="25" t="s">
        <v>2385</v>
      </c>
      <c r="R267" s="25" t="s">
        <v>60</v>
      </c>
      <c r="S267" s="25"/>
      <c r="T267" s="25"/>
      <c r="U267" s="25" t="s">
        <v>2389</v>
      </c>
      <c r="V267" s="25"/>
      <c r="W267" s="25" t="s">
        <v>2390</v>
      </c>
      <c r="X267" s="25" t="s">
        <v>2391</v>
      </c>
      <c r="Y267" s="25" t="s">
        <v>2392</v>
      </c>
      <c r="Z267" s="25">
        <v>-78.458839999999995</v>
      </c>
      <c r="AA267" s="25">
        <v>-0.28922100000000001</v>
      </c>
      <c r="AB267" s="25">
        <v>170151906</v>
      </c>
      <c r="AC267" s="25">
        <v>170151906006</v>
      </c>
      <c r="AD267" s="25">
        <v>170151906006001</v>
      </c>
      <c r="AE267" s="28">
        <v>5</v>
      </c>
      <c r="AF267" s="28" t="s">
        <v>772</v>
      </c>
      <c r="AG267" s="29" t="s">
        <v>65</v>
      </c>
      <c r="AH267" s="30"/>
      <c r="AI267" s="31" t="s">
        <v>66</v>
      </c>
      <c r="AJ267" s="32" t="s">
        <v>6938</v>
      </c>
      <c r="AK267" s="33" t="s">
        <v>67</v>
      </c>
      <c r="AL267" s="34">
        <v>45569</v>
      </c>
      <c r="AM267" s="36" t="s">
        <v>66</v>
      </c>
      <c r="AN267" s="36"/>
      <c r="AO267" s="36"/>
      <c r="AP267" s="36"/>
      <c r="AQ267" s="37">
        <f t="shared" si="15"/>
        <v>0</v>
      </c>
      <c r="AR267" s="38">
        <f t="shared" si="16"/>
        <v>0</v>
      </c>
      <c r="AS267" s="39">
        <f t="shared" si="17"/>
        <v>0</v>
      </c>
      <c r="AT267" s="91"/>
      <c r="AU267" s="92" t="s">
        <v>1356</v>
      </c>
      <c r="AV267" s="93"/>
      <c r="AW267" s="94"/>
      <c r="AX267" s="93"/>
      <c r="AY267" s="95"/>
      <c r="AZ267" s="91"/>
      <c r="BA267" s="92" t="s">
        <v>1356</v>
      </c>
      <c r="BB267" s="93"/>
      <c r="BC267" s="95"/>
      <c r="BD267" s="93"/>
      <c r="BE267" s="95"/>
      <c r="BF267" s="91"/>
      <c r="BG267" s="92" t="s">
        <v>1356</v>
      </c>
      <c r="BH267" s="93"/>
      <c r="BI267" s="95"/>
      <c r="BJ267" s="93"/>
      <c r="BK267" s="95"/>
      <c r="BL267" s="91"/>
      <c r="BM267" s="92" t="s">
        <v>1356</v>
      </c>
      <c r="BN267" s="93"/>
      <c r="BO267" s="95"/>
      <c r="BP267" s="93"/>
      <c r="BQ267" s="95"/>
      <c r="BR267" s="91"/>
      <c r="BS267" s="92" t="s">
        <v>1356</v>
      </c>
      <c r="BT267" s="93"/>
      <c r="BU267" s="95"/>
      <c r="BV267" s="93"/>
      <c r="BW267" s="95"/>
      <c r="BX267" s="113"/>
      <c r="BY267" s="114" t="s">
        <v>1356</v>
      </c>
      <c r="BZ267" s="115"/>
      <c r="CA267" s="116"/>
      <c r="CB267" s="115"/>
      <c r="CC267" s="116"/>
      <c r="CD267" s="113"/>
      <c r="CE267" s="114" t="s">
        <v>1356</v>
      </c>
      <c r="CF267" s="115"/>
      <c r="CG267" s="116"/>
      <c r="CH267" s="115"/>
      <c r="CI267" s="116"/>
      <c r="CJ267" s="113"/>
      <c r="CK267" s="114" t="s">
        <v>1356</v>
      </c>
      <c r="CL267" s="115"/>
      <c r="CM267" s="116"/>
      <c r="CN267" s="115"/>
      <c r="CO267" s="116"/>
      <c r="CP267" s="113"/>
      <c r="CQ267" s="114" t="s">
        <v>1356</v>
      </c>
      <c r="CR267" s="115"/>
      <c r="CS267" s="116"/>
      <c r="CT267" s="115"/>
      <c r="CU267" s="116"/>
      <c r="CV267" s="113"/>
      <c r="CW267" s="114" t="s">
        <v>1356</v>
      </c>
      <c r="CX267" s="115"/>
      <c r="CY267" s="116"/>
      <c r="CZ267" s="115"/>
      <c r="DA267" s="116"/>
      <c r="DB267" s="128" t="s">
        <v>7085</v>
      </c>
      <c r="DC267" s="128" t="s">
        <v>105</v>
      </c>
    </row>
    <row r="268" spans="1:107" s="40" customFormat="1" ht="14.55" customHeight="1" x14ac:dyDescent="0.3">
      <c r="A268" s="25" t="s">
        <v>3500</v>
      </c>
      <c r="B268" s="25" t="s">
        <v>4018</v>
      </c>
      <c r="C268" s="25" t="s">
        <v>4019</v>
      </c>
      <c r="D268" s="25" t="s">
        <v>2393</v>
      </c>
      <c r="E268" s="25" t="s">
        <v>2394</v>
      </c>
      <c r="F268" s="25" t="s">
        <v>265</v>
      </c>
      <c r="G268" s="26" t="s">
        <v>72</v>
      </c>
      <c r="H268" s="27" t="s">
        <v>251</v>
      </c>
      <c r="I268" s="26">
        <v>1701</v>
      </c>
      <c r="J268" s="26">
        <v>170150</v>
      </c>
      <c r="K268" s="28">
        <v>4</v>
      </c>
      <c r="L268" s="25" t="s">
        <v>2395</v>
      </c>
      <c r="M268" s="25" t="s">
        <v>2396</v>
      </c>
      <c r="N268" s="25" t="s">
        <v>258</v>
      </c>
      <c r="O268" s="25"/>
      <c r="P268" s="25"/>
      <c r="Q268" s="25" t="s">
        <v>2393</v>
      </c>
      <c r="R268" s="25" t="s">
        <v>60</v>
      </c>
      <c r="S268" s="25"/>
      <c r="T268" s="25"/>
      <c r="U268" s="25" t="s">
        <v>2397</v>
      </c>
      <c r="V268" s="25"/>
      <c r="W268" s="25" t="s">
        <v>2398</v>
      </c>
      <c r="X268" s="25" t="s">
        <v>2399</v>
      </c>
      <c r="Y268" s="25" t="s">
        <v>2400</v>
      </c>
      <c r="Z268" s="25"/>
      <c r="AA268" s="25"/>
      <c r="AB268" s="25">
        <v>170150406</v>
      </c>
      <c r="AC268" s="25">
        <v>170150406005</v>
      </c>
      <c r="AD268" s="25">
        <v>170150406005005</v>
      </c>
      <c r="AE268" s="28">
        <v>5</v>
      </c>
      <c r="AF268" s="28" t="s">
        <v>772</v>
      </c>
      <c r="AG268" s="29" t="s">
        <v>65</v>
      </c>
      <c r="AH268" s="30"/>
      <c r="AI268" s="31" t="s">
        <v>66</v>
      </c>
      <c r="AJ268" s="32" t="s">
        <v>6938</v>
      </c>
      <c r="AK268" s="33" t="s">
        <v>67</v>
      </c>
      <c r="AL268" s="34">
        <v>45574</v>
      </c>
      <c r="AM268" s="36" t="s">
        <v>66</v>
      </c>
      <c r="AN268" s="36"/>
      <c r="AO268" s="36"/>
      <c r="AP268" s="36"/>
      <c r="AQ268" s="37">
        <f t="shared" si="15"/>
        <v>0</v>
      </c>
      <c r="AR268" s="38">
        <f t="shared" si="16"/>
        <v>0</v>
      </c>
      <c r="AS268" s="39">
        <f t="shared" si="17"/>
        <v>0</v>
      </c>
      <c r="AT268" s="91"/>
      <c r="AU268" s="92" t="s">
        <v>1356</v>
      </c>
      <c r="AV268" s="93"/>
      <c r="AW268" s="94"/>
      <c r="AX268" s="93"/>
      <c r="AY268" s="95"/>
      <c r="AZ268" s="91"/>
      <c r="BA268" s="92" t="s">
        <v>1356</v>
      </c>
      <c r="BB268" s="93"/>
      <c r="BC268" s="95"/>
      <c r="BD268" s="93"/>
      <c r="BE268" s="95"/>
      <c r="BF268" s="91"/>
      <c r="BG268" s="92" t="s">
        <v>1356</v>
      </c>
      <c r="BH268" s="93"/>
      <c r="BI268" s="95"/>
      <c r="BJ268" s="93"/>
      <c r="BK268" s="95"/>
      <c r="BL268" s="91"/>
      <c r="BM268" s="92" t="s">
        <v>1356</v>
      </c>
      <c r="BN268" s="93"/>
      <c r="BO268" s="95"/>
      <c r="BP268" s="93"/>
      <c r="BQ268" s="95"/>
      <c r="BR268" s="91"/>
      <c r="BS268" s="92" t="s">
        <v>1356</v>
      </c>
      <c r="BT268" s="93"/>
      <c r="BU268" s="95"/>
      <c r="BV268" s="93"/>
      <c r="BW268" s="95"/>
      <c r="BX268" s="113"/>
      <c r="BY268" s="114" t="s">
        <v>1356</v>
      </c>
      <c r="BZ268" s="115"/>
      <c r="CA268" s="116"/>
      <c r="CB268" s="115"/>
      <c r="CC268" s="116"/>
      <c r="CD268" s="113"/>
      <c r="CE268" s="114" t="s">
        <v>1356</v>
      </c>
      <c r="CF268" s="115"/>
      <c r="CG268" s="116"/>
      <c r="CH268" s="115"/>
      <c r="CI268" s="116"/>
      <c r="CJ268" s="113"/>
      <c r="CK268" s="114" t="s">
        <v>1356</v>
      </c>
      <c r="CL268" s="115"/>
      <c r="CM268" s="116"/>
      <c r="CN268" s="115"/>
      <c r="CO268" s="116"/>
      <c r="CP268" s="113"/>
      <c r="CQ268" s="114" t="s">
        <v>1356</v>
      </c>
      <c r="CR268" s="115"/>
      <c r="CS268" s="116"/>
      <c r="CT268" s="115"/>
      <c r="CU268" s="116"/>
      <c r="CV268" s="113"/>
      <c r="CW268" s="114" t="s">
        <v>1356</v>
      </c>
      <c r="CX268" s="115"/>
      <c r="CY268" s="116"/>
      <c r="CZ268" s="115"/>
      <c r="DA268" s="116"/>
      <c r="DB268" s="128" t="s">
        <v>7085</v>
      </c>
      <c r="DC268" s="131" t="s">
        <v>6751</v>
      </c>
    </row>
    <row r="269" spans="1:107" s="40" customFormat="1" ht="14.55" customHeight="1" x14ac:dyDescent="0.3">
      <c r="A269" s="25" t="s">
        <v>3500</v>
      </c>
      <c r="B269" s="25" t="s">
        <v>4020</v>
      </c>
      <c r="C269" s="25" t="s">
        <v>4021</v>
      </c>
      <c r="D269" s="25" t="s">
        <v>2401</v>
      </c>
      <c r="E269" s="25" t="s">
        <v>2402</v>
      </c>
      <c r="F269" s="25" t="s">
        <v>420</v>
      </c>
      <c r="G269" s="26" t="s">
        <v>72</v>
      </c>
      <c r="H269" s="27" t="s">
        <v>251</v>
      </c>
      <c r="I269" s="26">
        <v>1705</v>
      </c>
      <c r="J269" s="26">
        <v>170550</v>
      </c>
      <c r="K269" s="28">
        <v>4</v>
      </c>
      <c r="L269" s="25" t="s">
        <v>978</v>
      </c>
      <c r="M269" s="25" t="s">
        <v>2403</v>
      </c>
      <c r="N269" s="25" t="s">
        <v>971</v>
      </c>
      <c r="O269" s="25"/>
      <c r="P269" s="25" t="s">
        <v>2404</v>
      </c>
      <c r="Q269" s="25" t="s">
        <v>2405</v>
      </c>
      <c r="R269" s="25" t="s">
        <v>60</v>
      </c>
      <c r="S269" s="25"/>
      <c r="T269" s="25"/>
      <c r="U269" s="25" t="s">
        <v>2406</v>
      </c>
      <c r="V269" s="25"/>
      <c r="W269" s="25" t="s">
        <v>2407</v>
      </c>
      <c r="X269" s="25" t="s">
        <v>2408</v>
      </c>
      <c r="Y269" s="25" t="s">
        <v>2409</v>
      </c>
      <c r="Z269" s="25"/>
      <c r="AA269" s="25"/>
      <c r="AB269" s="25">
        <v>170550023</v>
      </c>
      <c r="AC269" s="25">
        <v>170550023011</v>
      </c>
      <c r="AD269" s="25">
        <v>170550023011002</v>
      </c>
      <c r="AE269" s="28">
        <v>5</v>
      </c>
      <c r="AF269" s="28" t="s">
        <v>772</v>
      </c>
      <c r="AG269" s="29" t="s">
        <v>65</v>
      </c>
      <c r="AH269" s="30"/>
      <c r="AI269" s="31" t="s">
        <v>66</v>
      </c>
      <c r="AJ269" s="32" t="s">
        <v>6938</v>
      </c>
      <c r="AK269" s="33" t="s">
        <v>67</v>
      </c>
      <c r="AL269" s="34">
        <v>45588</v>
      </c>
      <c r="AM269" s="36" t="s">
        <v>66</v>
      </c>
      <c r="AN269" s="36"/>
      <c r="AO269" s="36"/>
      <c r="AP269" s="36"/>
      <c r="AQ269" s="37">
        <f t="shared" si="15"/>
        <v>0</v>
      </c>
      <c r="AR269" s="38">
        <f t="shared" si="16"/>
        <v>0</v>
      </c>
      <c r="AS269" s="39">
        <f t="shared" si="17"/>
        <v>0</v>
      </c>
      <c r="AT269" s="91"/>
      <c r="AU269" s="92" t="s">
        <v>1356</v>
      </c>
      <c r="AV269" s="93"/>
      <c r="AW269" s="94"/>
      <c r="AX269" s="93"/>
      <c r="AY269" s="95"/>
      <c r="AZ269" s="91"/>
      <c r="BA269" s="92" t="s">
        <v>1356</v>
      </c>
      <c r="BB269" s="93"/>
      <c r="BC269" s="95"/>
      <c r="BD269" s="93"/>
      <c r="BE269" s="95"/>
      <c r="BF269" s="91"/>
      <c r="BG269" s="92" t="s">
        <v>1356</v>
      </c>
      <c r="BH269" s="93"/>
      <c r="BI269" s="95"/>
      <c r="BJ269" s="93"/>
      <c r="BK269" s="95"/>
      <c r="BL269" s="91"/>
      <c r="BM269" s="92" t="s">
        <v>1356</v>
      </c>
      <c r="BN269" s="93"/>
      <c r="BO269" s="95"/>
      <c r="BP269" s="93"/>
      <c r="BQ269" s="95"/>
      <c r="BR269" s="91"/>
      <c r="BS269" s="92" t="s">
        <v>1356</v>
      </c>
      <c r="BT269" s="93"/>
      <c r="BU269" s="95"/>
      <c r="BV269" s="93"/>
      <c r="BW269" s="95"/>
      <c r="BX269" s="113"/>
      <c r="BY269" s="114" t="s">
        <v>1356</v>
      </c>
      <c r="BZ269" s="115"/>
      <c r="CA269" s="116"/>
      <c r="CB269" s="115"/>
      <c r="CC269" s="116"/>
      <c r="CD269" s="113"/>
      <c r="CE269" s="114" t="s">
        <v>1356</v>
      </c>
      <c r="CF269" s="115"/>
      <c r="CG269" s="116"/>
      <c r="CH269" s="115"/>
      <c r="CI269" s="116"/>
      <c r="CJ269" s="113"/>
      <c r="CK269" s="114" t="s">
        <v>1356</v>
      </c>
      <c r="CL269" s="115"/>
      <c r="CM269" s="116"/>
      <c r="CN269" s="115"/>
      <c r="CO269" s="116"/>
      <c r="CP269" s="113"/>
      <c r="CQ269" s="114" t="s">
        <v>1356</v>
      </c>
      <c r="CR269" s="115"/>
      <c r="CS269" s="116"/>
      <c r="CT269" s="115"/>
      <c r="CU269" s="116"/>
      <c r="CV269" s="113"/>
      <c r="CW269" s="114" t="s">
        <v>1356</v>
      </c>
      <c r="CX269" s="115"/>
      <c r="CY269" s="116"/>
      <c r="CZ269" s="115"/>
      <c r="DA269" s="116"/>
      <c r="DB269" s="128" t="s">
        <v>7085</v>
      </c>
      <c r="DC269" s="128" t="s">
        <v>105</v>
      </c>
    </row>
    <row r="270" spans="1:107" s="40" customFormat="1" ht="14.55" customHeight="1" x14ac:dyDescent="0.3">
      <c r="A270" s="42" t="s">
        <v>4108</v>
      </c>
      <c r="B270" s="42" t="s">
        <v>4144</v>
      </c>
      <c r="C270" s="42" t="s">
        <v>4145</v>
      </c>
      <c r="D270" s="42" t="s">
        <v>2974</v>
      </c>
      <c r="E270" s="42" t="s">
        <v>2975</v>
      </c>
      <c r="F270" s="42" t="s">
        <v>2164</v>
      </c>
      <c r="G270" s="42" t="s">
        <v>404</v>
      </c>
      <c r="H270" s="43" t="s">
        <v>6930</v>
      </c>
      <c r="I270" s="44">
        <v>101</v>
      </c>
      <c r="J270" s="44">
        <v>10150</v>
      </c>
      <c r="K270" s="45">
        <v>4</v>
      </c>
      <c r="L270" s="42" t="s">
        <v>2976</v>
      </c>
      <c r="M270" s="42" t="s">
        <v>2977</v>
      </c>
      <c r="N270" s="42" t="s">
        <v>2978</v>
      </c>
      <c r="O270" s="42"/>
      <c r="P270" s="42"/>
      <c r="Q270" s="42"/>
      <c r="R270" s="42" t="s">
        <v>113</v>
      </c>
      <c r="S270" s="42"/>
      <c r="T270" s="42"/>
      <c r="U270" s="42" t="s">
        <v>2979</v>
      </c>
      <c r="V270" s="42"/>
      <c r="W270" s="42" t="s">
        <v>2980</v>
      </c>
      <c r="X270" s="42" t="s">
        <v>2981</v>
      </c>
      <c r="Y270" s="42" t="s">
        <v>2982</v>
      </c>
      <c r="Z270" s="42">
        <v>-79.040786325931549</v>
      </c>
      <c r="AA270" s="42">
        <v>-2.9062996504655372</v>
      </c>
      <c r="AB270" s="42">
        <v>10150096</v>
      </c>
      <c r="AC270" s="42">
        <v>10150096003</v>
      </c>
      <c r="AD270" s="42">
        <v>10150096003003</v>
      </c>
      <c r="AE270" s="45">
        <v>3</v>
      </c>
      <c r="AF270" s="45" t="s">
        <v>377</v>
      </c>
      <c r="AG270" s="46" t="s">
        <v>66</v>
      </c>
      <c r="AH270" s="47" t="s">
        <v>2983</v>
      </c>
      <c r="AI270" s="48" t="s">
        <v>66</v>
      </c>
      <c r="AJ270" s="49" t="s">
        <v>6938</v>
      </c>
      <c r="AK270" s="50" t="s">
        <v>67</v>
      </c>
      <c r="AL270" s="51">
        <v>45574</v>
      </c>
      <c r="AM270" s="52" t="s">
        <v>66</v>
      </c>
      <c r="AN270" s="42"/>
      <c r="AO270" s="42"/>
      <c r="AP270" s="42"/>
      <c r="AQ270" s="53">
        <f t="shared" si="15"/>
        <v>1</v>
      </c>
      <c r="AR270" s="54">
        <f t="shared" si="16"/>
        <v>0</v>
      </c>
      <c r="AS270" s="55">
        <f t="shared" si="17"/>
        <v>1</v>
      </c>
      <c r="AT270" s="96" t="s">
        <v>2727</v>
      </c>
      <c r="AU270" s="96" t="s">
        <v>2728</v>
      </c>
      <c r="AV270" s="96">
        <v>0.72</v>
      </c>
      <c r="AW270" s="97">
        <v>45574</v>
      </c>
      <c r="AX270" s="96">
        <v>0.72</v>
      </c>
      <c r="AY270" s="98">
        <v>45609</v>
      </c>
      <c r="AZ270" s="96"/>
      <c r="BA270" s="96" t="s">
        <v>1356</v>
      </c>
      <c r="BB270" s="96"/>
      <c r="BC270" s="98"/>
      <c r="BD270" s="96"/>
      <c r="BE270" s="98"/>
      <c r="BF270" s="96"/>
      <c r="BG270" s="96" t="s">
        <v>1356</v>
      </c>
      <c r="BH270" s="96"/>
      <c r="BI270" s="98"/>
      <c r="BJ270" s="96"/>
      <c r="BK270" s="98"/>
      <c r="BL270" s="96"/>
      <c r="BM270" s="96" t="s">
        <v>1356</v>
      </c>
      <c r="BN270" s="96"/>
      <c r="BO270" s="98"/>
      <c r="BP270" s="96"/>
      <c r="BQ270" s="98"/>
      <c r="BR270" s="96"/>
      <c r="BS270" s="96" t="s">
        <v>1356</v>
      </c>
      <c r="BT270" s="96"/>
      <c r="BU270" s="98"/>
      <c r="BV270" s="96"/>
      <c r="BW270" s="98"/>
      <c r="BX270" s="117"/>
      <c r="BY270" s="117" t="s">
        <v>1356</v>
      </c>
      <c r="BZ270" s="117"/>
      <c r="CA270" s="118"/>
      <c r="CB270" s="117"/>
      <c r="CC270" s="118"/>
      <c r="CD270" s="117"/>
      <c r="CE270" s="117" t="s">
        <v>1356</v>
      </c>
      <c r="CF270" s="117"/>
      <c r="CG270" s="118"/>
      <c r="CH270" s="117"/>
      <c r="CI270" s="118"/>
      <c r="CJ270" s="117"/>
      <c r="CK270" s="117" t="s">
        <v>1356</v>
      </c>
      <c r="CL270" s="117"/>
      <c r="CM270" s="118"/>
      <c r="CN270" s="117"/>
      <c r="CO270" s="118"/>
      <c r="CP270" s="117"/>
      <c r="CQ270" s="117" t="s">
        <v>1356</v>
      </c>
      <c r="CR270" s="117"/>
      <c r="CS270" s="118"/>
      <c r="CT270" s="117"/>
      <c r="CU270" s="118"/>
      <c r="CV270" s="117"/>
      <c r="CW270" s="117" t="s">
        <v>1356</v>
      </c>
      <c r="CX270" s="117"/>
      <c r="CY270" s="118"/>
      <c r="CZ270" s="117"/>
      <c r="DA270" s="118"/>
      <c r="DB270" s="129" t="s">
        <v>6962</v>
      </c>
      <c r="DC270" s="130" t="s">
        <v>105</v>
      </c>
    </row>
    <row r="271" spans="1:107" s="40" customFormat="1" ht="14.55" customHeight="1" x14ac:dyDescent="0.3">
      <c r="A271" s="42" t="s">
        <v>4108</v>
      </c>
      <c r="B271" s="42" t="s">
        <v>4205</v>
      </c>
      <c r="C271" s="42" t="s">
        <v>4206</v>
      </c>
      <c r="D271" s="42" t="s">
        <v>3233</v>
      </c>
      <c r="E271" s="42" t="s">
        <v>3234</v>
      </c>
      <c r="F271" s="42" t="s">
        <v>3036</v>
      </c>
      <c r="G271" s="42" t="s">
        <v>2928</v>
      </c>
      <c r="H271" s="43" t="s">
        <v>6929</v>
      </c>
      <c r="I271" s="44">
        <v>712</v>
      </c>
      <c r="J271" s="44">
        <v>71250</v>
      </c>
      <c r="K271" s="45">
        <v>4</v>
      </c>
      <c r="L271" s="42" t="s">
        <v>3235</v>
      </c>
      <c r="M271" s="42" t="s">
        <v>258</v>
      </c>
      <c r="N271" s="42" t="s">
        <v>258</v>
      </c>
      <c r="O271" s="42"/>
      <c r="P271" s="42"/>
      <c r="Q271" s="42" t="s">
        <v>3236</v>
      </c>
      <c r="R271" s="42" t="s">
        <v>60</v>
      </c>
      <c r="S271" s="42"/>
      <c r="T271" s="42"/>
      <c r="U271" s="42"/>
      <c r="V271" s="42"/>
      <c r="W271" s="42" t="s">
        <v>3237</v>
      </c>
      <c r="X271" s="42" t="s">
        <v>3238</v>
      </c>
      <c r="Y271" s="42" t="s">
        <v>3239</v>
      </c>
      <c r="Z271" s="42"/>
      <c r="AA271" s="42"/>
      <c r="AB271" s="42">
        <v>71250001</v>
      </c>
      <c r="AC271" s="42">
        <v>71250001004</v>
      </c>
      <c r="AD271" s="42">
        <v>71250001004010</v>
      </c>
      <c r="AE271" s="45">
        <v>5</v>
      </c>
      <c r="AF271" s="45" t="s">
        <v>772</v>
      </c>
      <c r="AG271" s="46" t="s">
        <v>66</v>
      </c>
      <c r="AH271" s="47" t="s">
        <v>3240</v>
      </c>
      <c r="AI271" s="48" t="s">
        <v>66</v>
      </c>
      <c r="AJ271" s="49" t="s">
        <v>6938</v>
      </c>
      <c r="AK271" s="50" t="s">
        <v>67</v>
      </c>
      <c r="AL271" s="51">
        <v>45574</v>
      </c>
      <c r="AM271" s="52" t="s">
        <v>66</v>
      </c>
      <c r="AN271" s="42"/>
      <c r="AO271" s="42"/>
      <c r="AP271" s="42"/>
      <c r="AQ271" s="53">
        <f t="shared" si="15"/>
        <v>2</v>
      </c>
      <c r="AR271" s="54">
        <f t="shared" si="16"/>
        <v>0</v>
      </c>
      <c r="AS271" s="55">
        <f t="shared" si="17"/>
        <v>2</v>
      </c>
      <c r="AT271" s="96" t="s">
        <v>3241</v>
      </c>
      <c r="AU271" s="96" t="s">
        <v>3361</v>
      </c>
      <c r="AV271" s="96">
        <v>2.8</v>
      </c>
      <c r="AW271" s="97">
        <v>45575</v>
      </c>
      <c r="AX271" s="96">
        <v>2.85</v>
      </c>
      <c r="AY271" s="98">
        <v>45616</v>
      </c>
      <c r="AZ271" s="96" t="s">
        <v>3242</v>
      </c>
      <c r="BA271" s="96" t="s">
        <v>3362</v>
      </c>
      <c r="BB271" s="96">
        <v>1.55</v>
      </c>
      <c r="BC271" s="98">
        <v>45575</v>
      </c>
      <c r="BD271" s="96">
        <v>1.6</v>
      </c>
      <c r="BE271" s="98">
        <v>45616</v>
      </c>
      <c r="BF271" s="96"/>
      <c r="BG271" s="96" t="s">
        <v>1356</v>
      </c>
      <c r="BH271" s="96"/>
      <c r="BI271" s="98"/>
      <c r="BJ271" s="96"/>
      <c r="BK271" s="98"/>
      <c r="BL271" s="96"/>
      <c r="BM271" s="96" t="s">
        <v>1356</v>
      </c>
      <c r="BN271" s="96"/>
      <c r="BO271" s="98"/>
      <c r="BP271" s="96"/>
      <c r="BQ271" s="98"/>
      <c r="BR271" s="96"/>
      <c r="BS271" s="96" t="s">
        <v>1356</v>
      </c>
      <c r="BT271" s="96"/>
      <c r="BU271" s="98"/>
      <c r="BV271" s="96"/>
      <c r="BW271" s="98"/>
      <c r="BX271" s="117"/>
      <c r="BY271" s="117" t="s">
        <v>1356</v>
      </c>
      <c r="BZ271" s="117"/>
      <c r="CA271" s="118"/>
      <c r="CB271" s="117"/>
      <c r="CC271" s="118"/>
      <c r="CD271" s="117"/>
      <c r="CE271" s="117" t="s">
        <v>1356</v>
      </c>
      <c r="CF271" s="117"/>
      <c r="CG271" s="118"/>
      <c r="CH271" s="117"/>
      <c r="CI271" s="118"/>
      <c r="CJ271" s="117"/>
      <c r="CK271" s="117" t="s">
        <v>1356</v>
      </c>
      <c r="CL271" s="117"/>
      <c r="CM271" s="118"/>
      <c r="CN271" s="117"/>
      <c r="CO271" s="118"/>
      <c r="CP271" s="117"/>
      <c r="CQ271" s="117" t="s">
        <v>1356</v>
      </c>
      <c r="CR271" s="117"/>
      <c r="CS271" s="118"/>
      <c r="CT271" s="117"/>
      <c r="CU271" s="118"/>
      <c r="CV271" s="117"/>
      <c r="CW271" s="117" t="s">
        <v>1356</v>
      </c>
      <c r="CX271" s="117"/>
      <c r="CY271" s="118"/>
      <c r="CZ271" s="117"/>
      <c r="DA271" s="118"/>
      <c r="DB271" s="129" t="s">
        <v>6962</v>
      </c>
      <c r="DC271" s="130" t="s">
        <v>105</v>
      </c>
    </row>
    <row r="272" spans="1:107" s="40" customFormat="1" ht="14.55" customHeight="1" x14ac:dyDescent="0.3">
      <c r="A272" s="35" t="s">
        <v>3456</v>
      </c>
      <c r="B272" s="35" t="s">
        <v>4024</v>
      </c>
      <c r="C272" s="35" t="s">
        <v>4025</v>
      </c>
      <c r="D272" s="35" t="s">
        <v>3371</v>
      </c>
      <c r="E272" s="35" t="s">
        <v>3371</v>
      </c>
      <c r="F272" s="35" t="s">
        <v>89</v>
      </c>
      <c r="G272" s="35" t="s">
        <v>1059</v>
      </c>
      <c r="H272" s="27" t="s">
        <v>6924</v>
      </c>
      <c r="I272" s="62">
        <v>1801</v>
      </c>
      <c r="J272" s="62">
        <v>180156</v>
      </c>
      <c r="K272" s="63">
        <v>4</v>
      </c>
      <c r="L272" s="35" t="s">
        <v>403</v>
      </c>
      <c r="M272" s="35" t="s">
        <v>3372</v>
      </c>
      <c r="N272" s="35" t="s">
        <v>3373</v>
      </c>
      <c r="O272" s="35"/>
      <c r="P272" s="35"/>
      <c r="Q272" s="35" t="s">
        <v>2236</v>
      </c>
      <c r="R272" s="35"/>
      <c r="S272" s="35"/>
      <c r="T272" s="35"/>
      <c r="U272" s="35" t="s">
        <v>3374</v>
      </c>
      <c r="V272" s="35"/>
      <c r="W272" s="35" t="s">
        <v>3375</v>
      </c>
      <c r="X272" s="35" t="s">
        <v>3376</v>
      </c>
      <c r="Y272" s="35" t="s">
        <v>3377</v>
      </c>
      <c r="Z272" s="35"/>
      <c r="AA272" s="35"/>
      <c r="AB272" s="35"/>
      <c r="AC272" s="35"/>
      <c r="AD272" s="35"/>
      <c r="AE272" s="63">
        <v>2</v>
      </c>
      <c r="AF272" s="63" t="s">
        <v>64</v>
      </c>
      <c r="AG272" s="29" t="s">
        <v>65</v>
      </c>
      <c r="AH272" s="75"/>
      <c r="AI272" s="65" t="s">
        <v>66</v>
      </c>
      <c r="AJ272" s="32" t="s">
        <v>6938</v>
      </c>
      <c r="AK272" s="33" t="s">
        <v>67</v>
      </c>
      <c r="AL272" s="76">
        <v>45581</v>
      </c>
      <c r="AM272" s="35" t="s">
        <v>66</v>
      </c>
      <c r="AN272" s="35"/>
      <c r="AO272" s="35"/>
      <c r="AP272" s="35"/>
      <c r="AQ272" s="37">
        <f t="shared" si="15"/>
        <v>0</v>
      </c>
      <c r="AR272" s="38">
        <f t="shared" si="16"/>
        <v>0</v>
      </c>
      <c r="AS272" s="39">
        <f t="shared" si="17"/>
        <v>0</v>
      </c>
      <c r="AT272" s="99"/>
      <c r="AU272" s="99" t="s">
        <v>1356</v>
      </c>
      <c r="AV272" s="99"/>
      <c r="AW272" s="100"/>
      <c r="AX272" s="99"/>
      <c r="AY272" s="101"/>
      <c r="AZ272" s="99"/>
      <c r="BA272" s="99" t="s">
        <v>1356</v>
      </c>
      <c r="BB272" s="99"/>
      <c r="BC272" s="101"/>
      <c r="BD272" s="99"/>
      <c r="BE272" s="101"/>
      <c r="BF272" s="99"/>
      <c r="BG272" s="99" t="s">
        <v>1356</v>
      </c>
      <c r="BH272" s="99"/>
      <c r="BI272" s="101"/>
      <c r="BJ272" s="99"/>
      <c r="BK272" s="101"/>
      <c r="BL272" s="99"/>
      <c r="BM272" s="99" t="s">
        <v>1356</v>
      </c>
      <c r="BN272" s="99"/>
      <c r="BO272" s="101"/>
      <c r="BP272" s="99"/>
      <c r="BQ272" s="101"/>
      <c r="BR272" s="99"/>
      <c r="BS272" s="99" t="s">
        <v>1356</v>
      </c>
      <c r="BT272" s="99"/>
      <c r="BU272" s="101"/>
      <c r="BV272" s="99"/>
      <c r="BW272" s="101"/>
      <c r="BX272" s="119"/>
      <c r="BY272" s="119" t="s">
        <v>1356</v>
      </c>
      <c r="BZ272" s="119"/>
      <c r="CA272" s="120"/>
      <c r="CB272" s="119"/>
      <c r="CC272" s="120"/>
      <c r="CD272" s="119"/>
      <c r="CE272" s="119" t="s">
        <v>1356</v>
      </c>
      <c r="CF272" s="119"/>
      <c r="CG272" s="120"/>
      <c r="CH272" s="119"/>
      <c r="CI272" s="120"/>
      <c r="CJ272" s="119"/>
      <c r="CK272" s="119" t="s">
        <v>1356</v>
      </c>
      <c r="CL272" s="119"/>
      <c r="CM272" s="120"/>
      <c r="CN272" s="119"/>
      <c r="CO272" s="120"/>
      <c r="CP272" s="119"/>
      <c r="CQ272" s="119" t="s">
        <v>1356</v>
      </c>
      <c r="CR272" s="119"/>
      <c r="CS272" s="120"/>
      <c r="CT272" s="119"/>
      <c r="CU272" s="120"/>
      <c r="CV272" s="119"/>
      <c r="CW272" s="119" t="s">
        <v>1356</v>
      </c>
      <c r="CX272" s="119"/>
      <c r="CY272" s="120"/>
      <c r="CZ272" s="119"/>
      <c r="DA272" s="120"/>
      <c r="DB272" s="128" t="s">
        <v>7085</v>
      </c>
      <c r="DC272" s="131" t="s">
        <v>2935</v>
      </c>
    </row>
    <row r="273" spans="1:107" s="40" customFormat="1" ht="14.55" customHeight="1" x14ac:dyDescent="0.3">
      <c r="A273" s="42" t="s">
        <v>4108</v>
      </c>
      <c r="B273" s="42" t="s">
        <v>4217</v>
      </c>
      <c r="C273" s="42" t="s">
        <v>4218</v>
      </c>
      <c r="D273" s="42" t="s">
        <v>3277</v>
      </c>
      <c r="E273" s="42" t="s">
        <v>3278</v>
      </c>
      <c r="F273" s="42" t="s">
        <v>1028</v>
      </c>
      <c r="G273" s="42" t="s">
        <v>404</v>
      </c>
      <c r="H273" s="43" t="s">
        <v>6930</v>
      </c>
      <c r="I273" s="44">
        <v>101</v>
      </c>
      <c r="J273" s="44">
        <v>10150</v>
      </c>
      <c r="K273" s="45">
        <v>4</v>
      </c>
      <c r="L273" s="42" t="s">
        <v>3279</v>
      </c>
      <c r="M273" s="42" t="s">
        <v>3280</v>
      </c>
      <c r="N273" s="42" t="s">
        <v>3046</v>
      </c>
      <c r="O273" s="42"/>
      <c r="P273" s="42"/>
      <c r="Q273" s="42" t="s">
        <v>3278</v>
      </c>
      <c r="R273" s="42" t="s">
        <v>60</v>
      </c>
      <c r="S273" s="42"/>
      <c r="T273" s="42"/>
      <c r="U273" s="42"/>
      <c r="V273" s="42"/>
      <c r="W273" s="42" t="s">
        <v>3281</v>
      </c>
      <c r="X273" s="42" t="s">
        <v>3282</v>
      </c>
      <c r="Y273" s="42" t="s">
        <v>3283</v>
      </c>
      <c r="Z273" s="42"/>
      <c r="AA273" s="42"/>
      <c r="AB273" s="42">
        <v>10150037</v>
      </c>
      <c r="AC273" s="42">
        <v>10150037007</v>
      </c>
      <c r="AD273" s="42">
        <v>10150037007002</v>
      </c>
      <c r="AE273" s="45">
        <v>5</v>
      </c>
      <c r="AF273" s="45" t="s">
        <v>772</v>
      </c>
      <c r="AG273" s="46" t="s">
        <v>66</v>
      </c>
      <c r="AH273" s="47" t="s">
        <v>3284</v>
      </c>
      <c r="AI273" s="48" t="s">
        <v>66</v>
      </c>
      <c r="AJ273" s="49" t="s">
        <v>6938</v>
      </c>
      <c r="AK273" s="50" t="s">
        <v>67</v>
      </c>
      <c r="AL273" s="51">
        <v>45574</v>
      </c>
      <c r="AM273" s="52" t="s">
        <v>66</v>
      </c>
      <c r="AN273" s="42"/>
      <c r="AO273" s="42"/>
      <c r="AP273" s="42"/>
      <c r="AQ273" s="53">
        <f t="shared" si="15"/>
        <v>3</v>
      </c>
      <c r="AR273" s="54">
        <f t="shared" si="16"/>
        <v>0</v>
      </c>
      <c r="AS273" s="55">
        <f t="shared" si="17"/>
        <v>3</v>
      </c>
      <c r="AT273" s="96" t="s">
        <v>3285</v>
      </c>
      <c r="AU273" s="96" t="s">
        <v>3367</v>
      </c>
      <c r="AV273" s="96">
        <v>16.940000000000001</v>
      </c>
      <c r="AW273" s="97">
        <v>45574</v>
      </c>
      <c r="AX273" s="96">
        <v>16.940000000000001</v>
      </c>
      <c r="AY273" s="98">
        <v>45607</v>
      </c>
      <c r="AZ273" s="96" t="s">
        <v>3285</v>
      </c>
      <c r="BA273" s="96" t="s">
        <v>3367</v>
      </c>
      <c r="BB273" s="96">
        <v>5.33</v>
      </c>
      <c r="BC273" s="98">
        <v>45574</v>
      </c>
      <c r="BD273" s="96">
        <v>5.33</v>
      </c>
      <c r="BE273" s="98">
        <v>45607</v>
      </c>
      <c r="BF273" s="96" t="s">
        <v>3285</v>
      </c>
      <c r="BG273" s="96" t="s">
        <v>3367</v>
      </c>
      <c r="BH273" s="96">
        <v>8.69</v>
      </c>
      <c r="BI273" s="98">
        <v>45574</v>
      </c>
      <c r="BJ273" s="96">
        <v>8.69</v>
      </c>
      <c r="BK273" s="98">
        <v>45607</v>
      </c>
      <c r="BL273" s="96"/>
      <c r="BM273" s="96" t="s">
        <v>1356</v>
      </c>
      <c r="BN273" s="96"/>
      <c r="BO273" s="98"/>
      <c r="BP273" s="96"/>
      <c r="BQ273" s="98"/>
      <c r="BR273" s="96"/>
      <c r="BS273" s="96" t="s">
        <v>1356</v>
      </c>
      <c r="BT273" s="96"/>
      <c r="BU273" s="98"/>
      <c r="BV273" s="96"/>
      <c r="BW273" s="98"/>
      <c r="BX273" s="117"/>
      <c r="BY273" s="117" t="s">
        <v>1356</v>
      </c>
      <c r="BZ273" s="117"/>
      <c r="CA273" s="118"/>
      <c r="CB273" s="117"/>
      <c r="CC273" s="118"/>
      <c r="CD273" s="117"/>
      <c r="CE273" s="117" t="s">
        <v>1356</v>
      </c>
      <c r="CF273" s="117"/>
      <c r="CG273" s="118"/>
      <c r="CH273" s="117"/>
      <c r="CI273" s="118"/>
      <c r="CJ273" s="117"/>
      <c r="CK273" s="117" t="s">
        <v>1356</v>
      </c>
      <c r="CL273" s="117"/>
      <c r="CM273" s="118"/>
      <c r="CN273" s="117"/>
      <c r="CO273" s="118"/>
      <c r="CP273" s="117"/>
      <c r="CQ273" s="117" t="s">
        <v>1356</v>
      </c>
      <c r="CR273" s="117"/>
      <c r="CS273" s="118"/>
      <c r="CT273" s="117"/>
      <c r="CU273" s="118"/>
      <c r="CV273" s="117"/>
      <c r="CW273" s="117" t="s">
        <v>1356</v>
      </c>
      <c r="CX273" s="117"/>
      <c r="CY273" s="118"/>
      <c r="CZ273" s="117"/>
      <c r="DA273" s="118"/>
      <c r="DB273" s="129" t="s">
        <v>6962</v>
      </c>
      <c r="DC273" s="130" t="s">
        <v>105</v>
      </c>
    </row>
    <row r="274" spans="1:107" s="40" customFormat="1" ht="14.55" customHeight="1" x14ac:dyDescent="0.3">
      <c r="A274" s="42" t="s">
        <v>4219</v>
      </c>
      <c r="B274" s="42" t="s">
        <v>5619</v>
      </c>
      <c r="C274" s="42" t="s">
        <v>5620</v>
      </c>
      <c r="D274" s="42" t="s">
        <v>5621</v>
      </c>
      <c r="E274" s="42" t="s">
        <v>5622</v>
      </c>
      <c r="F274" s="42" t="s">
        <v>1453</v>
      </c>
      <c r="G274" s="42" t="s">
        <v>4237</v>
      </c>
      <c r="H274" s="43" t="s">
        <v>686</v>
      </c>
      <c r="I274" s="44">
        <v>901</v>
      </c>
      <c r="J274" s="44">
        <v>90150</v>
      </c>
      <c r="K274" s="45">
        <v>4</v>
      </c>
      <c r="L274" s="42" t="s">
        <v>5623</v>
      </c>
      <c r="M274" s="42"/>
      <c r="N274" s="42" t="s">
        <v>4483</v>
      </c>
      <c r="O274" s="42" t="s">
        <v>1319</v>
      </c>
      <c r="P274" s="42" t="s">
        <v>5624</v>
      </c>
      <c r="Q274" s="42"/>
      <c r="R274" s="42" t="s">
        <v>60</v>
      </c>
      <c r="S274" s="42"/>
      <c r="T274" s="42"/>
      <c r="U274" s="42" t="s">
        <v>5625</v>
      </c>
      <c r="V274" s="42" t="s">
        <v>5626</v>
      </c>
      <c r="W274" s="42" t="s">
        <v>5627</v>
      </c>
      <c r="X274" s="42" t="s">
        <v>5628</v>
      </c>
      <c r="Y274" s="42" t="s">
        <v>5629</v>
      </c>
      <c r="Z274" s="42"/>
      <c r="AA274" s="42"/>
      <c r="AB274" s="42">
        <v>90150516</v>
      </c>
      <c r="AC274" s="42">
        <v>90150516008</v>
      </c>
      <c r="AD274" s="42">
        <v>90150516008007</v>
      </c>
      <c r="AE274" s="45">
        <v>5</v>
      </c>
      <c r="AF274" s="45" t="s">
        <v>772</v>
      </c>
      <c r="AG274" s="46" t="s">
        <v>66</v>
      </c>
      <c r="AH274" s="47" t="s">
        <v>5630</v>
      </c>
      <c r="AI274" s="48" t="s">
        <v>66</v>
      </c>
      <c r="AJ274" s="49" t="s">
        <v>6938</v>
      </c>
      <c r="AK274" s="50" t="s">
        <v>67</v>
      </c>
      <c r="AL274" s="34">
        <v>45574</v>
      </c>
      <c r="AM274" s="52" t="s">
        <v>66</v>
      </c>
      <c r="AN274" s="42"/>
      <c r="AO274" s="42"/>
      <c r="AP274" s="42"/>
      <c r="AQ274" s="53">
        <f t="shared" si="15"/>
        <v>2</v>
      </c>
      <c r="AR274" s="54">
        <f t="shared" si="16"/>
        <v>0</v>
      </c>
      <c r="AS274" s="55">
        <f t="shared" si="17"/>
        <v>2</v>
      </c>
      <c r="AT274" s="96" t="s">
        <v>4828</v>
      </c>
      <c r="AU274" s="96" t="s">
        <v>4829</v>
      </c>
      <c r="AV274" s="96" t="s">
        <v>6795</v>
      </c>
      <c r="AW274" s="97" t="s">
        <v>6796</v>
      </c>
      <c r="AX274" s="96" t="s">
        <v>6795</v>
      </c>
      <c r="AY274" s="98" t="s">
        <v>6796</v>
      </c>
      <c r="AZ274" s="96" t="s">
        <v>4828</v>
      </c>
      <c r="BA274" s="96" t="s">
        <v>4829</v>
      </c>
      <c r="BB274" s="96" t="s">
        <v>6797</v>
      </c>
      <c r="BC274" s="98" t="s">
        <v>6796</v>
      </c>
      <c r="BD274" s="96" t="s">
        <v>6797</v>
      </c>
      <c r="BE274" s="98" t="s">
        <v>6796</v>
      </c>
      <c r="BF274" s="96"/>
      <c r="BG274" s="96" t="s">
        <v>1356</v>
      </c>
      <c r="BH274" s="96"/>
      <c r="BI274" s="98"/>
      <c r="BJ274" s="96"/>
      <c r="BK274" s="98"/>
      <c r="BL274" s="96"/>
      <c r="BM274" s="96" t="s">
        <v>1356</v>
      </c>
      <c r="BN274" s="96"/>
      <c r="BO274" s="98"/>
      <c r="BP274" s="96"/>
      <c r="BQ274" s="98"/>
      <c r="BR274" s="96"/>
      <c r="BS274" s="96" t="s">
        <v>1356</v>
      </c>
      <c r="BT274" s="96"/>
      <c r="BU274" s="98"/>
      <c r="BV274" s="96"/>
      <c r="BW274" s="98"/>
      <c r="BX274" s="117"/>
      <c r="BY274" s="117" t="s">
        <v>1356</v>
      </c>
      <c r="BZ274" s="117"/>
      <c r="CA274" s="118"/>
      <c r="CB274" s="117"/>
      <c r="CC274" s="118"/>
      <c r="CD274" s="117"/>
      <c r="CE274" s="117" t="s">
        <v>1356</v>
      </c>
      <c r="CF274" s="117"/>
      <c r="CG274" s="118"/>
      <c r="CH274" s="117"/>
      <c r="CI274" s="118"/>
      <c r="CJ274" s="117"/>
      <c r="CK274" s="117" t="s">
        <v>1356</v>
      </c>
      <c r="CL274" s="117"/>
      <c r="CM274" s="118"/>
      <c r="CN274" s="117"/>
      <c r="CO274" s="118"/>
      <c r="CP274" s="117"/>
      <c r="CQ274" s="117" t="s">
        <v>1356</v>
      </c>
      <c r="CR274" s="117"/>
      <c r="CS274" s="118"/>
      <c r="CT274" s="117"/>
      <c r="CU274" s="118"/>
      <c r="CV274" s="117"/>
      <c r="CW274" s="117" t="s">
        <v>1356</v>
      </c>
      <c r="CX274" s="117"/>
      <c r="CY274" s="118"/>
      <c r="CZ274" s="117"/>
      <c r="DA274" s="118"/>
      <c r="DB274" s="129" t="s">
        <v>6962</v>
      </c>
      <c r="DC274" s="130" t="s">
        <v>105</v>
      </c>
    </row>
    <row r="275" spans="1:107" s="40" customFormat="1" ht="14.55" customHeight="1" x14ac:dyDescent="0.3">
      <c r="A275" s="35" t="s">
        <v>4219</v>
      </c>
      <c r="B275" s="35" t="s">
        <v>5631</v>
      </c>
      <c r="C275" s="35" t="s">
        <v>5632</v>
      </c>
      <c r="D275" s="35" t="s">
        <v>5633</v>
      </c>
      <c r="E275" s="35" t="s">
        <v>5634</v>
      </c>
      <c r="F275" s="35" t="s">
        <v>3036</v>
      </c>
      <c r="G275" s="35" t="s">
        <v>4237</v>
      </c>
      <c r="H275" s="27" t="s">
        <v>686</v>
      </c>
      <c r="I275" s="62">
        <v>901</v>
      </c>
      <c r="J275" s="62">
        <v>90150</v>
      </c>
      <c r="K275" s="63">
        <v>4</v>
      </c>
      <c r="L275" s="35" t="s">
        <v>5407</v>
      </c>
      <c r="M275" s="35" t="s">
        <v>258</v>
      </c>
      <c r="N275" s="35" t="s">
        <v>258</v>
      </c>
      <c r="O275" s="35" t="s">
        <v>1803</v>
      </c>
      <c r="P275" s="35"/>
      <c r="Q275" s="35"/>
      <c r="R275" s="35" t="s">
        <v>60</v>
      </c>
      <c r="S275" s="35"/>
      <c r="T275" s="35"/>
      <c r="U275" s="35"/>
      <c r="V275" s="35"/>
      <c r="W275" s="35" t="s">
        <v>5635</v>
      </c>
      <c r="X275" s="35" t="s">
        <v>5636</v>
      </c>
      <c r="Y275" s="35" t="s">
        <v>5637</v>
      </c>
      <c r="Z275" s="35">
        <v>-80.013703000000007</v>
      </c>
      <c r="AA275" s="35">
        <v>-2.1929080000000001</v>
      </c>
      <c r="AB275" s="35">
        <v>90150215</v>
      </c>
      <c r="AC275" s="35">
        <v>90150215007</v>
      </c>
      <c r="AD275" s="35">
        <v>90150215007011</v>
      </c>
      <c r="AE275" s="63">
        <v>5</v>
      </c>
      <c r="AF275" s="63" t="s">
        <v>772</v>
      </c>
      <c r="AG275" s="46" t="s">
        <v>66</v>
      </c>
      <c r="AH275" s="64">
        <v>80834</v>
      </c>
      <c r="AI275" s="65" t="s">
        <v>66</v>
      </c>
      <c r="AJ275" s="32" t="s">
        <v>6938</v>
      </c>
      <c r="AK275" s="33" t="s">
        <v>67</v>
      </c>
      <c r="AL275" s="34">
        <v>45574</v>
      </c>
      <c r="AM275" s="52" t="s">
        <v>66</v>
      </c>
      <c r="AN275" s="35"/>
      <c r="AO275" s="35"/>
      <c r="AP275" s="35"/>
      <c r="AQ275" s="37">
        <f t="shared" si="15"/>
        <v>1</v>
      </c>
      <c r="AR275" s="38">
        <f t="shared" si="16"/>
        <v>0</v>
      </c>
      <c r="AS275" s="39">
        <f t="shared" si="17"/>
        <v>1</v>
      </c>
      <c r="AT275" s="99" t="s">
        <v>7065</v>
      </c>
      <c r="AU275" s="99" t="s">
        <v>7066</v>
      </c>
      <c r="AV275" s="99" t="s">
        <v>7067</v>
      </c>
      <c r="AW275" s="100">
        <v>45627</v>
      </c>
      <c r="AX275" s="99"/>
      <c r="AY275" s="101"/>
      <c r="AZ275" s="99"/>
      <c r="BA275" s="99" t="s">
        <v>1356</v>
      </c>
      <c r="BB275" s="99"/>
      <c r="BC275" s="101"/>
      <c r="BD275" s="99"/>
      <c r="BE275" s="101"/>
      <c r="BF275" s="99"/>
      <c r="BG275" s="99" t="s">
        <v>1356</v>
      </c>
      <c r="BH275" s="99"/>
      <c r="BI275" s="101"/>
      <c r="BJ275" s="99"/>
      <c r="BK275" s="101"/>
      <c r="BL275" s="99"/>
      <c r="BM275" s="99" t="s">
        <v>1356</v>
      </c>
      <c r="BN275" s="99"/>
      <c r="BO275" s="101"/>
      <c r="BP275" s="99"/>
      <c r="BQ275" s="101"/>
      <c r="BR275" s="99"/>
      <c r="BS275" s="99" t="s">
        <v>1356</v>
      </c>
      <c r="BT275" s="99"/>
      <c r="BU275" s="101"/>
      <c r="BV275" s="99"/>
      <c r="BW275" s="101"/>
      <c r="BX275" s="119"/>
      <c r="BY275" s="119" t="s">
        <v>1356</v>
      </c>
      <c r="BZ275" s="119"/>
      <c r="CA275" s="120"/>
      <c r="CB275" s="119"/>
      <c r="CC275" s="120"/>
      <c r="CD275" s="119"/>
      <c r="CE275" s="119" t="s">
        <v>1356</v>
      </c>
      <c r="CF275" s="119"/>
      <c r="CG275" s="120"/>
      <c r="CH275" s="119"/>
      <c r="CI275" s="120"/>
      <c r="CJ275" s="119"/>
      <c r="CK275" s="119" t="s">
        <v>1356</v>
      </c>
      <c r="CL275" s="119"/>
      <c r="CM275" s="120"/>
      <c r="CN275" s="119"/>
      <c r="CO275" s="120"/>
      <c r="CP275" s="119"/>
      <c r="CQ275" s="119" t="s">
        <v>1356</v>
      </c>
      <c r="CR275" s="119"/>
      <c r="CS275" s="120"/>
      <c r="CT275" s="119"/>
      <c r="CU275" s="120"/>
      <c r="CV275" s="119"/>
      <c r="CW275" s="119" t="s">
        <v>1356</v>
      </c>
      <c r="CX275" s="119"/>
      <c r="CY275" s="120"/>
      <c r="CZ275" s="119"/>
      <c r="DA275" s="120"/>
      <c r="DB275" s="129" t="s">
        <v>6962</v>
      </c>
      <c r="DC275" s="131" t="s">
        <v>105</v>
      </c>
    </row>
    <row r="276" spans="1:107" s="40" customFormat="1" ht="14.55" customHeight="1" x14ac:dyDescent="0.3">
      <c r="A276" s="35" t="s">
        <v>3456</v>
      </c>
      <c r="B276" s="35" t="s">
        <v>4029</v>
      </c>
      <c r="C276" s="35" t="s">
        <v>4030</v>
      </c>
      <c r="D276" s="35" t="s">
        <v>3378</v>
      </c>
      <c r="E276" s="35" t="s">
        <v>3379</v>
      </c>
      <c r="F276" s="35" t="s">
        <v>169</v>
      </c>
      <c r="G276" s="35" t="s">
        <v>1059</v>
      </c>
      <c r="H276" s="27" t="s">
        <v>6924</v>
      </c>
      <c r="I276" s="62">
        <v>1801</v>
      </c>
      <c r="J276" s="62">
        <v>180150</v>
      </c>
      <c r="K276" s="63">
        <v>3</v>
      </c>
      <c r="L276" s="35" t="s">
        <v>3380</v>
      </c>
      <c r="M276" s="35" t="s">
        <v>258</v>
      </c>
      <c r="N276" s="35" t="s">
        <v>3381</v>
      </c>
      <c r="O276" s="35"/>
      <c r="P276" s="35"/>
      <c r="Q276" s="35" t="s">
        <v>3382</v>
      </c>
      <c r="R276" s="35" t="s">
        <v>113</v>
      </c>
      <c r="S276" s="35"/>
      <c r="T276" s="35"/>
      <c r="U276" s="35" t="s">
        <v>3383</v>
      </c>
      <c r="V276" s="35"/>
      <c r="W276" s="35" t="s">
        <v>3384</v>
      </c>
      <c r="X276" s="35" t="s">
        <v>2765</v>
      </c>
      <c r="Y276" s="35" t="s">
        <v>3385</v>
      </c>
      <c r="Z276" s="35">
        <v>-78.628998845815659</v>
      </c>
      <c r="AA276" s="35">
        <v>-1.2307978687148451</v>
      </c>
      <c r="AB276" s="35">
        <v>180150003</v>
      </c>
      <c r="AC276" s="35">
        <v>180150003003</v>
      </c>
      <c r="AD276" s="35">
        <v>180150003003006</v>
      </c>
      <c r="AE276" s="63">
        <v>2</v>
      </c>
      <c r="AF276" s="63" t="s">
        <v>64</v>
      </c>
      <c r="AG276" s="29" t="s">
        <v>65</v>
      </c>
      <c r="AH276" s="75"/>
      <c r="AI276" s="65" t="s">
        <v>66</v>
      </c>
      <c r="AJ276" s="32" t="s">
        <v>6938</v>
      </c>
      <c r="AK276" s="33" t="s">
        <v>67</v>
      </c>
      <c r="AL276" s="76">
        <v>45603</v>
      </c>
      <c r="AM276" s="35" t="s">
        <v>66</v>
      </c>
      <c r="AN276" s="35"/>
      <c r="AO276" s="35"/>
      <c r="AP276" s="35"/>
      <c r="AQ276" s="37">
        <f t="shared" si="15"/>
        <v>0</v>
      </c>
      <c r="AR276" s="38">
        <f t="shared" si="16"/>
        <v>0</v>
      </c>
      <c r="AS276" s="39">
        <f t="shared" si="17"/>
        <v>0</v>
      </c>
      <c r="AT276" s="99"/>
      <c r="AU276" s="99" t="s">
        <v>1356</v>
      </c>
      <c r="AV276" s="99"/>
      <c r="AW276" s="100"/>
      <c r="AX276" s="99"/>
      <c r="AY276" s="101"/>
      <c r="AZ276" s="99"/>
      <c r="BA276" s="99" t="s">
        <v>1356</v>
      </c>
      <c r="BB276" s="99"/>
      <c r="BC276" s="101"/>
      <c r="BD276" s="99"/>
      <c r="BE276" s="101"/>
      <c r="BF276" s="99"/>
      <c r="BG276" s="99" t="s">
        <v>1356</v>
      </c>
      <c r="BH276" s="99"/>
      <c r="BI276" s="101"/>
      <c r="BJ276" s="99"/>
      <c r="BK276" s="101"/>
      <c r="BL276" s="99"/>
      <c r="BM276" s="99" t="s">
        <v>1356</v>
      </c>
      <c r="BN276" s="99"/>
      <c r="BO276" s="101"/>
      <c r="BP276" s="99"/>
      <c r="BQ276" s="101"/>
      <c r="BR276" s="99"/>
      <c r="BS276" s="99" t="s">
        <v>1356</v>
      </c>
      <c r="BT276" s="99"/>
      <c r="BU276" s="101"/>
      <c r="BV276" s="99"/>
      <c r="BW276" s="101"/>
      <c r="BX276" s="119"/>
      <c r="BY276" s="119" t="s">
        <v>1356</v>
      </c>
      <c r="BZ276" s="119"/>
      <c r="CA276" s="120"/>
      <c r="CB276" s="119"/>
      <c r="CC276" s="120"/>
      <c r="CD276" s="119"/>
      <c r="CE276" s="119" t="s">
        <v>1356</v>
      </c>
      <c r="CF276" s="119"/>
      <c r="CG276" s="120"/>
      <c r="CH276" s="119"/>
      <c r="CI276" s="120"/>
      <c r="CJ276" s="119"/>
      <c r="CK276" s="119" t="s">
        <v>1356</v>
      </c>
      <c r="CL276" s="119"/>
      <c r="CM276" s="120"/>
      <c r="CN276" s="119"/>
      <c r="CO276" s="120"/>
      <c r="CP276" s="119"/>
      <c r="CQ276" s="119" t="s">
        <v>1356</v>
      </c>
      <c r="CR276" s="119"/>
      <c r="CS276" s="120"/>
      <c r="CT276" s="119"/>
      <c r="CU276" s="120"/>
      <c r="CV276" s="119"/>
      <c r="CW276" s="119" t="s">
        <v>1356</v>
      </c>
      <c r="CX276" s="119"/>
      <c r="CY276" s="120"/>
      <c r="CZ276" s="119"/>
      <c r="DA276" s="120"/>
      <c r="DB276" s="128" t="s">
        <v>7085</v>
      </c>
      <c r="DC276" s="131" t="s">
        <v>3386</v>
      </c>
    </row>
    <row r="277" spans="1:107" s="40" customFormat="1" ht="14.55" customHeight="1" x14ac:dyDescent="0.3">
      <c r="A277" s="35" t="s">
        <v>4219</v>
      </c>
      <c r="B277" s="35" t="s">
        <v>5638</v>
      </c>
      <c r="C277" s="35" t="s">
        <v>5639</v>
      </c>
      <c r="D277" s="35" t="s">
        <v>5640</v>
      </c>
      <c r="E277" s="35" t="s">
        <v>5641</v>
      </c>
      <c r="F277" s="35" t="s">
        <v>3036</v>
      </c>
      <c r="G277" s="35" t="s">
        <v>4237</v>
      </c>
      <c r="H277" s="27" t="s">
        <v>686</v>
      </c>
      <c r="I277" s="62">
        <v>901</v>
      </c>
      <c r="J277" s="62">
        <v>90150</v>
      </c>
      <c r="K277" s="63">
        <v>4</v>
      </c>
      <c r="L277" s="35" t="s">
        <v>4483</v>
      </c>
      <c r="M277" s="35" t="s">
        <v>2448</v>
      </c>
      <c r="N277" s="35" t="s">
        <v>5524</v>
      </c>
      <c r="O277" s="35" t="s">
        <v>862</v>
      </c>
      <c r="P277" s="35" t="s">
        <v>5503</v>
      </c>
      <c r="Q277" s="35"/>
      <c r="R277" s="35" t="s">
        <v>60</v>
      </c>
      <c r="S277" s="35"/>
      <c r="T277" s="35"/>
      <c r="U277" s="35" t="s">
        <v>5642</v>
      </c>
      <c r="V277" s="35" t="s">
        <v>1081</v>
      </c>
      <c r="W277" s="35" t="s">
        <v>5643</v>
      </c>
      <c r="X277" s="35" t="s">
        <v>5644</v>
      </c>
      <c r="Y277" s="35" t="s">
        <v>5645</v>
      </c>
      <c r="Z277" s="35"/>
      <c r="AA277" s="35"/>
      <c r="AB277" s="35">
        <v>90150517</v>
      </c>
      <c r="AC277" s="35">
        <v>90150517007</v>
      </c>
      <c r="AD277" s="35">
        <v>90150517007014</v>
      </c>
      <c r="AE277" s="63">
        <v>5</v>
      </c>
      <c r="AF277" s="63" t="s">
        <v>772</v>
      </c>
      <c r="AG277" s="46" t="s">
        <v>66</v>
      </c>
      <c r="AH277" s="64">
        <v>80192</v>
      </c>
      <c r="AI277" s="65" t="s">
        <v>66</v>
      </c>
      <c r="AJ277" s="32" t="s">
        <v>6938</v>
      </c>
      <c r="AK277" s="33" t="s">
        <v>67</v>
      </c>
      <c r="AL277" s="34">
        <v>45574</v>
      </c>
      <c r="AM277" s="52" t="s">
        <v>66</v>
      </c>
      <c r="AN277" s="35"/>
      <c r="AO277" s="35"/>
      <c r="AP277" s="35"/>
      <c r="AQ277" s="37">
        <f t="shared" si="15"/>
        <v>1</v>
      </c>
      <c r="AR277" s="38">
        <f t="shared" si="16"/>
        <v>0</v>
      </c>
      <c r="AS277" s="39">
        <f t="shared" si="17"/>
        <v>1</v>
      </c>
      <c r="AT277" s="99" t="s">
        <v>7065</v>
      </c>
      <c r="AU277" s="99" t="s">
        <v>7066</v>
      </c>
      <c r="AV277" s="99" t="s">
        <v>4655</v>
      </c>
      <c r="AW277" s="100">
        <v>45449</v>
      </c>
      <c r="AX277" s="99"/>
      <c r="AY277" s="101"/>
      <c r="AZ277" s="99"/>
      <c r="BA277" s="99" t="s">
        <v>1356</v>
      </c>
      <c r="BB277" s="99"/>
      <c r="BC277" s="101"/>
      <c r="BD277" s="99"/>
      <c r="BE277" s="101"/>
      <c r="BF277" s="99"/>
      <c r="BG277" s="99" t="s">
        <v>1356</v>
      </c>
      <c r="BH277" s="99"/>
      <c r="BI277" s="101"/>
      <c r="BJ277" s="99"/>
      <c r="BK277" s="101"/>
      <c r="BL277" s="99"/>
      <c r="BM277" s="99" t="s">
        <v>1356</v>
      </c>
      <c r="BN277" s="99"/>
      <c r="BO277" s="101"/>
      <c r="BP277" s="99"/>
      <c r="BQ277" s="101"/>
      <c r="BR277" s="99"/>
      <c r="BS277" s="99" t="s">
        <v>1356</v>
      </c>
      <c r="BT277" s="99"/>
      <c r="BU277" s="101"/>
      <c r="BV277" s="99"/>
      <c r="BW277" s="101"/>
      <c r="BX277" s="119"/>
      <c r="BY277" s="119" t="s">
        <v>1356</v>
      </c>
      <c r="BZ277" s="119"/>
      <c r="CA277" s="120"/>
      <c r="CB277" s="119"/>
      <c r="CC277" s="120"/>
      <c r="CD277" s="119"/>
      <c r="CE277" s="119" t="s">
        <v>1356</v>
      </c>
      <c r="CF277" s="119"/>
      <c r="CG277" s="120"/>
      <c r="CH277" s="119"/>
      <c r="CI277" s="120"/>
      <c r="CJ277" s="119"/>
      <c r="CK277" s="119" t="s">
        <v>1356</v>
      </c>
      <c r="CL277" s="119"/>
      <c r="CM277" s="120"/>
      <c r="CN277" s="119"/>
      <c r="CO277" s="120"/>
      <c r="CP277" s="119"/>
      <c r="CQ277" s="119" t="s">
        <v>1356</v>
      </c>
      <c r="CR277" s="119"/>
      <c r="CS277" s="120"/>
      <c r="CT277" s="119"/>
      <c r="CU277" s="120"/>
      <c r="CV277" s="119"/>
      <c r="CW277" s="119" t="s">
        <v>1356</v>
      </c>
      <c r="CX277" s="119"/>
      <c r="CY277" s="120"/>
      <c r="CZ277" s="119"/>
      <c r="DA277" s="120"/>
      <c r="DB277" s="129" t="s">
        <v>6962</v>
      </c>
      <c r="DC277" s="131" t="s">
        <v>105</v>
      </c>
    </row>
    <row r="278" spans="1:107" s="40" customFormat="1" ht="14.55" customHeight="1" x14ac:dyDescent="0.3">
      <c r="A278" s="42" t="s">
        <v>4219</v>
      </c>
      <c r="B278" s="42" t="s">
        <v>5664</v>
      </c>
      <c r="C278" s="42" t="s">
        <v>5665</v>
      </c>
      <c r="D278" s="42" t="s">
        <v>5666</v>
      </c>
      <c r="E278" s="42" t="s">
        <v>5667</v>
      </c>
      <c r="F278" s="42" t="s">
        <v>734</v>
      </c>
      <c r="G278" s="42" t="s">
        <v>4237</v>
      </c>
      <c r="H278" s="43" t="s">
        <v>686</v>
      </c>
      <c r="I278" s="44">
        <v>901</v>
      </c>
      <c r="J278" s="44">
        <v>90150</v>
      </c>
      <c r="K278" s="45">
        <v>4</v>
      </c>
      <c r="L278" s="42" t="s">
        <v>4446</v>
      </c>
      <c r="M278" s="42" t="s">
        <v>338</v>
      </c>
      <c r="N278" s="42" t="s">
        <v>810</v>
      </c>
      <c r="O278" s="42" t="s">
        <v>4484</v>
      </c>
      <c r="P278" s="42"/>
      <c r="Q278" s="42"/>
      <c r="R278" s="42" t="s">
        <v>60</v>
      </c>
      <c r="S278" s="42"/>
      <c r="T278" s="42"/>
      <c r="U278" s="42"/>
      <c r="V278" s="42"/>
      <c r="W278" s="42" t="s">
        <v>5668</v>
      </c>
      <c r="X278" s="42" t="s">
        <v>5669</v>
      </c>
      <c r="Y278" s="42" t="s">
        <v>5670</v>
      </c>
      <c r="Z278" s="42"/>
      <c r="AA278" s="42"/>
      <c r="AB278" s="42">
        <v>90150482</v>
      </c>
      <c r="AC278" s="42">
        <v>90150482002</v>
      </c>
      <c r="AD278" s="42">
        <v>90150482002004</v>
      </c>
      <c r="AE278" s="45">
        <v>5</v>
      </c>
      <c r="AF278" s="45" t="s">
        <v>772</v>
      </c>
      <c r="AG278" s="46" t="s">
        <v>66</v>
      </c>
      <c r="AH278" s="47" t="s">
        <v>5671</v>
      </c>
      <c r="AI278" s="48" t="s">
        <v>66</v>
      </c>
      <c r="AJ278" s="49" t="s">
        <v>6938</v>
      </c>
      <c r="AK278" s="50" t="s">
        <v>67</v>
      </c>
      <c r="AL278" s="34">
        <v>45574</v>
      </c>
      <c r="AM278" s="52" t="s">
        <v>66</v>
      </c>
      <c r="AN278" s="42"/>
      <c r="AO278" s="42"/>
      <c r="AP278" s="42"/>
      <c r="AQ278" s="53">
        <f t="shared" si="15"/>
        <v>1</v>
      </c>
      <c r="AR278" s="54">
        <f t="shared" si="16"/>
        <v>0</v>
      </c>
      <c r="AS278" s="55">
        <f t="shared" si="17"/>
        <v>1</v>
      </c>
      <c r="AT278" s="96" t="s">
        <v>743</v>
      </c>
      <c r="AU278" s="96" t="s">
        <v>6749</v>
      </c>
      <c r="AV278" s="96" t="s">
        <v>6798</v>
      </c>
      <c r="AW278" s="97" t="s">
        <v>6796</v>
      </c>
      <c r="AX278" s="96" t="s">
        <v>6798</v>
      </c>
      <c r="AY278" s="98" t="s">
        <v>6796</v>
      </c>
      <c r="AZ278" s="96"/>
      <c r="BA278" s="96" t="s">
        <v>1356</v>
      </c>
      <c r="BB278" s="96"/>
      <c r="BC278" s="98"/>
      <c r="BD278" s="96"/>
      <c r="BE278" s="98"/>
      <c r="BF278" s="96"/>
      <c r="BG278" s="96" t="s">
        <v>1356</v>
      </c>
      <c r="BH278" s="96"/>
      <c r="BI278" s="98"/>
      <c r="BJ278" s="96"/>
      <c r="BK278" s="98"/>
      <c r="BL278" s="96"/>
      <c r="BM278" s="96" t="s">
        <v>1356</v>
      </c>
      <c r="BN278" s="96"/>
      <c r="BO278" s="98"/>
      <c r="BP278" s="96"/>
      <c r="BQ278" s="98"/>
      <c r="BR278" s="96"/>
      <c r="BS278" s="96" t="s">
        <v>1356</v>
      </c>
      <c r="BT278" s="96"/>
      <c r="BU278" s="98"/>
      <c r="BV278" s="96"/>
      <c r="BW278" s="98"/>
      <c r="BX278" s="117"/>
      <c r="BY278" s="117" t="s">
        <v>1356</v>
      </c>
      <c r="BZ278" s="117"/>
      <c r="CA278" s="118"/>
      <c r="CB278" s="117"/>
      <c r="CC278" s="118"/>
      <c r="CD278" s="117"/>
      <c r="CE278" s="117" t="s">
        <v>1356</v>
      </c>
      <c r="CF278" s="117"/>
      <c r="CG278" s="118"/>
      <c r="CH278" s="117"/>
      <c r="CI278" s="118"/>
      <c r="CJ278" s="117"/>
      <c r="CK278" s="117" t="s">
        <v>1356</v>
      </c>
      <c r="CL278" s="117"/>
      <c r="CM278" s="118"/>
      <c r="CN278" s="117"/>
      <c r="CO278" s="118"/>
      <c r="CP278" s="117"/>
      <c r="CQ278" s="117" t="s">
        <v>1356</v>
      </c>
      <c r="CR278" s="117"/>
      <c r="CS278" s="118"/>
      <c r="CT278" s="117"/>
      <c r="CU278" s="118"/>
      <c r="CV278" s="117"/>
      <c r="CW278" s="117" t="s">
        <v>1356</v>
      </c>
      <c r="CX278" s="117"/>
      <c r="CY278" s="118"/>
      <c r="CZ278" s="117"/>
      <c r="DA278" s="118"/>
      <c r="DB278" s="129" t="s">
        <v>6962</v>
      </c>
      <c r="DC278" s="130" t="s">
        <v>105</v>
      </c>
    </row>
    <row r="279" spans="1:107" s="40" customFormat="1" ht="14.55" customHeight="1" x14ac:dyDescent="0.3">
      <c r="A279" s="42" t="s">
        <v>4219</v>
      </c>
      <c r="B279" s="42" t="s">
        <v>5837</v>
      </c>
      <c r="C279" s="42" t="s">
        <v>5838</v>
      </c>
      <c r="D279" s="42" t="s">
        <v>5839</v>
      </c>
      <c r="E279" s="42" t="s">
        <v>5840</v>
      </c>
      <c r="F279" s="42" t="s">
        <v>734</v>
      </c>
      <c r="G279" s="42" t="s">
        <v>4237</v>
      </c>
      <c r="H279" s="43" t="s">
        <v>686</v>
      </c>
      <c r="I279" s="44">
        <v>901</v>
      </c>
      <c r="J279" s="44">
        <v>90150</v>
      </c>
      <c r="K279" s="45">
        <v>4</v>
      </c>
      <c r="L279" s="42" t="s">
        <v>5841</v>
      </c>
      <c r="M279" s="42" t="s">
        <v>1177</v>
      </c>
      <c r="N279" s="42" t="s">
        <v>5842</v>
      </c>
      <c r="O279" s="42"/>
      <c r="P279" s="42"/>
      <c r="Q279" s="42"/>
      <c r="R279" s="42" t="s">
        <v>60</v>
      </c>
      <c r="S279" s="42"/>
      <c r="T279" s="42"/>
      <c r="U279" s="42"/>
      <c r="V279" s="42"/>
      <c r="W279" s="42" t="s">
        <v>5843</v>
      </c>
      <c r="X279" s="42" t="s">
        <v>5844</v>
      </c>
      <c r="Y279" s="42" t="s">
        <v>5845</v>
      </c>
      <c r="Z279" s="42"/>
      <c r="AA279" s="42"/>
      <c r="AB279" s="42">
        <v>90150085</v>
      </c>
      <c r="AC279" s="42">
        <v>90150085001</v>
      </c>
      <c r="AD279" s="42">
        <v>90150085001001</v>
      </c>
      <c r="AE279" s="45">
        <v>5</v>
      </c>
      <c r="AF279" s="45" t="s">
        <v>772</v>
      </c>
      <c r="AG279" s="46" t="s">
        <v>66</v>
      </c>
      <c r="AH279" s="47" t="s">
        <v>5846</v>
      </c>
      <c r="AI279" s="48" t="s">
        <v>66</v>
      </c>
      <c r="AJ279" s="49" t="s">
        <v>6938</v>
      </c>
      <c r="AK279" s="50" t="s">
        <v>67</v>
      </c>
      <c r="AL279" s="58">
        <v>45574</v>
      </c>
      <c r="AM279" s="52" t="s">
        <v>66</v>
      </c>
      <c r="AN279" s="42"/>
      <c r="AO279" s="42"/>
      <c r="AP279" s="42"/>
      <c r="AQ279" s="53">
        <f t="shared" si="15"/>
        <v>2</v>
      </c>
      <c r="AR279" s="54">
        <f t="shared" si="16"/>
        <v>0</v>
      </c>
      <c r="AS279" s="55">
        <f t="shared" si="17"/>
        <v>2</v>
      </c>
      <c r="AT279" s="96" t="s">
        <v>6807</v>
      </c>
      <c r="AU279" s="96" t="s">
        <v>6808</v>
      </c>
      <c r="AV279" s="96" t="s">
        <v>6809</v>
      </c>
      <c r="AW279" s="97" t="s">
        <v>6810</v>
      </c>
      <c r="AX279" s="96" t="s">
        <v>6809</v>
      </c>
      <c r="AY279" s="98" t="s">
        <v>6810</v>
      </c>
      <c r="AZ279" s="96" t="s">
        <v>743</v>
      </c>
      <c r="BA279" s="96" t="s">
        <v>6749</v>
      </c>
      <c r="BB279" s="96" t="s">
        <v>6811</v>
      </c>
      <c r="BC279" s="98" t="s">
        <v>6812</v>
      </c>
      <c r="BD279" s="96" t="s">
        <v>6811</v>
      </c>
      <c r="BE279" s="98" t="s">
        <v>6812</v>
      </c>
      <c r="BF279" s="96"/>
      <c r="BG279" s="96" t="s">
        <v>1356</v>
      </c>
      <c r="BH279" s="96"/>
      <c r="BI279" s="98"/>
      <c r="BJ279" s="96"/>
      <c r="BK279" s="98"/>
      <c r="BL279" s="96"/>
      <c r="BM279" s="96" t="s">
        <v>1356</v>
      </c>
      <c r="BN279" s="96"/>
      <c r="BO279" s="98"/>
      <c r="BP279" s="96"/>
      <c r="BQ279" s="98"/>
      <c r="BR279" s="96"/>
      <c r="BS279" s="96" t="s">
        <v>1356</v>
      </c>
      <c r="BT279" s="96"/>
      <c r="BU279" s="98"/>
      <c r="BV279" s="96"/>
      <c r="BW279" s="98"/>
      <c r="BX279" s="117"/>
      <c r="BY279" s="117" t="s">
        <v>1356</v>
      </c>
      <c r="BZ279" s="117"/>
      <c r="CA279" s="118"/>
      <c r="CB279" s="117"/>
      <c r="CC279" s="118"/>
      <c r="CD279" s="117"/>
      <c r="CE279" s="117" t="s">
        <v>1356</v>
      </c>
      <c r="CF279" s="117"/>
      <c r="CG279" s="118"/>
      <c r="CH279" s="117"/>
      <c r="CI279" s="118"/>
      <c r="CJ279" s="117"/>
      <c r="CK279" s="117" t="s">
        <v>1356</v>
      </c>
      <c r="CL279" s="117"/>
      <c r="CM279" s="118"/>
      <c r="CN279" s="117"/>
      <c r="CO279" s="118"/>
      <c r="CP279" s="117"/>
      <c r="CQ279" s="117" t="s">
        <v>1356</v>
      </c>
      <c r="CR279" s="117"/>
      <c r="CS279" s="118"/>
      <c r="CT279" s="117"/>
      <c r="CU279" s="118"/>
      <c r="CV279" s="117"/>
      <c r="CW279" s="117" t="s">
        <v>1356</v>
      </c>
      <c r="CX279" s="117"/>
      <c r="CY279" s="118"/>
      <c r="CZ279" s="117"/>
      <c r="DA279" s="118"/>
      <c r="DB279" s="129" t="s">
        <v>6962</v>
      </c>
      <c r="DC279" s="130" t="s">
        <v>105</v>
      </c>
    </row>
    <row r="280" spans="1:107" s="40" customFormat="1" ht="14.55" customHeight="1" x14ac:dyDescent="0.3">
      <c r="A280" s="35" t="s">
        <v>4219</v>
      </c>
      <c r="B280" s="35" t="s">
        <v>6219</v>
      </c>
      <c r="C280" s="35" t="s">
        <v>6220</v>
      </c>
      <c r="D280" s="35" t="s">
        <v>6221</v>
      </c>
      <c r="E280" s="35" t="s">
        <v>6221</v>
      </c>
      <c r="F280" s="35" t="s">
        <v>3036</v>
      </c>
      <c r="G280" s="35" t="s">
        <v>4237</v>
      </c>
      <c r="H280" s="27" t="s">
        <v>686</v>
      </c>
      <c r="I280" s="62">
        <v>901</v>
      </c>
      <c r="J280" s="62">
        <v>90150</v>
      </c>
      <c r="K280" s="63">
        <v>4</v>
      </c>
      <c r="L280" s="35" t="s">
        <v>6222</v>
      </c>
      <c r="M280" s="35"/>
      <c r="N280" s="35" t="s">
        <v>6223</v>
      </c>
      <c r="O280" s="35" t="s">
        <v>4655</v>
      </c>
      <c r="P280" s="35"/>
      <c r="Q280" s="35"/>
      <c r="R280" s="35" t="s">
        <v>60</v>
      </c>
      <c r="S280" s="35"/>
      <c r="T280" s="35" t="s">
        <v>4485</v>
      </c>
      <c r="U280" s="35"/>
      <c r="V280" s="35"/>
      <c r="W280" s="35" t="s">
        <v>5238</v>
      </c>
      <c r="X280" s="35" t="s">
        <v>6224</v>
      </c>
      <c r="Y280" s="35" t="s">
        <v>6225</v>
      </c>
      <c r="Z280" s="35"/>
      <c r="AA280" s="35"/>
      <c r="AB280" s="35">
        <v>90150517</v>
      </c>
      <c r="AC280" s="35">
        <v>90150517006</v>
      </c>
      <c r="AD280" s="35">
        <v>90150517006035</v>
      </c>
      <c r="AE280" s="63">
        <v>5</v>
      </c>
      <c r="AF280" s="63" t="s">
        <v>772</v>
      </c>
      <c r="AG280" s="46" t="s">
        <v>66</v>
      </c>
      <c r="AH280" s="64">
        <v>80216</v>
      </c>
      <c r="AI280" s="65" t="s">
        <v>66</v>
      </c>
      <c r="AJ280" s="32" t="s">
        <v>6938</v>
      </c>
      <c r="AK280" s="33" t="s">
        <v>67</v>
      </c>
      <c r="AL280" s="34">
        <v>45574</v>
      </c>
      <c r="AM280" s="52" t="s">
        <v>66</v>
      </c>
      <c r="AN280" s="35"/>
      <c r="AO280" s="35"/>
      <c r="AP280" s="35"/>
      <c r="AQ280" s="37">
        <f t="shared" si="15"/>
        <v>1</v>
      </c>
      <c r="AR280" s="38">
        <f t="shared" si="16"/>
        <v>0</v>
      </c>
      <c r="AS280" s="39">
        <f t="shared" si="17"/>
        <v>1</v>
      </c>
      <c r="AT280" s="99" t="s">
        <v>7032</v>
      </c>
      <c r="AU280" s="99" t="s">
        <v>3361</v>
      </c>
      <c r="AV280" s="99" t="s">
        <v>7033</v>
      </c>
      <c r="AW280" s="100">
        <v>45572</v>
      </c>
      <c r="AX280" s="99"/>
      <c r="AY280" s="101"/>
      <c r="AZ280" s="99"/>
      <c r="BA280" s="99" t="s">
        <v>1356</v>
      </c>
      <c r="BB280" s="99"/>
      <c r="BC280" s="101"/>
      <c r="BD280" s="99"/>
      <c r="BE280" s="101"/>
      <c r="BF280" s="99"/>
      <c r="BG280" s="99" t="s">
        <v>1356</v>
      </c>
      <c r="BH280" s="99"/>
      <c r="BI280" s="101"/>
      <c r="BJ280" s="99"/>
      <c r="BK280" s="101"/>
      <c r="BL280" s="99"/>
      <c r="BM280" s="99" t="s">
        <v>1356</v>
      </c>
      <c r="BN280" s="99"/>
      <c r="BO280" s="101"/>
      <c r="BP280" s="99"/>
      <c r="BQ280" s="101"/>
      <c r="BR280" s="99"/>
      <c r="BS280" s="99" t="s">
        <v>1356</v>
      </c>
      <c r="BT280" s="99"/>
      <c r="BU280" s="101"/>
      <c r="BV280" s="99"/>
      <c r="BW280" s="101"/>
      <c r="BX280" s="119"/>
      <c r="BY280" s="119" t="s">
        <v>1356</v>
      </c>
      <c r="BZ280" s="119"/>
      <c r="CA280" s="120"/>
      <c r="CB280" s="119"/>
      <c r="CC280" s="120"/>
      <c r="CD280" s="119"/>
      <c r="CE280" s="119" t="s">
        <v>1356</v>
      </c>
      <c r="CF280" s="119"/>
      <c r="CG280" s="120"/>
      <c r="CH280" s="119"/>
      <c r="CI280" s="120"/>
      <c r="CJ280" s="119"/>
      <c r="CK280" s="119" t="s">
        <v>1356</v>
      </c>
      <c r="CL280" s="119"/>
      <c r="CM280" s="120"/>
      <c r="CN280" s="119"/>
      <c r="CO280" s="120"/>
      <c r="CP280" s="119"/>
      <c r="CQ280" s="119" t="s">
        <v>1356</v>
      </c>
      <c r="CR280" s="119"/>
      <c r="CS280" s="120"/>
      <c r="CT280" s="119"/>
      <c r="CU280" s="120"/>
      <c r="CV280" s="119"/>
      <c r="CW280" s="119" t="s">
        <v>1356</v>
      </c>
      <c r="CX280" s="119"/>
      <c r="CY280" s="120"/>
      <c r="CZ280" s="119"/>
      <c r="DA280" s="120"/>
      <c r="DB280" s="129" t="s">
        <v>6962</v>
      </c>
      <c r="DC280" s="131" t="s">
        <v>105</v>
      </c>
    </row>
    <row r="281" spans="1:107" s="40" customFormat="1" ht="14.55" customHeight="1" x14ac:dyDescent="0.3">
      <c r="A281" s="35" t="s">
        <v>3456</v>
      </c>
      <c r="B281" s="35" t="s">
        <v>4035</v>
      </c>
      <c r="C281" s="35" t="s">
        <v>4036</v>
      </c>
      <c r="D281" s="35" t="s">
        <v>3387</v>
      </c>
      <c r="E281" s="35" t="s">
        <v>3387</v>
      </c>
      <c r="F281" s="35" t="s">
        <v>2498</v>
      </c>
      <c r="G281" s="35" t="s">
        <v>1059</v>
      </c>
      <c r="H281" s="27" t="s">
        <v>6924</v>
      </c>
      <c r="I281" s="62">
        <v>1801</v>
      </c>
      <c r="J281" s="62">
        <v>180150</v>
      </c>
      <c r="K281" s="63">
        <v>4</v>
      </c>
      <c r="L281" s="35" t="s">
        <v>3388</v>
      </c>
      <c r="M281" s="35" t="s">
        <v>3389</v>
      </c>
      <c r="N281" s="35" t="s">
        <v>3390</v>
      </c>
      <c r="O281" s="35"/>
      <c r="P281" s="35"/>
      <c r="Q281" s="35"/>
      <c r="R281" s="35"/>
      <c r="S281" s="35"/>
      <c r="T281" s="35"/>
      <c r="U281" s="35" t="s">
        <v>3388</v>
      </c>
      <c r="V281" s="35"/>
      <c r="W281" s="35" t="s">
        <v>3391</v>
      </c>
      <c r="X281" s="35" t="s">
        <v>3392</v>
      </c>
      <c r="Y281" s="35" t="s">
        <v>3393</v>
      </c>
      <c r="Z281" s="35"/>
      <c r="AA281" s="35"/>
      <c r="AB281" s="35">
        <v>180150029</v>
      </c>
      <c r="AC281" s="35">
        <v>180150029009</v>
      </c>
      <c r="AD281" s="35">
        <v>180150029009005</v>
      </c>
      <c r="AE281" s="63">
        <v>2</v>
      </c>
      <c r="AF281" s="63" t="s">
        <v>64</v>
      </c>
      <c r="AG281" s="29" t="s">
        <v>65</v>
      </c>
      <c r="AH281" s="75"/>
      <c r="AI281" s="65" t="s">
        <v>66</v>
      </c>
      <c r="AJ281" s="32" t="s">
        <v>6938</v>
      </c>
      <c r="AK281" s="33" t="s">
        <v>67</v>
      </c>
      <c r="AL281" s="76">
        <v>45580</v>
      </c>
      <c r="AM281" s="35" t="s">
        <v>66</v>
      </c>
      <c r="AN281" s="35"/>
      <c r="AO281" s="35"/>
      <c r="AP281" s="35"/>
      <c r="AQ281" s="37">
        <f t="shared" si="15"/>
        <v>0</v>
      </c>
      <c r="AR281" s="38">
        <f t="shared" si="16"/>
        <v>0</v>
      </c>
      <c r="AS281" s="39">
        <f t="shared" si="17"/>
        <v>0</v>
      </c>
      <c r="AT281" s="99"/>
      <c r="AU281" s="99" t="s">
        <v>1356</v>
      </c>
      <c r="AV281" s="99"/>
      <c r="AW281" s="100"/>
      <c r="AX281" s="99"/>
      <c r="AY281" s="101"/>
      <c r="AZ281" s="99"/>
      <c r="BA281" s="99" t="s">
        <v>1356</v>
      </c>
      <c r="BB281" s="99"/>
      <c r="BC281" s="101"/>
      <c r="BD281" s="99"/>
      <c r="BE281" s="101"/>
      <c r="BF281" s="99"/>
      <c r="BG281" s="99" t="s">
        <v>1356</v>
      </c>
      <c r="BH281" s="99"/>
      <c r="BI281" s="101"/>
      <c r="BJ281" s="99"/>
      <c r="BK281" s="101"/>
      <c r="BL281" s="99"/>
      <c r="BM281" s="99" t="s">
        <v>1356</v>
      </c>
      <c r="BN281" s="99"/>
      <c r="BO281" s="101"/>
      <c r="BP281" s="99"/>
      <c r="BQ281" s="101"/>
      <c r="BR281" s="99"/>
      <c r="BS281" s="99" t="s">
        <v>1356</v>
      </c>
      <c r="BT281" s="99"/>
      <c r="BU281" s="101"/>
      <c r="BV281" s="99"/>
      <c r="BW281" s="101"/>
      <c r="BX281" s="119"/>
      <c r="BY281" s="119" t="s">
        <v>1356</v>
      </c>
      <c r="BZ281" s="119"/>
      <c r="CA281" s="120"/>
      <c r="CB281" s="119"/>
      <c r="CC281" s="120"/>
      <c r="CD281" s="119"/>
      <c r="CE281" s="119" t="s">
        <v>1356</v>
      </c>
      <c r="CF281" s="119"/>
      <c r="CG281" s="120"/>
      <c r="CH281" s="119"/>
      <c r="CI281" s="120"/>
      <c r="CJ281" s="119"/>
      <c r="CK281" s="119" t="s">
        <v>1356</v>
      </c>
      <c r="CL281" s="119"/>
      <c r="CM281" s="120"/>
      <c r="CN281" s="119"/>
      <c r="CO281" s="120"/>
      <c r="CP281" s="119"/>
      <c r="CQ281" s="119" t="s">
        <v>1356</v>
      </c>
      <c r="CR281" s="119"/>
      <c r="CS281" s="120"/>
      <c r="CT281" s="119"/>
      <c r="CU281" s="120"/>
      <c r="CV281" s="119"/>
      <c r="CW281" s="119" t="s">
        <v>1356</v>
      </c>
      <c r="CX281" s="119"/>
      <c r="CY281" s="120"/>
      <c r="CZ281" s="119"/>
      <c r="DA281" s="120"/>
      <c r="DB281" s="128" t="s">
        <v>7085</v>
      </c>
      <c r="DC281" s="131" t="s">
        <v>253</v>
      </c>
    </row>
    <row r="282" spans="1:107" s="40" customFormat="1" ht="14.55" customHeight="1" x14ac:dyDescent="0.3">
      <c r="A282" s="35" t="s">
        <v>3456</v>
      </c>
      <c r="B282" s="35" t="s">
        <v>4037</v>
      </c>
      <c r="C282" s="35" t="s">
        <v>4038</v>
      </c>
      <c r="D282" s="35" t="s">
        <v>3394</v>
      </c>
      <c r="E282" s="35" t="s">
        <v>3395</v>
      </c>
      <c r="F282" s="35" t="s">
        <v>596</v>
      </c>
      <c r="G282" s="35" t="s">
        <v>1059</v>
      </c>
      <c r="H282" s="27" t="s">
        <v>6924</v>
      </c>
      <c r="I282" s="62">
        <v>1801</v>
      </c>
      <c r="J282" s="62">
        <v>180150</v>
      </c>
      <c r="K282" s="63">
        <v>3</v>
      </c>
      <c r="L282" s="35" t="s">
        <v>3396</v>
      </c>
      <c r="M282" s="35" t="s">
        <v>3397</v>
      </c>
      <c r="N282" s="35" t="s">
        <v>3398</v>
      </c>
      <c r="O282" s="35"/>
      <c r="P282" s="35"/>
      <c r="Q282" s="35"/>
      <c r="R282" s="35"/>
      <c r="S282" s="35"/>
      <c r="T282" s="35"/>
      <c r="U282" s="35"/>
      <c r="V282" s="35"/>
      <c r="W282" s="35" t="s">
        <v>3399</v>
      </c>
      <c r="X282" s="35"/>
      <c r="Y282" s="35" t="s">
        <v>3400</v>
      </c>
      <c r="Z282" s="35"/>
      <c r="AA282" s="35"/>
      <c r="AB282" s="35"/>
      <c r="AC282" s="35"/>
      <c r="AD282" s="35"/>
      <c r="AE282" s="63">
        <v>2</v>
      </c>
      <c r="AF282" s="63" t="s">
        <v>64</v>
      </c>
      <c r="AG282" s="29" t="s">
        <v>65</v>
      </c>
      <c r="AH282" s="75"/>
      <c r="AI282" s="65" t="s">
        <v>66</v>
      </c>
      <c r="AJ282" s="32" t="s">
        <v>6938</v>
      </c>
      <c r="AK282" s="33" t="s">
        <v>67</v>
      </c>
      <c r="AL282" s="76">
        <v>45582</v>
      </c>
      <c r="AM282" s="35" t="s">
        <v>66</v>
      </c>
      <c r="AN282" s="35"/>
      <c r="AO282" s="35"/>
      <c r="AP282" s="35"/>
      <c r="AQ282" s="37">
        <f t="shared" si="15"/>
        <v>0</v>
      </c>
      <c r="AR282" s="38">
        <f t="shared" si="16"/>
        <v>0</v>
      </c>
      <c r="AS282" s="39">
        <f t="shared" si="17"/>
        <v>0</v>
      </c>
      <c r="AT282" s="99"/>
      <c r="AU282" s="99" t="s">
        <v>1356</v>
      </c>
      <c r="AV282" s="99"/>
      <c r="AW282" s="100"/>
      <c r="AX282" s="99"/>
      <c r="AY282" s="101"/>
      <c r="AZ282" s="99"/>
      <c r="BA282" s="99" t="s">
        <v>1356</v>
      </c>
      <c r="BB282" s="99"/>
      <c r="BC282" s="101"/>
      <c r="BD282" s="99"/>
      <c r="BE282" s="101"/>
      <c r="BF282" s="99"/>
      <c r="BG282" s="99" t="s">
        <v>1356</v>
      </c>
      <c r="BH282" s="99"/>
      <c r="BI282" s="101"/>
      <c r="BJ282" s="99"/>
      <c r="BK282" s="101"/>
      <c r="BL282" s="99"/>
      <c r="BM282" s="99" t="s">
        <v>1356</v>
      </c>
      <c r="BN282" s="99"/>
      <c r="BO282" s="101"/>
      <c r="BP282" s="99"/>
      <c r="BQ282" s="101"/>
      <c r="BR282" s="99"/>
      <c r="BS282" s="99" t="s">
        <v>1356</v>
      </c>
      <c r="BT282" s="99"/>
      <c r="BU282" s="101"/>
      <c r="BV282" s="99"/>
      <c r="BW282" s="101"/>
      <c r="BX282" s="119"/>
      <c r="BY282" s="119" t="s">
        <v>1356</v>
      </c>
      <c r="BZ282" s="119"/>
      <c r="CA282" s="120"/>
      <c r="CB282" s="119"/>
      <c r="CC282" s="120"/>
      <c r="CD282" s="119"/>
      <c r="CE282" s="119" t="s">
        <v>1356</v>
      </c>
      <c r="CF282" s="119"/>
      <c r="CG282" s="120"/>
      <c r="CH282" s="119"/>
      <c r="CI282" s="120"/>
      <c r="CJ282" s="119"/>
      <c r="CK282" s="119" t="s">
        <v>1356</v>
      </c>
      <c r="CL282" s="119"/>
      <c r="CM282" s="120"/>
      <c r="CN282" s="119"/>
      <c r="CO282" s="120"/>
      <c r="CP282" s="119"/>
      <c r="CQ282" s="119" t="s">
        <v>1356</v>
      </c>
      <c r="CR282" s="119"/>
      <c r="CS282" s="120"/>
      <c r="CT282" s="119"/>
      <c r="CU282" s="120"/>
      <c r="CV282" s="119"/>
      <c r="CW282" s="119" t="s">
        <v>1356</v>
      </c>
      <c r="CX282" s="119"/>
      <c r="CY282" s="120"/>
      <c r="CZ282" s="119"/>
      <c r="DA282" s="120"/>
      <c r="DB282" s="128" t="s">
        <v>7085</v>
      </c>
      <c r="DC282" s="131" t="s">
        <v>2935</v>
      </c>
    </row>
    <row r="283" spans="1:107" s="40" customFormat="1" ht="14.55" customHeight="1" x14ac:dyDescent="0.3">
      <c r="A283" s="35" t="s">
        <v>3456</v>
      </c>
      <c r="B283" s="35" t="s">
        <v>4039</v>
      </c>
      <c r="C283" s="35" t="s">
        <v>4040</v>
      </c>
      <c r="D283" s="35" t="s">
        <v>3401</v>
      </c>
      <c r="E283" s="35" t="s">
        <v>70</v>
      </c>
      <c r="F283" s="35" t="s">
        <v>201</v>
      </c>
      <c r="G283" s="35" t="s">
        <v>1941</v>
      </c>
      <c r="H283" s="27" t="s">
        <v>6927</v>
      </c>
      <c r="I283" s="62">
        <v>607</v>
      </c>
      <c r="J283" s="62">
        <v>60750</v>
      </c>
      <c r="K283" s="63">
        <v>4</v>
      </c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 t="s">
        <v>3402</v>
      </c>
      <c r="X283" s="35"/>
      <c r="Y283" s="35" t="s">
        <v>3403</v>
      </c>
      <c r="Z283" s="35">
        <v>-78.665539386999995</v>
      </c>
      <c r="AA283" s="35">
        <v>-1.6143831340000001</v>
      </c>
      <c r="AB283" s="35">
        <v>60750999</v>
      </c>
      <c r="AC283" s="35">
        <v>60750999049</v>
      </c>
      <c r="AD283" s="35">
        <v>60750999049001</v>
      </c>
      <c r="AE283" s="63">
        <v>2</v>
      </c>
      <c r="AF283" s="63" t="s">
        <v>64</v>
      </c>
      <c r="AG283" s="29" t="s">
        <v>65</v>
      </c>
      <c r="AH283" s="75"/>
      <c r="AI283" s="65" t="s">
        <v>66</v>
      </c>
      <c r="AJ283" s="32" t="s">
        <v>6938</v>
      </c>
      <c r="AK283" s="33" t="s">
        <v>67</v>
      </c>
      <c r="AL283" s="76">
        <v>45590</v>
      </c>
      <c r="AM283" s="35" t="s">
        <v>66</v>
      </c>
      <c r="AN283" s="35"/>
      <c r="AO283" s="35"/>
      <c r="AP283" s="35"/>
      <c r="AQ283" s="37">
        <f t="shared" si="15"/>
        <v>0</v>
      </c>
      <c r="AR283" s="38">
        <f t="shared" si="16"/>
        <v>0</v>
      </c>
      <c r="AS283" s="39">
        <f t="shared" si="17"/>
        <v>0</v>
      </c>
      <c r="AT283" s="99"/>
      <c r="AU283" s="99" t="s">
        <v>1356</v>
      </c>
      <c r="AV283" s="99"/>
      <c r="AW283" s="100"/>
      <c r="AX283" s="99"/>
      <c r="AY283" s="101"/>
      <c r="AZ283" s="99"/>
      <c r="BA283" s="99" t="s">
        <v>1356</v>
      </c>
      <c r="BB283" s="99"/>
      <c r="BC283" s="101"/>
      <c r="BD283" s="99"/>
      <c r="BE283" s="101"/>
      <c r="BF283" s="99"/>
      <c r="BG283" s="99" t="s">
        <v>1356</v>
      </c>
      <c r="BH283" s="99"/>
      <c r="BI283" s="101"/>
      <c r="BJ283" s="99"/>
      <c r="BK283" s="101"/>
      <c r="BL283" s="99"/>
      <c r="BM283" s="99" t="s">
        <v>1356</v>
      </c>
      <c r="BN283" s="99"/>
      <c r="BO283" s="101"/>
      <c r="BP283" s="99"/>
      <c r="BQ283" s="101"/>
      <c r="BR283" s="99"/>
      <c r="BS283" s="99" t="s">
        <v>1356</v>
      </c>
      <c r="BT283" s="99"/>
      <c r="BU283" s="101"/>
      <c r="BV283" s="99"/>
      <c r="BW283" s="101"/>
      <c r="BX283" s="119"/>
      <c r="BY283" s="119" t="s">
        <v>1356</v>
      </c>
      <c r="BZ283" s="119"/>
      <c r="CA283" s="120"/>
      <c r="CB283" s="119"/>
      <c r="CC283" s="120"/>
      <c r="CD283" s="119"/>
      <c r="CE283" s="119" t="s">
        <v>1356</v>
      </c>
      <c r="CF283" s="119"/>
      <c r="CG283" s="120"/>
      <c r="CH283" s="119"/>
      <c r="CI283" s="120"/>
      <c r="CJ283" s="119"/>
      <c r="CK283" s="119" t="s">
        <v>1356</v>
      </c>
      <c r="CL283" s="119"/>
      <c r="CM283" s="120"/>
      <c r="CN283" s="119"/>
      <c r="CO283" s="120"/>
      <c r="CP283" s="119"/>
      <c r="CQ283" s="119" t="s">
        <v>1356</v>
      </c>
      <c r="CR283" s="119"/>
      <c r="CS283" s="120"/>
      <c r="CT283" s="119"/>
      <c r="CU283" s="120"/>
      <c r="CV283" s="119"/>
      <c r="CW283" s="119" t="s">
        <v>1356</v>
      </c>
      <c r="CX283" s="119"/>
      <c r="CY283" s="120"/>
      <c r="CZ283" s="119"/>
      <c r="DA283" s="120"/>
      <c r="DB283" s="128" t="s">
        <v>7085</v>
      </c>
      <c r="DC283" s="131" t="s">
        <v>2935</v>
      </c>
    </row>
    <row r="284" spans="1:107" s="40" customFormat="1" ht="14.55" customHeight="1" x14ac:dyDescent="0.3">
      <c r="A284" s="42" t="s">
        <v>4219</v>
      </c>
      <c r="B284" s="42" t="s">
        <v>6306</v>
      </c>
      <c r="C284" s="42" t="s">
        <v>6307</v>
      </c>
      <c r="D284" s="42" t="s">
        <v>6308</v>
      </c>
      <c r="E284" s="42" t="s">
        <v>70</v>
      </c>
      <c r="F284" s="42" t="s">
        <v>4289</v>
      </c>
      <c r="G284" s="42" t="s">
        <v>4230</v>
      </c>
      <c r="H284" s="43" t="s">
        <v>6934</v>
      </c>
      <c r="I284" s="44">
        <v>2401</v>
      </c>
      <c r="J284" s="44">
        <v>240153</v>
      </c>
      <c r="K284" s="45">
        <v>4</v>
      </c>
      <c r="L284" s="42" t="s">
        <v>4290</v>
      </c>
      <c r="M284" s="42"/>
      <c r="N284" s="42" t="s">
        <v>810</v>
      </c>
      <c r="O284" s="42"/>
      <c r="P284" s="42"/>
      <c r="Q284" s="42"/>
      <c r="R284" s="42" t="s">
        <v>60</v>
      </c>
      <c r="S284" s="42"/>
      <c r="T284" s="42"/>
      <c r="U284" s="42" t="s">
        <v>6309</v>
      </c>
      <c r="V284" s="42"/>
      <c r="W284" s="42" t="s">
        <v>6310</v>
      </c>
      <c r="X284" s="42" t="s">
        <v>6311</v>
      </c>
      <c r="Y284" s="42" t="s">
        <v>6312</v>
      </c>
      <c r="Z284" s="42"/>
      <c r="AA284" s="42"/>
      <c r="AB284" s="42">
        <v>240153904</v>
      </c>
      <c r="AC284" s="42">
        <v>240153904003</v>
      </c>
      <c r="AD284" s="42">
        <v>240153904003018</v>
      </c>
      <c r="AE284" s="45">
        <v>5</v>
      </c>
      <c r="AF284" s="45" t="s">
        <v>772</v>
      </c>
      <c r="AG284" s="46" t="s">
        <v>66</v>
      </c>
      <c r="AH284" s="47" t="s">
        <v>6959</v>
      </c>
      <c r="AI284" s="48" t="s">
        <v>66</v>
      </c>
      <c r="AJ284" s="49" t="s">
        <v>6938</v>
      </c>
      <c r="AK284" s="50" t="s">
        <v>67</v>
      </c>
      <c r="AL284" s="58">
        <v>45574</v>
      </c>
      <c r="AM284" s="52" t="s">
        <v>66</v>
      </c>
      <c r="AN284" s="42"/>
      <c r="AO284" s="42"/>
      <c r="AP284" s="42"/>
      <c r="AQ284" s="53">
        <f t="shared" si="15"/>
        <v>0</v>
      </c>
      <c r="AR284" s="54">
        <f t="shared" si="16"/>
        <v>2</v>
      </c>
      <c r="AS284" s="55">
        <f t="shared" si="17"/>
        <v>2</v>
      </c>
      <c r="AT284" s="96"/>
      <c r="AU284" s="96" t="s">
        <v>1356</v>
      </c>
      <c r="AV284" s="96"/>
      <c r="AW284" s="97"/>
      <c r="AX284" s="96"/>
      <c r="AY284" s="98"/>
      <c r="AZ284" s="96"/>
      <c r="BA284" s="96" t="s">
        <v>1356</v>
      </c>
      <c r="BB284" s="96"/>
      <c r="BC284" s="98"/>
      <c r="BD284" s="96"/>
      <c r="BE284" s="98"/>
      <c r="BF284" s="96"/>
      <c r="BG284" s="96" t="s">
        <v>1356</v>
      </c>
      <c r="BH284" s="96"/>
      <c r="BI284" s="98"/>
      <c r="BJ284" s="96"/>
      <c r="BK284" s="98"/>
      <c r="BL284" s="96"/>
      <c r="BM284" s="96" t="s">
        <v>1356</v>
      </c>
      <c r="BN284" s="96"/>
      <c r="BO284" s="98"/>
      <c r="BP284" s="96"/>
      <c r="BQ284" s="98"/>
      <c r="BR284" s="96"/>
      <c r="BS284" s="96" t="s">
        <v>1356</v>
      </c>
      <c r="BT284" s="96"/>
      <c r="BU284" s="98"/>
      <c r="BV284" s="96"/>
      <c r="BW284" s="98"/>
      <c r="BX284" s="117" t="s">
        <v>4315</v>
      </c>
      <c r="BY284" s="117" t="s">
        <v>4316</v>
      </c>
      <c r="BZ284" s="117">
        <v>1450</v>
      </c>
      <c r="CA284" s="118">
        <v>45581</v>
      </c>
      <c r="CB284" s="117"/>
      <c r="CC284" s="118"/>
      <c r="CD284" s="117" t="s">
        <v>6132</v>
      </c>
      <c r="CE284" s="117" t="s">
        <v>6133</v>
      </c>
      <c r="CF284" s="117">
        <v>2500</v>
      </c>
      <c r="CG284" s="118">
        <v>45581</v>
      </c>
      <c r="CH284" s="117"/>
      <c r="CI284" s="118"/>
      <c r="CJ284" s="117"/>
      <c r="CK284" s="117" t="s">
        <v>1356</v>
      </c>
      <c r="CL284" s="117"/>
      <c r="CM284" s="118"/>
      <c r="CN284" s="117"/>
      <c r="CO284" s="118"/>
      <c r="CP284" s="117"/>
      <c r="CQ284" s="117" t="s">
        <v>1356</v>
      </c>
      <c r="CR284" s="117"/>
      <c r="CS284" s="118"/>
      <c r="CT284" s="117"/>
      <c r="CU284" s="118"/>
      <c r="CV284" s="117"/>
      <c r="CW284" s="117" t="s">
        <v>1356</v>
      </c>
      <c r="CX284" s="117"/>
      <c r="CY284" s="118"/>
      <c r="CZ284" s="117"/>
      <c r="DA284" s="118"/>
      <c r="DB284" s="129" t="s">
        <v>6962</v>
      </c>
      <c r="DC284" s="130" t="s">
        <v>105</v>
      </c>
    </row>
    <row r="285" spans="1:107" s="40" customFormat="1" ht="14.55" customHeight="1" x14ac:dyDescent="0.3">
      <c r="A285" s="35" t="s">
        <v>4219</v>
      </c>
      <c r="B285" s="35" t="s">
        <v>6321</v>
      </c>
      <c r="C285" s="35" t="s">
        <v>6322</v>
      </c>
      <c r="D285" s="35" t="s">
        <v>6323</v>
      </c>
      <c r="E285" s="35" t="s">
        <v>6324</v>
      </c>
      <c r="F285" s="35" t="s">
        <v>256</v>
      </c>
      <c r="G285" s="35" t="s">
        <v>4237</v>
      </c>
      <c r="H285" s="27" t="s">
        <v>686</v>
      </c>
      <c r="I285" s="62">
        <v>901</v>
      </c>
      <c r="J285" s="62">
        <v>90150</v>
      </c>
      <c r="K285" s="63">
        <v>4</v>
      </c>
      <c r="L285" s="35" t="s">
        <v>3215</v>
      </c>
      <c r="M285" s="35" t="s">
        <v>4370</v>
      </c>
      <c r="N285" s="35" t="s">
        <v>6104</v>
      </c>
      <c r="O285" s="35"/>
      <c r="P285" s="35"/>
      <c r="Q285" s="35" t="s">
        <v>6325</v>
      </c>
      <c r="R285" s="35" t="s">
        <v>6326</v>
      </c>
      <c r="S285" s="35"/>
      <c r="T285" s="35" t="s">
        <v>6327</v>
      </c>
      <c r="U285" s="35"/>
      <c r="V285" s="35"/>
      <c r="W285" s="35" t="s">
        <v>6328</v>
      </c>
      <c r="X285" s="35" t="s">
        <v>6329</v>
      </c>
      <c r="Y285" s="35" t="s">
        <v>6330</v>
      </c>
      <c r="Z285" s="35"/>
      <c r="AA285" s="35"/>
      <c r="AB285" s="35">
        <v>90150321</v>
      </c>
      <c r="AC285" s="35">
        <v>90150321010</v>
      </c>
      <c r="AD285" s="35">
        <v>90150321010012</v>
      </c>
      <c r="AE285" s="63">
        <v>5</v>
      </c>
      <c r="AF285" s="63" t="s">
        <v>772</v>
      </c>
      <c r="AG285" s="46" t="s">
        <v>66</v>
      </c>
      <c r="AH285" s="64">
        <v>80786</v>
      </c>
      <c r="AI285" s="65" t="s">
        <v>66</v>
      </c>
      <c r="AJ285" s="32" t="s">
        <v>6938</v>
      </c>
      <c r="AK285" s="33" t="s">
        <v>67</v>
      </c>
      <c r="AL285" s="58">
        <v>45574</v>
      </c>
      <c r="AM285" s="52" t="s">
        <v>66</v>
      </c>
      <c r="AN285" s="35"/>
      <c r="AO285" s="35"/>
      <c r="AP285" s="35"/>
      <c r="AQ285" s="37">
        <f t="shared" si="15"/>
        <v>5</v>
      </c>
      <c r="AR285" s="38">
        <f t="shared" si="16"/>
        <v>0</v>
      </c>
      <c r="AS285" s="39">
        <f t="shared" si="17"/>
        <v>5</v>
      </c>
      <c r="AT285" s="99" t="s">
        <v>7007</v>
      </c>
      <c r="AU285" s="99" t="s">
        <v>7008</v>
      </c>
      <c r="AV285" s="99" t="s">
        <v>7009</v>
      </c>
      <c r="AW285" s="100">
        <v>44927</v>
      </c>
      <c r="AX285" s="99"/>
      <c r="AY285" s="101"/>
      <c r="AZ285" s="99" t="s">
        <v>7010</v>
      </c>
      <c r="BA285" s="99" t="s">
        <v>7011</v>
      </c>
      <c r="BB285" s="99" t="s">
        <v>7012</v>
      </c>
      <c r="BC285" s="101">
        <v>44927</v>
      </c>
      <c r="BD285" s="99"/>
      <c r="BE285" s="101"/>
      <c r="BF285" s="99" t="s">
        <v>7013</v>
      </c>
      <c r="BG285" s="99" t="s">
        <v>7014</v>
      </c>
      <c r="BH285" s="99" t="s">
        <v>7015</v>
      </c>
      <c r="BI285" s="101">
        <v>44927</v>
      </c>
      <c r="BJ285" s="99"/>
      <c r="BK285" s="101"/>
      <c r="BL285" s="99" t="s">
        <v>7016</v>
      </c>
      <c r="BM285" s="99" t="s">
        <v>7017</v>
      </c>
      <c r="BN285" s="99" t="s">
        <v>7018</v>
      </c>
      <c r="BO285" s="101">
        <v>45474</v>
      </c>
      <c r="BP285" s="99"/>
      <c r="BQ285" s="101"/>
      <c r="BR285" s="99" t="s">
        <v>7019</v>
      </c>
      <c r="BS285" s="99" t="s">
        <v>2861</v>
      </c>
      <c r="BT285" s="99" t="s">
        <v>7020</v>
      </c>
      <c r="BU285" s="101">
        <v>44927</v>
      </c>
      <c r="BV285" s="99"/>
      <c r="BW285" s="101"/>
      <c r="BX285" s="119"/>
      <c r="BY285" s="119" t="s">
        <v>1356</v>
      </c>
      <c r="BZ285" s="119"/>
      <c r="CA285" s="120"/>
      <c r="CB285" s="119"/>
      <c r="CC285" s="120"/>
      <c r="CD285" s="119"/>
      <c r="CE285" s="119" t="s">
        <v>1356</v>
      </c>
      <c r="CF285" s="119"/>
      <c r="CG285" s="120"/>
      <c r="CH285" s="119"/>
      <c r="CI285" s="120"/>
      <c r="CJ285" s="119"/>
      <c r="CK285" s="119" t="s">
        <v>1356</v>
      </c>
      <c r="CL285" s="119"/>
      <c r="CM285" s="120"/>
      <c r="CN285" s="119"/>
      <c r="CO285" s="120"/>
      <c r="CP285" s="119"/>
      <c r="CQ285" s="119" t="s">
        <v>1356</v>
      </c>
      <c r="CR285" s="119"/>
      <c r="CS285" s="120"/>
      <c r="CT285" s="119"/>
      <c r="CU285" s="120"/>
      <c r="CV285" s="119"/>
      <c r="CW285" s="119" t="s">
        <v>1356</v>
      </c>
      <c r="CX285" s="119"/>
      <c r="CY285" s="120"/>
      <c r="CZ285" s="119"/>
      <c r="DA285" s="120"/>
      <c r="DB285" s="129" t="s">
        <v>6962</v>
      </c>
      <c r="DC285" s="131" t="s">
        <v>105</v>
      </c>
    </row>
    <row r="286" spans="1:107" s="40" customFormat="1" ht="14.55" customHeight="1" x14ac:dyDescent="0.3">
      <c r="A286" s="42" t="s">
        <v>4219</v>
      </c>
      <c r="B286" s="42" t="s">
        <v>6339</v>
      </c>
      <c r="C286" s="42" t="s">
        <v>6340</v>
      </c>
      <c r="D286" s="42" t="s">
        <v>6341</v>
      </c>
      <c r="E286" s="42" t="s">
        <v>6341</v>
      </c>
      <c r="F286" s="42" t="s">
        <v>420</v>
      </c>
      <c r="G286" s="42" t="s">
        <v>4237</v>
      </c>
      <c r="H286" s="43" t="s">
        <v>686</v>
      </c>
      <c r="I286" s="44">
        <v>901</v>
      </c>
      <c r="J286" s="44">
        <v>90150</v>
      </c>
      <c r="K286" s="45">
        <v>4</v>
      </c>
      <c r="L286" s="42" t="s">
        <v>4446</v>
      </c>
      <c r="M286" s="42" t="s">
        <v>258</v>
      </c>
      <c r="N286" s="42" t="s">
        <v>258</v>
      </c>
      <c r="O286" s="42" t="s">
        <v>4964</v>
      </c>
      <c r="P286" s="42"/>
      <c r="Q286" s="42"/>
      <c r="R286" s="42" t="s">
        <v>60</v>
      </c>
      <c r="S286" s="42"/>
      <c r="T286" s="42"/>
      <c r="U286" s="42"/>
      <c r="V286" s="42"/>
      <c r="W286" s="42" t="s">
        <v>6342</v>
      </c>
      <c r="X286" s="42" t="s">
        <v>6343</v>
      </c>
      <c r="Y286" s="42" t="s">
        <v>6344</v>
      </c>
      <c r="Z286" s="42">
        <v>-79.904871999999997</v>
      </c>
      <c r="AA286" s="42">
        <v>-2.1618750000000002</v>
      </c>
      <c r="AB286" s="42">
        <v>90150670</v>
      </c>
      <c r="AC286" s="42">
        <v>90150670001</v>
      </c>
      <c r="AD286" s="42">
        <v>90150670001003</v>
      </c>
      <c r="AE286" s="45">
        <v>5</v>
      </c>
      <c r="AF286" s="45" t="s">
        <v>772</v>
      </c>
      <c r="AG286" s="46" t="s">
        <v>66</v>
      </c>
      <c r="AH286" s="47" t="s">
        <v>6345</v>
      </c>
      <c r="AI286" s="48" t="s">
        <v>66</v>
      </c>
      <c r="AJ286" s="49" t="s">
        <v>6938</v>
      </c>
      <c r="AK286" s="50" t="s">
        <v>67</v>
      </c>
      <c r="AL286" s="58">
        <v>45574</v>
      </c>
      <c r="AM286" s="52" t="s">
        <v>66</v>
      </c>
      <c r="AN286" s="42"/>
      <c r="AO286" s="42"/>
      <c r="AP286" s="42"/>
      <c r="AQ286" s="53">
        <f t="shared" si="15"/>
        <v>2</v>
      </c>
      <c r="AR286" s="54">
        <f t="shared" si="16"/>
        <v>0</v>
      </c>
      <c r="AS286" s="55">
        <f t="shared" si="17"/>
        <v>2</v>
      </c>
      <c r="AT286" s="96" t="s">
        <v>1740</v>
      </c>
      <c r="AU286" s="96" t="s">
        <v>1741</v>
      </c>
      <c r="AV286" s="96" t="s">
        <v>6862</v>
      </c>
      <c r="AW286" s="97" t="s">
        <v>6796</v>
      </c>
      <c r="AX286" s="96" t="s">
        <v>6863</v>
      </c>
      <c r="AY286" s="98" t="s">
        <v>6796</v>
      </c>
      <c r="AZ286" s="96" t="s">
        <v>6864</v>
      </c>
      <c r="BA286" s="96" t="s">
        <v>6865</v>
      </c>
      <c r="BB286" s="96" t="s">
        <v>6866</v>
      </c>
      <c r="BC286" s="98" t="s">
        <v>6796</v>
      </c>
      <c r="BD286" s="96" t="s">
        <v>6867</v>
      </c>
      <c r="BE286" s="98" t="s">
        <v>6796</v>
      </c>
      <c r="BF286" s="96"/>
      <c r="BG286" s="96" t="s">
        <v>1356</v>
      </c>
      <c r="BH286" s="96"/>
      <c r="BI286" s="98"/>
      <c r="BJ286" s="96"/>
      <c r="BK286" s="98"/>
      <c r="BL286" s="96"/>
      <c r="BM286" s="96" t="s">
        <v>1356</v>
      </c>
      <c r="BN286" s="96"/>
      <c r="BO286" s="98"/>
      <c r="BP286" s="96"/>
      <c r="BQ286" s="98"/>
      <c r="BR286" s="96"/>
      <c r="BS286" s="96" t="s">
        <v>1356</v>
      </c>
      <c r="BT286" s="96"/>
      <c r="BU286" s="98"/>
      <c r="BV286" s="96"/>
      <c r="BW286" s="98"/>
      <c r="BX286" s="117"/>
      <c r="BY286" s="117" t="s">
        <v>1356</v>
      </c>
      <c r="BZ286" s="117"/>
      <c r="CA286" s="118"/>
      <c r="CB286" s="117"/>
      <c r="CC286" s="118"/>
      <c r="CD286" s="117"/>
      <c r="CE286" s="117" t="s">
        <v>1356</v>
      </c>
      <c r="CF286" s="117"/>
      <c r="CG286" s="118"/>
      <c r="CH286" s="117"/>
      <c r="CI286" s="118"/>
      <c r="CJ286" s="117"/>
      <c r="CK286" s="117" t="s">
        <v>1356</v>
      </c>
      <c r="CL286" s="117"/>
      <c r="CM286" s="118"/>
      <c r="CN286" s="117"/>
      <c r="CO286" s="118"/>
      <c r="CP286" s="117"/>
      <c r="CQ286" s="117" t="s">
        <v>1356</v>
      </c>
      <c r="CR286" s="117"/>
      <c r="CS286" s="118"/>
      <c r="CT286" s="117"/>
      <c r="CU286" s="118"/>
      <c r="CV286" s="117"/>
      <c r="CW286" s="117" t="s">
        <v>1356</v>
      </c>
      <c r="CX286" s="117"/>
      <c r="CY286" s="118"/>
      <c r="CZ286" s="117"/>
      <c r="DA286" s="118"/>
      <c r="DB286" s="129" t="s">
        <v>6962</v>
      </c>
      <c r="DC286" s="130" t="s">
        <v>105</v>
      </c>
    </row>
    <row r="287" spans="1:107" s="40" customFormat="1" ht="14.55" customHeight="1" x14ac:dyDescent="0.3">
      <c r="A287" s="66" t="s">
        <v>3500</v>
      </c>
      <c r="B287" s="66" t="s">
        <v>3621</v>
      </c>
      <c r="C287" s="66" t="s">
        <v>3622</v>
      </c>
      <c r="D287" s="66" t="s">
        <v>713</v>
      </c>
      <c r="E287" s="66" t="s">
        <v>714</v>
      </c>
      <c r="F287" s="66" t="s">
        <v>291</v>
      </c>
      <c r="G287" s="68" t="s">
        <v>72</v>
      </c>
      <c r="H287" s="43" t="s">
        <v>251</v>
      </c>
      <c r="I287" s="68">
        <v>1701</v>
      </c>
      <c r="J287" s="68">
        <v>170151</v>
      </c>
      <c r="K287" s="69">
        <v>4</v>
      </c>
      <c r="L287" s="66" t="s">
        <v>715</v>
      </c>
      <c r="M287" s="66" t="s">
        <v>716</v>
      </c>
      <c r="N287" s="66" t="s">
        <v>717</v>
      </c>
      <c r="O287" s="66"/>
      <c r="P287" s="66" t="s">
        <v>718</v>
      </c>
      <c r="Q287" s="66"/>
      <c r="R287" s="66" t="s">
        <v>60</v>
      </c>
      <c r="S287" s="66"/>
      <c r="T287" s="66"/>
      <c r="U287" s="66" t="s">
        <v>717</v>
      </c>
      <c r="V287" s="66"/>
      <c r="W287" s="66" t="s">
        <v>719</v>
      </c>
      <c r="X287" s="66" t="s">
        <v>720</v>
      </c>
      <c r="Y287" s="66" t="s">
        <v>721</v>
      </c>
      <c r="Z287" s="66"/>
      <c r="AA287" s="66"/>
      <c r="AB287" s="66"/>
      <c r="AC287" s="66"/>
      <c r="AD287" s="66"/>
      <c r="AE287" s="69">
        <v>4</v>
      </c>
      <c r="AF287" s="69" t="s">
        <v>499</v>
      </c>
      <c r="AG287" s="46" t="s">
        <v>66</v>
      </c>
      <c r="AH287" s="70" t="s">
        <v>722</v>
      </c>
      <c r="AI287" s="71" t="s">
        <v>66</v>
      </c>
      <c r="AJ287" s="49" t="s">
        <v>6938</v>
      </c>
      <c r="AK287" s="50" t="s">
        <v>67</v>
      </c>
      <c r="AL287" s="58">
        <v>45575</v>
      </c>
      <c r="AM287" s="52" t="s">
        <v>66</v>
      </c>
      <c r="AN287" s="52"/>
      <c r="AO287" s="52"/>
      <c r="AP287" s="52"/>
      <c r="AQ287" s="53">
        <f t="shared" si="15"/>
        <v>1</v>
      </c>
      <c r="AR287" s="54">
        <f t="shared" si="16"/>
        <v>0</v>
      </c>
      <c r="AS287" s="55">
        <f t="shared" si="17"/>
        <v>1</v>
      </c>
      <c r="AT287" s="102" t="s">
        <v>300</v>
      </c>
      <c r="AU287" s="103" t="s">
        <v>2263</v>
      </c>
      <c r="AV287" s="104">
        <v>60</v>
      </c>
      <c r="AW287" s="105">
        <v>45575</v>
      </c>
      <c r="AX287" s="104">
        <v>60</v>
      </c>
      <c r="AY287" s="106">
        <v>45608</v>
      </c>
      <c r="AZ287" s="102"/>
      <c r="BA287" s="103" t="s">
        <v>1356</v>
      </c>
      <c r="BB287" s="104"/>
      <c r="BC287" s="106"/>
      <c r="BD287" s="104"/>
      <c r="BE287" s="106"/>
      <c r="BF287" s="102"/>
      <c r="BG287" s="103" t="s">
        <v>1356</v>
      </c>
      <c r="BH287" s="104"/>
      <c r="BI287" s="106"/>
      <c r="BJ287" s="104"/>
      <c r="BK287" s="106"/>
      <c r="BL287" s="102"/>
      <c r="BM287" s="103" t="s">
        <v>1356</v>
      </c>
      <c r="BN287" s="104"/>
      <c r="BO287" s="106"/>
      <c r="BP287" s="104"/>
      <c r="BQ287" s="106"/>
      <c r="BR287" s="102"/>
      <c r="BS287" s="103" t="s">
        <v>1356</v>
      </c>
      <c r="BT287" s="104"/>
      <c r="BU287" s="106"/>
      <c r="BV287" s="104"/>
      <c r="BW287" s="106"/>
      <c r="BX287" s="121"/>
      <c r="BY287" s="122" t="s">
        <v>1356</v>
      </c>
      <c r="BZ287" s="123"/>
      <c r="CA287" s="124"/>
      <c r="CB287" s="123"/>
      <c r="CC287" s="124"/>
      <c r="CD287" s="121"/>
      <c r="CE287" s="122" t="s">
        <v>1356</v>
      </c>
      <c r="CF287" s="123"/>
      <c r="CG287" s="124"/>
      <c r="CH287" s="123"/>
      <c r="CI287" s="124"/>
      <c r="CJ287" s="121"/>
      <c r="CK287" s="122" t="s">
        <v>1356</v>
      </c>
      <c r="CL287" s="123"/>
      <c r="CM287" s="124"/>
      <c r="CN287" s="123"/>
      <c r="CO287" s="124"/>
      <c r="CP287" s="121"/>
      <c r="CQ287" s="122" t="s">
        <v>1356</v>
      </c>
      <c r="CR287" s="123"/>
      <c r="CS287" s="124"/>
      <c r="CT287" s="123"/>
      <c r="CU287" s="124"/>
      <c r="CV287" s="121"/>
      <c r="CW287" s="122" t="s">
        <v>1356</v>
      </c>
      <c r="CX287" s="123"/>
      <c r="CY287" s="124"/>
      <c r="CZ287" s="123"/>
      <c r="DA287" s="124"/>
      <c r="DB287" s="129" t="s">
        <v>6962</v>
      </c>
      <c r="DC287" s="129" t="s">
        <v>105</v>
      </c>
    </row>
    <row r="288" spans="1:107" s="40" customFormat="1" ht="14.55" customHeight="1" x14ac:dyDescent="0.3">
      <c r="A288" s="66" t="s">
        <v>3500</v>
      </c>
      <c r="B288" s="66" t="s">
        <v>3623</v>
      </c>
      <c r="C288" s="66" t="s">
        <v>3624</v>
      </c>
      <c r="D288" s="66" t="s">
        <v>723</v>
      </c>
      <c r="E288" s="66" t="s">
        <v>724</v>
      </c>
      <c r="F288" s="66" t="s">
        <v>309</v>
      </c>
      <c r="G288" s="68" t="s">
        <v>72</v>
      </c>
      <c r="H288" s="43" t="s">
        <v>251</v>
      </c>
      <c r="I288" s="68">
        <v>1701</v>
      </c>
      <c r="J288" s="68">
        <v>170154</v>
      </c>
      <c r="K288" s="69">
        <v>4</v>
      </c>
      <c r="L288" s="66" t="s">
        <v>725</v>
      </c>
      <c r="M288" s="66" t="s">
        <v>258</v>
      </c>
      <c r="N288" s="66" t="s">
        <v>726</v>
      </c>
      <c r="O288" s="66"/>
      <c r="P288" s="66"/>
      <c r="Q288" s="66"/>
      <c r="R288" s="66"/>
      <c r="S288" s="66"/>
      <c r="T288" s="66"/>
      <c r="U288" s="66"/>
      <c r="V288" s="66"/>
      <c r="W288" s="66" t="s">
        <v>727</v>
      </c>
      <c r="X288" s="66" t="s">
        <v>728</v>
      </c>
      <c r="Y288" s="66" t="s">
        <v>729</v>
      </c>
      <c r="Z288" s="66">
        <v>-78.506910000000005</v>
      </c>
      <c r="AA288" s="66">
        <v>-6.7790000000000003E-3</v>
      </c>
      <c r="AB288" s="66">
        <v>170154001</v>
      </c>
      <c r="AC288" s="66">
        <v>170154001004</v>
      </c>
      <c r="AD288" s="66">
        <v>170154001004010</v>
      </c>
      <c r="AE288" s="69">
        <v>4</v>
      </c>
      <c r="AF288" s="69" t="s">
        <v>499</v>
      </c>
      <c r="AG288" s="46" t="s">
        <v>66</v>
      </c>
      <c r="AH288" s="70" t="s">
        <v>730</v>
      </c>
      <c r="AI288" s="71" t="s">
        <v>66</v>
      </c>
      <c r="AJ288" s="49" t="s">
        <v>6938</v>
      </c>
      <c r="AK288" s="50" t="s">
        <v>67</v>
      </c>
      <c r="AL288" s="58">
        <v>45575</v>
      </c>
      <c r="AM288" s="52" t="s">
        <v>66</v>
      </c>
      <c r="AN288" s="52"/>
      <c r="AO288" s="52"/>
      <c r="AP288" s="52"/>
      <c r="AQ288" s="53">
        <f t="shared" si="15"/>
        <v>1</v>
      </c>
      <c r="AR288" s="54">
        <f t="shared" si="16"/>
        <v>0</v>
      </c>
      <c r="AS288" s="55">
        <f t="shared" si="17"/>
        <v>1</v>
      </c>
      <c r="AT288" s="102" t="s">
        <v>731</v>
      </c>
      <c r="AU288" s="103" t="s">
        <v>6725</v>
      </c>
      <c r="AV288" s="104">
        <v>0.43</v>
      </c>
      <c r="AW288" s="105">
        <v>45575</v>
      </c>
      <c r="AX288" s="104">
        <v>0.43</v>
      </c>
      <c r="AY288" s="106">
        <v>45608</v>
      </c>
      <c r="AZ288" s="102"/>
      <c r="BA288" s="103" t="s">
        <v>1356</v>
      </c>
      <c r="BB288" s="104"/>
      <c r="BC288" s="106"/>
      <c r="BD288" s="104"/>
      <c r="BE288" s="106"/>
      <c r="BF288" s="102"/>
      <c r="BG288" s="103" t="s">
        <v>1356</v>
      </c>
      <c r="BH288" s="104"/>
      <c r="BI288" s="106"/>
      <c r="BJ288" s="104"/>
      <c r="BK288" s="106"/>
      <c r="BL288" s="102"/>
      <c r="BM288" s="103" t="s">
        <v>1356</v>
      </c>
      <c r="BN288" s="104"/>
      <c r="BO288" s="106"/>
      <c r="BP288" s="104"/>
      <c r="BQ288" s="106"/>
      <c r="BR288" s="102"/>
      <c r="BS288" s="103" t="s">
        <v>1356</v>
      </c>
      <c r="BT288" s="104"/>
      <c r="BU288" s="106"/>
      <c r="BV288" s="104"/>
      <c r="BW288" s="106"/>
      <c r="BX288" s="121"/>
      <c r="BY288" s="122" t="s">
        <v>1356</v>
      </c>
      <c r="BZ288" s="123"/>
      <c r="CA288" s="124"/>
      <c r="CB288" s="123"/>
      <c r="CC288" s="124"/>
      <c r="CD288" s="121"/>
      <c r="CE288" s="122" t="s">
        <v>1356</v>
      </c>
      <c r="CF288" s="123"/>
      <c r="CG288" s="124"/>
      <c r="CH288" s="123"/>
      <c r="CI288" s="124"/>
      <c r="CJ288" s="121"/>
      <c r="CK288" s="122" t="s">
        <v>1356</v>
      </c>
      <c r="CL288" s="123"/>
      <c r="CM288" s="124"/>
      <c r="CN288" s="123"/>
      <c r="CO288" s="124"/>
      <c r="CP288" s="121"/>
      <c r="CQ288" s="122" t="s">
        <v>1356</v>
      </c>
      <c r="CR288" s="123"/>
      <c r="CS288" s="124"/>
      <c r="CT288" s="123"/>
      <c r="CU288" s="124"/>
      <c r="CV288" s="121"/>
      <c r="CW288" s="122" t="s">
        <v>1356</v>
      </c>
      <c r="CX288" s="123"/>
      <c r="CY288" s="124"/>
      <c r="CZ288" s="123"/>
      <c r="DA288" s="124"/>
      <c r="DB288" s="129" t="s">
        <v>6962</v>
      </c>
      <c r="DC288" s="129" t="s">
        <v>105</v>
      </c>
    </row>
    <row r="289" spans="1:107" s="40" customFormat="1" ht="14.55" customHeight="1" x14ac:dyDescent="0.3">
      <c r="A289" s="35" t="s">
        <v>3456</v>
      </c>
      <c r="B289" s="35" t="s">
        <v>4046</v>
      </c>
      <c r="C289" s="35">
        <v>1801709302001</v>
      </c>
      <c r="D289" s="35" t="s">
        <v>3404</v>
      </c>
      <c r="E289" s="35" t="s">
        <v>3405</v>
      </c>
      <c r="F289" s="35" t="s">
        <v>1493</v>
      </c>
      <c r="G289" s="35" t="s">
        <v>1059</v>
      </c>
      <c r="H289" s="27" t="s">
        <v>6924</v>
      </c>
      <c r="I289" s="62">
        <v>1807</v>
      </c>
      <c r="J289" s="62">
        <v>180750</v>
      </c>
      <c r="K289" s="63">
        <v>3</v>
      </c>
      <c r="L289" s="35" t="s">
        <v>3406</v>
      </c>
      <c r="M289" s="35"/>
      <c r="N289" s="35"/>
      <c r="O289" s="35"/>
      <c r="P289" s="35"/>
      <c r="Q289" s="35"/>
      <c r="R289" s="35"/>
      <c r="S289" s="35"/>
      <c r="T289" s="35"/>
      <c r="U289" s="35" t="s">
        <v>3407</v>
      </c>
      <c r="V289" s="35"/>
      <c r="W289" s="35" t="s">
        <v>3408</v>
      </c>
      <c r="X289" s="35"/>
      <c r="Y289" s="35" t="s">
        <v>3409</v>
      </c>
      <c r="Z289" s="35"/>
      <c r="AA289" s="35"/>
      <c r="AB289" s="35"/>
      <c r="AC289" s="35"/>
      <c r="AD289" s="35"/>
      <c r="AE289" s="63">
        <v>2</v>
      </c>
      <c r="AF289" s="63" t="s">
        <v>64</v>
      </c>
      <c r="AG289" s="29" t="s">
        <v>65</v>
      </c>
      <c r="AH289" s="75"/>
      <c r="AI289" s="65" t="s">
        <v>66</v>
      </c>
      <c r="AJ289" s="32" t="s">
        <v>6938</v>
      </c>
      <c r="AK289" s="33" t="s">
        <v>67</v>
      </c>
      <c r="AL289" s="76">
        <v>45580</v>
      </c>
      <c r="AM289" s="35" t="s">
        <v>66</v>
      </c>
      <c r="AN289" s="35"/>
      <c r="AO289" s="35"/>
      <c r="AP289" s="35"/>
      <c r="AQ289" s="37">
        <f t="shared" si="15"/>
        <v>0</v>
      </c>
      <c r="AR289" s="38">
        <f t="shared" si="16"/>
        <v>0</v>
      </c>
      <c r="AS289" s="39">
        <f t="shared" si="17"/>
        <v>0</v>
      </c>
      <c r="AT289" s="99"/>
      <c r="AU289" s="99" t="s">
        <v>1356</v>
      </c>
      <c r="AV289" s="99"/>
      <c r="AW289" s="100"/>
      <c r="AX289" s="99"/>
      <c r="AY289" s="101"/>
      <c r="AZ289" s="99"/>
      <c r="BA289" s="99" t="s">
        <v>1356</v>
      </c>
      <c r="BB289" s="99"/>
      <c r="BC289" s="101"/>
      <c r="BD289" s="99"/>
      <c r="BE289" s="101"/>
      <c r="BF289" s="99"/>
      <c r="BG289" s="99" t="s">
        <v>1356</v>
      </c>
      <c r="BH289" s="99"/>
      <c r="BI289" s="101"/>
      <c r="BJ289" s="99"/>
      <c r="BK289" s="101"/>
      <c r="BL289" s="99"/>
      <c r="BM289" s="99" t="s">
        <v>1356</v>
      </c>
      <c r="BN289" s="99"/>
      <c r="BO289" s="101"/>
      <c r="BP289" s="99"/>
      <c r="BQ289" s="101"/>
      <c r="BR289" s="99"/>
      <c r="BS289" s="99" t="s">
        <v>1356</v>
      </c>
      <c r="BT289" s="99"/>
      <c r="BU289" s="101"/>
      <c r="BV289" s="99"/>
      <c r="BW289" s="101"/>
      <c r="BX289" s="119"/>
      <c r="BY289" s="119" t="s">
        <v>1356</v>
      </c>
      <c r="BZ289" s="119"/>
      <c r="CA289" s="120"/>
      <c r="CB289" s="119"/>
      <c r="CC289" s="120"/>
      <c r="CD289" s="119"/>
      <c r="CE289" s="119" t="s">
        <v>1356</v>
      </c>
      <c r="CF289" s="119"/>
      <c r="CG289" s="120"/>
      <c r="CH289" s="119"/>
      <c r="CI289" s="120"/>
      <c r="CJ289" s="119"/>
      <c r="CK289" s="119" t="s">
        <v>1356</v>
      </c>
      <c r="CL289" s="119"/>
      <c r="CM289" s="120"/>
      <c r="CN289" s="119"/>
      <c r="CO289" s="120"/>
      <c r="CP289" s="119"/>
      <c r="CQ289" s="119" t="s">
        <v>1356</v>
      </c>
      <c r="CR289" s="119"/>
      <c r="CS289" s="120"/>
      <c r="CT289" s="119"/>
      <c r="CU289" s="120"/>
      <c r="CV289" s="119"/>
      <c r="CW289" s="119" t="s">
        <v>1356</v>
      </c>
      <c r="CX289" s="119"/>
      <c r="CY289" s="120"/>
      <c r="CZ289" s="119"/>
      <c r="DA289" s="120"/>
      <c r="DB289" s="128" t="s">
        <v>7085</v>
      </c>
      <c r="DC289" s="131" t="s">
        <v>2935</v>
      </c>
    </row>
    <row r="290" spans="1:107" s="40" customFormat="1" ht="14.55" customHeight="1" x14ac:dyDescent="0.3">
      <c r="A290" s="66" t="s">
        <v>3500</v>
      </c>
      <c r="B290" s="66" t="s">
        <v>3625</v>
      </c>
      <c r="C290" s="66" t="s">
        <v>3626</v>
      </c>
      <c r="D290" s="66" t="s">
        <v>732</v>
      </c>
      <c r="E290" s="66" t="s">
        <v>733</v>
      </c>
      <c r="F290" s="66" t="s">
        <v>734</v>
      </c>
      <c r="G290" s="68" t="s">
        <v>72</v>
      </c>
      <c r="H290" s="43" t="s">
        <v>251</v>
      </c>
      <c r="I290" s="68">
        <v>1701</v>
      </c>
      <c r="J290" s="68">
        <v>170150</v>
      </c>
      <c r="K290" s="69">
        <v>4</v>
      </c>
      <c r="L290" s="66" t="s">
        <v>735</v>
      </c>
      <c r="M290" s="66" t="s">
        <v>736</v>
      </c>
      <c r="N290" s="66" t="s">
        <v>737</v>
      </c>
      <c r="O290" s="66"/>
      <c r="P290" s="66"/>
      <c r="Q290" s="66"/>
      <c r="R290" s="66"/>
      <c r="S290" s="66" t="s">
        <v>146</v>
      </c>
      <c r="T290" s="66"/>
      <c r="U290" s="66" t="s">
        <v>738</v>
      </c>
      <c r="V290" s="66"/>
      <c r="W290" s="66" t="s">
        <v>739</v>
      </c>
      <c r="X290" s="66" t="s">
        <v>740</v>
      </c>
      <c r="Y290" s="66" t="s">
        <v>741</v>
      </c>
      <c r="Z290" s="66">
        <v>-78.521614611148834</v>
      </c>
      <c r="AA290" s="66">
        <v>-0.27127665281295998</v>
      </c>
      <c r="AB290" s="66">
        <v>170150236</v>
      </c>
      <c r="AC290" s="66">
        <v>170150236006</v>
      </c>
      <c r="AD290" s="66">
        <v>170150236006002</v>
      </c>
      <c r="AE290" s="69">
        <v>4</v>
      </c>
      <c r="AF290" s="69" t="s">
        <v>499</v>
      </c>
      <c r="AG290" s="46" t="s">
        <v>66</v>
      </c>
      <c r="AH290" s="70" t="s">
        <v>742</v>
      </c>
      <c r="AI290" s="71" t="s">
        <v>66</v>
      </c>
      <c r="AJ290" s="49" t="s">
        <v>6938</v>
      </c>
      <c r="AK290" s="50" t="s">
        <v>67</v>
      </c>
      <c r="AL290" s="58">
        <v>45575</v>
      </c>
      <c r="AM290" s="52" t="s">
        <v>66</v>
      </c>
      <c r="AN290" s="52"/>
      <c r="AO290" s="52"/>
      <c r="AP290" s="52"/>
      <c r="AQ290" s="53">
        <f t="shared" si="15"/>
        <v>3</v>
      </c>
      <c r="AR290" s="54">
        <f t="shared" si="16"/>
        <v>0</v>
      </c>
      <c r="AS290" s="55">
        <f t="shared" si="17"/>
        <v>3</v>
      </c>
      <c r="AT290" s="102" t="s">
        <v>743</v>
      </c>
      <c r="AU290" s="103" t="s">
        <v>6749</v>
      </c>
      <c r="AV290" s="104">
        <v>1.2</v>
      </c>
      <c r="AW290" s="105">
        <v>45575</v>
      </c>
      <c r="AX290" s="104">
        <v>1.2</v>
      </c>
      <c r="AY290" s="106">
        <v>45608</v>
      </c>
      <c r="AZ290" s="102" t="s">
        <v>743</v>
      </c>
      <c r="BA290" s="103" t="s">
        <v>6749</v>
      </c>
      <c r="BB290" s="104">
        <v>1.1399999999999999</v>
      </c>
      <c r="BC290" s="106">
        <v>45575</v>
      </c>
      <c r="BD290" s="104">
        <v>1.1399999999999999</v>
      </c>
      <c r="BE290" s="106">
        <v>45608</v>
      </c>
      <c r="BF290" s="102" t="s">
        <v>743</v>
      </c>
      <c r="BG290" s="103" t="s">
        <v>6749</v>
      </c>
      <c r="BH290" s="104">
        <v>0.49</v>
      </c>
      <c r="BI290" s="106">
        <v>45575</v>
      </c>
      <c r="BJ290" s="104">
        <v>0.49</v>
      </c>
      <c r="BK290" s="106">
        <v>45608</v>
      </c>
      <c r="BL290" s="102"/>
      <c r="BM290" s="103" t="s">
        <v>1356</v>
      </c>
      <c r="BN290" s="104"/>
      <c r="BO290" s="106"/>
      <c r="BP290" s="104"/>
      <c r="BQ290" s="106"/>
      <c r="BR290" s="102"/>
      <c r="BS290" s="103" t="s">
        <v>1356</v>
      </c>
      <c r="BT290" s="104"/>
      <c r="BU290" s="106"/>
      <c r="BV290" s="104"/>
      <c r="BW290" s="106"/>
      <c r="BX290" s="121"/>
      <c r="BY290" s="122" t="s">
        <v>1356</v>
      </c>
      <c r="BZ290" s="123"/>
      <c r="CA290" s="124"/>
      <c r="CB290" s="123"/>
      <c r="CC290" s="124"/>
      <c r="CD290" s="121"/>
      <c r="CE290" s="122" t="s">
        <v>1356</v>
      </c>
      <c r="CF290" s="123"/>
      <c r="CG290" s="124"/>
      <c r="CH290" s="123"/>
      <c r="CI290" s="124"/>
      <c r="CJ290" s="121"/>
      <c r="CK290" s="122" t="s">
        <v>1356</v>
      </c>
      <c r="CL290" s="123"/>
      <c r="CM290" s="124"/>
      <c r="CN290" s="123"/>
      <c r="CO290" s="124"/>
      <c r="CP290" s="121"/>
      <c r="CQ290" s="122" t="s">
        <v>1356</v>
      </c>
      <c r="CR290" s="123"/>
      <c r="CS290" s="124"/>
      <c r="CT290" s="123"/>
      <c r="CU290" s="124"/>
      <c r="CV290" s="121"/>
      <c r="CW290" s="122" t="s">
        <v>1356</v>
      </c>
      <c r="CX290" s="123"/>
      <c r="CY290" s="124"/>
      <c r="CZ290" s="123"/>
      <c r="DA290" s="124"/>
      <c r="DB290" s="129" t="s">
        <v>6962</v>
      </c>
      <c r="DC290" s="129" t="s">
        <v>105</v>
      </c>
    </row>
    <row r="291" spans="1:107" s="40" customFormat="1" ht="14.55" customHeight="1" x14ac:dyDescent="0.3">
      <c r="A291" s="35" t="s">
        <v>3456</v>
      </c>
      <c r="B291" s="35" t="s">
        <v>4048</v>
      </c>
      <c r="C291" s="35" t="s">
        <v>4049</v>
      </c>
      <c r="D291" s="35" t="s">
        <v>3410</v>
      </c>
      <c r="E291" s="35" t="s">
        <v>70</v>
      </c>
      <c r="F291" s="35" t="s">
        <v>327</v>
      </c>
      <c r="G291" s="35" t="s">
        <v>1941</v>
      </c>
      <c r="H291" s="27" t="s">
        <v>6927</v>
      </c>
      <c r="I291" s="62">
        <v>601</v>
      </c>
      <c r="J291" s="62">
        <v>60150</v>
      </c>
      <c r="K291" s="63">
        <v>4</v>
      </c>
      <c r="L291" s="35" t="s">
        <v>3411</v>
      </c>
      <c r="M291" s="35"/>
      <c r="N291" s="35" t="s">
        <v>3412</v>
      </c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63">
        <v>2</v>
      </c>
      <c r="AF291" s="63" t="s">
        <v>64</v>
      </c>
      <c r="AG291" s="29" t="s">
        <v>65</v>
      </c>
      <c r="AH291" s="75"/>
      <c r="AI291" s="65" t="s">
        <v>65</v>
      </c>
      <c r="AJ291" s="32" t="s">
        <v>6938</v>
      </c>
      <c r="AK291" s="33" t="s">
        <v>92</v>
      </c>
      <c r="AL291" s="76">
        <v>45601</v>
      </c>
      <c r="AM291" s="35"/>
      <c r="AN291" s="35"/>
      <c r="AO291" s="35"/>
      <c r="AP291" s="35"/>
      <c r="AQ291" s="37">
        <f t="shared" si="15"/>
        <v>0</v>
      </c>
      <c r="AR291" s="38">
        <f t="shared" si="16"/>
        <v>0</v>
      </c>
      <c r="AS291" s="39">
        <f t="shared" si="17"/>
        <v>0</v>
      </c>
      <c r="AT291" s="99"/>
      <c r="AU291" s="99" t="s">
        <v>1356</v>
      </c>
      <c r="AV291" s="99"/>
      <c r="AW291" s="100"/>
      <c r="AX291" s="99"/>
      <c r="AY291" s="101"/>
      <c r="AZ291" s="99"/>
      <c r="BA291" s="99" t="s">
        <v>1356</v>
      </c>
      <c r="BB291" s="99"/>
      <c r="BC291" s="101"/>
      <c r="BD291" s="99"/>
      <c r="BE291" s="101"/>
      <c r="BF291" s="99"/>
      <c r="BG291" s="99" t="s">
        <v>1356</v>
      </c>
      <c r="BH291" s="99"/>
      <c r="BI291" s="101"/>
      <c r="BJ291" s="99"/>
      <c r="BK291" s="101"/>
      <c r="BL291" s="99"/>
      <c r="BM291" s="99" t="s">
        <v>1356</v>
      </c>
      <c r="BN291" s="99"/>
      <c r="BO291" s="101"/>
      <c r="BP291" s="99"/>
      <c r="BQ291" s="101"/>
      <c r="BR291" s="99"/>
      <c r="BS291" s="99" t="s">
        <v>1356</v>
      </c>
      <c r="BT291" s="99"/>
      <c r="BU291" s="101"/>
      <c r="BV291" s="99"/>
      <c r="BW291" s="101"/>
      <c r="BX291" s="119"/>
      <c r="BY291" s="119" t="s">
        <v>1356</v>
      </c>
      <c r="BZ291" s="119"/>
      <c r="CA291" s="120"/>
      <c r="CB291" s="119"/>
      <c r="CC291" s="120"/>
      <c r="CD291" s="119"/>
      <c r="CE291" s="119" t="s">
        <v>1356</v>
      </c>
      <c r="CF291" s="119"/>
      <c r="CG291" s="120"/>
      <c r="CH291" s="119"/>
      <c r="CI291" s="120"/>
      <c r="CJ291" s="119"/>
      <c r="CK291" s="119" t="s">
        <v>1356</v>
      </c>
      <c r="CL291" s="119"/>
      <c r="CM291" s="120"/>
      <c r="CN291" s="119"/>
      <c r="CO291" s="120"/>
      <c r="CP291" s="119"/>
      <c r="CQ291" s="119" t="s">
        <v>1356</v>
      </c>
      <c r="CR291" s="119"/>
      <c r="CS291" s="120"/>
      <c r="CT291" s="119"/>
      <c r="CU291" s="120"/>
      <c r="CV291" s="119"/>
      <c r="CW291" s="119" t="s">
        <v>1356</v>
      </c>
      <c r="CX291" s="119"/>
      <c r="CY291" s="120"/>
      <c r="CZ291" s="119"/>
      <c r="DA291" s="120"/>
      <c r="DB291" s="128" t="s">
        <v>7085</v>
      </c>
      <c r="DC291" s="131" t="s">
        <v>92</v>
      </c>
    </row>
    <row r="292" spans="1:107" s="40" customFormat="1" ht="14.55" customHeight="1" x14ac:dyDescent="0.3">
      <c r="A292" s="35" t="s">
        <v>3456</v>
      </c>
      <c r="B292" s="35" t="s">
        <v>4050</v>
      </c>
      <c r="C292" s="35">
        <v>1792077338001</v>
      </c>
      <c r="D292" s="35" t="s">
        <v>3413</v>
      </c>
      <c r="E292" s="35" t="s">
        <v>3414</v>
      </c>
      <c r="F292" s="35" t="s">
        <v>327</v>
      </c>
      <c r="G292" s="35" t="s">
        <v>1604</v>
      </c>
      <c r="H292" s="27" t="s">
        <v>6928</v>
      </c>
      <c r="I292" s="62">
        <v>1504</v>
      </c>
      <c r="J292" s="62">
        <v>150451</v>
      </c>
      <c r="K292" s="63">
        <v>4</v>
      </c>
      <c r="L292" s="35" t="s">
        <v>3415</v>
      </c>
      <c r="M292" s="35"/>
      <c r="N292" s="35"/>
      <c r="O292" s="35"/>
      <c r="P292" s="35"/>
      <c r="Q292" s="35"/>
      <c r="R292" s="35"/>
      <c r="S292" s="35"/>
      <c r="T292" s="35"/>
      <c r="U292" s="35" t="s">
        <v>3416</v>
      </c>
      <c r="V292" s="35"/>
      <c r="W292" s="35" t="s">
        <v>3417</v>
      </c>
      <c r="X292" s="35" t="s">
        <v>3418</v>
      </c>
      <c r="Y292" s="35" t="s">
        <v>3419</v>
      </c>
      <c r="Z292" s="35">
        <v>-77.591645</v>
      </c>
      <c r="AA292" s="35">
        <v>-0.10355499999999999</v>
      </c>
      <c r="AB292" s="35">
        <v>150451999</v>
      </c>
      <c r="AC292" s="35">
        <v>150451999002</v>
      </c>
      <c r="AD292" s="35">
        <v>150451999002002</v>
      </c>
      <c r="AE292" s="63">
        <v>2</v>
      </c>
      <c r="AF292" s="63" t="s">
        <v>64</v>
      </c>
      <c r="AG292" s="29" t="s">
        <v>65</v>
      </c>
      <c r="AH292" s="75"/>
      <c r="AI292" s="65" t="s">
        <v>65</v>
      </c>
      <c r="AJ292" s="32" t="s">
        <v>6938</v>
      </c>
      <c r="AK292" s="33" t="s">
        <v>92</v>
      </c>
      <c r="AL292" s="76">
        <v>45582</v>
      </c>
      <c r="AM292" s="35" t="s">
        <v>65</v>
      </c>
      <c r="AN292" s="35" t="s">
        <v>3420</v>
      </c>
      <c r="AO292" s="35" t="s">
        <v>3421</v>
      </c>
      <c r="AP292" s="35" t="s">
        <v>3422</v>
      </c>
      <c r="AQ292" s="37">
        <f t="shared" si="15"/>
        <v>0</v>
      </c>
      <c r="AR292" s="38">
        <f t="shared" si="16"/>
        <v>0</v>
      </c>
      <c r="AS292" s="39">
        <f t="shared" si="17"/>
        <v>0</v>
      </c>
      <c r="AT292" s="99"/>
      <c r="AU292" s="99" t="s">
        <v>1356</v>
      </c>
      <c r="AV292" s="99"/>
      <c r="AW292" s="100"/>
      <c r="AX292" s="99"/>
      <c r="AY292" s="101"/>
      <c r="AZ292" s="99"/>
      <c r="BA292" s="99" t="s">
        <v>1356</v>
      </c>
      <c r="BB292" s="99"/>
      <c r="BC292" s="101"/>
      <c r="BD292" s="99"/>
      <c r="BE292" s="101"/>
      <c r="BF292" s="99"/>
      <c r="BG292" s="99" t="s">
        <v>1356</v>
      </c>
      <c r="BH292" s="99"/>
      <c r="BI292" s="101"/>
      <c r="BJ292" s="99"/>
      <c r="BK292" s="101"/>
      <c r="BL292" s="99"/>
      <c r="BM292" s="99" t="s">
        <v>1356</v>
      </c>
      <c r="BN292" s="99"/>
      <c r="BO292" s="101"/>
      <c r="BP292" s="99"/>
      <c r="BQ292" s="101"/>
      <c r="BR292" s="99"/>
      <c r="BS292" s="99" t="s">
        <v>1356</v>
      </c>
      <c r="BT292" s="99"/>
      <c r="BU292" s="101"/>
      <c r="BV292" s="99"/>
      <c r="BW292" s="101"/>
      <c r="BX292" s="119"/>
      <c r="BY292" s="119" t="s">
        <v>1356</v>
      </c>
      <c r="BZ292" s="119"/>
      <c r="CA292" s="120"/>
      <c r="CB292" s="119"/>
      <c r="CC292" s="120"/>
      <c r="CD292" s="119"/>
      <c r="CE292" s="119" t="s">
        <v>1356</v>
      </c>
      <c r="CF292" s="119"/>
      <c r="CG292" s="120"/>
      <c r="CH292" s="119"/>
      <c r="CI292" s="120"/>
      <c r="CJ292" s="119"/>
      <c r="CK292" s="119" t="s">
        <v>1356</v>
      </c>
      <c r="CL292" s="119"/>
      <c r="CM292" s="120"/>
      <c r="CN292" s="119"/>
      <c r="CO292" s="120"/>
      <c r="CP292" s="119"/>
      <c r="CQ292" s="119" t="s">
        <v>1356</v>
      </c>
      <c r="CR292" s="119"/>
      <c r="CS292" s="120"/>
      <c r="CT292" s="119"/>
      <c r="CU292" s="120"/>
      <c r="CV292" s="119"/>
      <c r="CW292" s="119" t="s">
        <v>1356</v>
      </c>
      <c r="CX292" s="119"/>
      <c r="CY292" s="120"/>
      <c r="CZ292" s="119"/>
      <c r="DA292" s="120"/>
      <c r="DB292" s="128" t="s">
        <v>7085</v>
      </c>
      <c r="DC292" s="131" t="s">
        <v>92</v>
      </c>
    </row>
    <row r="293" spans="1:107" s="40" customFormat="1" ht="14.55" customHeight="1" x14ac:dyDescent="0.3">
      <c r="A293" s="66" t="s">
        <v>3500</v>
      </c>
      <c r="B293" s="66" t="s">
        <v>3628</v>
      </c>
      <c r="C293" s="67" t="s">
        <v>3629</v>
      </c>
      <c r="D293" s="66" t="s">
        <v>751</v>
      </c>
      <c r="E293" s="66" t="s">
        <v>752</v>
      </c>
      <c r="F293" s="66" t="s">
        <v>361</v>
      </c>
      <c r="G293" s="68" t="s">
        <v>72</v>
      </c>
      <c r="H293" s="43" t="s">
        <v>251</v>
      </c>
      <c r="I293" s="68">
        <v>1701</v>
      </c>
      <c r="J293" s="68">
        <v>170150</v>
      </c>
      <c r="K293" s="69">
        <v>4</v>
      </c>
      <c r="L293" s="66" t="s">
        <v>753</v>
      </c>
      <c r="M293" s="66" t="s">
        <v>754</v>
      </c>
      <c r="N293" s="66" t="s">
        <v>221</v>
      </c>
      <c r="O293" s="66"/>
      <c r="P293" s="66"/>
      <c r="Q293" s="66"/>
      <c r="R293" s="66"/>
      <c r="S293" s="66"/>
      <c r="T293" s="66"/>
      <c r="U293" s="66" t="s">
        <v>755</v>
      </c>
      <c r="V293" s="66"/>
      <c r="W293" s="66" t="s">
        <v>756</v>
      </c>
      <c r="X293" s="66" t="s">
        <v>757</v>
      </c>
      <c r="Y293" s="66" t="s">
        <v>758</v>
      </c>
      <c r="Z293" s="66">
        <v>-78.473470000000006</v>
      </c>
      <c r="AA293" s="66">
        <v>-0.1187</v>
      </c>
      <c r="AB293" s="66">
        <v>170150117</v>
      </c>
      <c r="AC293" s="66">
        <v>170150117001</v>
      </c>
      <c r="AD293" s="66">
        <v>170150117001002</v>
      </c>
      <c r="AE293" s="69">
        <v>4</v>
      </c>
      <c r="AF293" s="69" t="s">
        <v>499</v>
      </c>
      <c r="AG293" s="46" t="s">
        <v>66</v>
      </c>
      <c r="AH293" s="70" t="s">
        <v>759</v>
      </c>
      <c r="AI293" s="71" t="s">
        <v>66</v>
      </c>
      <c r="AJ293" s="49" t="s">
        <v>6938</v>
      </c>
      <c r="AK293" s="50" t="s">
        <v>67</v>
      </c>
      <c r="AL293" s="58">
        <v>45575</v>
      </c>
      <c r="AM293" s="52" t="s">
        <v>66</v>
      </c>
      <c r="AN293" s="52"/>
      <c r="AO293" s="52"/>
      <c r="AP293" s="52"/>
      <c r="AQ293" s="53">
        <f t="shared" si="15"/>
        <v>4</v>
      </c>
      <c r="AR293" s="54">
        <f t="shared" si="16"/>
        <v>0</v>
      </c>
      <c r="AS293" s="55">
        <f t="shared" si="17"/>
        <v>4</v>
      </c>
      <c r="AT293" s="102" t="s">
        <v>760</v>
      </c>
      <c r="AU293" s="103" t="s">
        <v>6750</v>
      </c>
      <c r="AV293" s="104">
        <v>30.36</v>
      </c>
      <c r="AW293" s="105">
        <v>45575</v>
      </c>
      <c r="AX293" s="104">
        <v>30.36</v>
      </c>
      <c r="AY293" s="106">
        <v>45608</v>
      </c>
      <c r="AZ293" s="102" t="s">
        <v>449</v>
      </c>
      <c r="BA293" s="103" t="s">
        <v>6745</v>
      </c>
      <c r="BB293" s="104">
        <v>24.84</v>
      </c>
      <c r="BC293" s="106">
        <v>45575</v>
      </c>
      <c r="BD293" s="104">
        <v>24.84</v>
      </c>
      <c r="BE293" s="106">
        <v>45608</v>
      </c>
      <c r="BF293" s="102" t="s">
        <v>449</v>
      </c>
      <c r="BG293" s="103" t="s">
        <v>6745</v>
      </c>
      <c r="BH293" s="104">
        <v>24.84</v>
      </c>
      <c r="BI293" s="106">
        <v>45575</v>
      </c>
      <c r="BJ293" s="104">
        <v>24.84</v>
      </c>
      <c r="BK293" s="106">
        <v>45608</v>
      </c>
      <c r="BL293" s="102" t="s">
        <v>449</v>
      </c>
      <c r="BM293" s="103" t="s">
        <v>6745</v>
      </c>
      <c r="BN293" s="104">
        <v>23.4</v>
      </c>
      <c r="BO293" s="106">
        <v>45575</v>
      </c>
      <c r="BP293" s="104">
        <v>23.4</v>
      </c>
      <c r="BQ293" s="106">
        <v>45608</v>
      </c>
      <c r="BR293" s="102"/>
      <c r="BS293" s="103" t="s">
        <v>1356</v>
      </c>
      <c r="BT293" s="104"/>
      <c r="BU293" s="106"/>
      <c r="BV293" s="104"/>
      <c r="BW293" s="106"/>
      <c r="BX293" s="121"/>
      <c r="BY293" s="122" t="s">
        <v>1356</v>
      </c>
      <c r="BZ293" s="123"/>
      <c r="CA293" s="124"/>
      <c r="CB293" s="123"/>
      <c r="CC293" s="124"/>
      <c r="CD293" s="121"/>
      <c r="CE293" s="122" t="s">
        <v>1356</v>
      </c>
      <c r="CF293" s="123"/>
      <c r="CG293" s="124"/>
      <c r="CH293" s="123"/>
      <c r="CI293" s="124"/>
      <c r="CJ293" s="121"/>
      <c r="CK293" s="122" t="s">
        <v>1356</v>
      </c>
      <c r="CL293" s="123"/>
      <c r="CM293" s="124"/>
      <c r="CN293" s="123"/>
      <c r="CO293" s="124"/>
      <c r="CP293" s="121"/>
      <c r="CQ293" s="122" t="s">
        <v>1356</v>
      </c>
      <c r="CR293" s="123"/>
      <c r="CS293" s="124"/>
      <c r="CT293" s="123"/>
      <c r="CU293" s="124"/>
      <c r="CV293" s="121"/>
      <c r="CW293" s="122" t="s">
        <v>1356</v>
      </c>
      <c r="CX293" s="123"/>
      <c r="CY293" s="124"/>
      <c r="CZ293" s="123"/>
      <c r="DA293" s="124"/>
      <c r="DB293" s="129" t="s">
        <v>6962</v>
      </c>
      <c r="DC293" s="129" t="s">
        <v>105</v>
      </c>
    </row>
    <row r="294" spans="1:107" s="40" customFormat="1" ht="14.55" customHeight="1" x14ac:dyDescent="0.3">
      <c r="A294" s="35" t="s">
        <v>3456</v>
      </c>
      <c r="B294" s="35" t="s">
        <v>4052</v>
      </c>
      <c r="C294" s="35" t="s">
        <v>4053</v>
      </c>
      <c r="D294" s="35" t="s">
        <v>3423</v>
      </c>
      <c r="E294" s="35" t="s">
        <v>3423</v>
      </c>
      <c r="F294" s="35" t="s">
        <v>1028</v>
      </c>
      <c r="G294" s="35" t="s">
        <v>1059</v>
      </c>
      <c r="H294" s="27" t="s">
        <v>6924</v>
      </c>
      <c r="I294" s="62">
        <v>1801</v>
      </c>
      <c r="J294" s="62">
        <v>180156</v>
      </c>
      <c r="K294" s="63">
        <v>3</v>
      </c>
      <c r="L294" s="35" t="s">
        <v>3424</v>
      </c>
      <c r="M294" s="35" t="s">
        <v>258</v>
      </c>
      <c r="N294" s="35"/>
      <c r="O294" s="35"/>
      <c r="P294" s="35"/>
      <c r="Q294" s="35"/>
      <c r="R294" s="35" t="s">
        <v>113</v>
      </c>
      <c r="S294" s="35"/>
      <c r="T294" s="35"/>
      <c r="U294" s="35" t="s">
        <v>3425</v>
      </c>
      <c r="V294" s="35"/>
      <c r="W294" s="35" t="s">
        <v>3426</v>
      </c>
      <c r="X294" s="35" t="s">
        <v>3427</v>
      </c>
      <c r="Y294" s="35" t="s">
        <v>3428</v>
      </c>
      <c r="Z294" s="35">
        <v>-78.581230044364929</v>
      </c>
      <c r="AA294" s="35">
        <v>-1.2145205668600429</v>
      </c>
      <c r="AB294" s="35">
        <v>180156001</v>
      </c>
      <c r="AC294" s="35">
        <v>180156001007</v>
      </c>
      <c r="AD294" s="35">
        <v>180156001007003</v>
      </c>
      <c r="AE294" s="63">
        <v>2</v>
      </c>
      <c r="AF294" s="63" t="s">
        <v>64</v>
      </c>
      <c r="AG294" s="29" t="s">
        <v>65</v>
      </c>
      <c r="AH294" s="75"/>
      <c r="AI294" s="65" t="s">
        <v>66</v>
      </c>
      <c r="AJ294" s="32" t="s">
        <v>6938</v>
      </c>
      <c r="AK294" s="33" t="s">
        <v>67</v>
      </c>
      <c r="AL294" s="76">
        <v>45581</v>
      </c>
      <c r="AM294" s="35" t="s">
        <v>66</v>
      </c>
      <c r="AN294" s="35"/>
      <c r="AO294" s="35"/>
      <c r="AP294" s="35"/>
      <c r="AQ294" s="37">
        <f t="shared" si="15"/>
        <v>0</v>
      </c>
      <c r="AR294" s="38">
        <f t="shared" si="16"/>
        <v>0</v>
      </c>
      <c r="AS294" s="39">
        <f t="shared" si="17"/>
        <v>0</v>
      </c>
      <c r="AT294" s="99"/>
      <c r="AU294" s="99" t="s">
        <v>1356</v>
      </c>
      <c r="AV294" s="99"/>
      <c r="AW294" s="100"/>
      <c r="AX294" s="99"/>
      <c r="AY294" s="101"/>
      <c r="AZ294" s="99"/>
      <c r="BA294" s="99" t="s">
        <v>1356</v>
      </c>
      <c r="BB294" s="99"/>
      <c r="BC294" s="101"/>
      <c r="BD294" s="99"/>
      <c r="BE294" s="101"/>
      <c r="BF294" s="99"/>
      <c r="BG294" s="99" t="s">
        <v>1356</v>
      </c>
      <c r="BH294" s="99"/>
      <c r="BI294" s="101"/>
      <c r="BJ294" s="99"/>
      <c r="BK294" s="101"/>
      <c r="BL294" s="99"/>
      <c r="BM294" s="99" t="s">
        <v>1356</v>
      </c>
      <c r="BN294" s="99"/>
      <c r="BO294" s="101"/>
      <c r="BP294" s="99"/>
      <c r="BQ294" s="101"/>
      <c r="BR294" s="99"/>
      <c r="BS294" s="99" t="s">
        <v>1356</v>
      </c>
      <c r="BT294" s="99"/>
      <c r="BU294" s="101"/>
      <c r="BV294" s="99"/>
      <c r="BW294" s="101"/>
      <c r="BX294" s="119"/>
      <c r="BY294" s="119" t="s">
        <v>1356</v>
      </c>
      <c r="BZ294" s="119"/>
      <c r="CA294" s="120"/>
      <c r="CB294" s="119"/>
      <c r="CC294" s="120"/>
      <c r="CD294" s="119"/>
      <c r="CE294" s="119" t="s">
        <v>1356</v>
      </c>
      <c r="CF294" s="119"/>
      <c r="CG294" s="120"/>
      <c r="CH294" s="119"/>
      <c r="CI294" s="120"/>
      <c r="CJ294" s="119"/>
      <c r="CK294" s="119" t="s">
        <v>1356</v>
      </c>
      <c r="CL294" s="119"/>
      <c r="CM294" s="120"/>
      <c r="CN294" s="119"/>
      <c r="CO294" s="120"/>
      <c r="CP294" s="119"/>
      <c r="CQ294" s="119" t="s">
        <v>1356</v>
      </c>
      <c r="CR294" s="119"/>
      <c r="CS294" s="120"/>
      <c r="CT294" s="119"/>
      <c r="CU294" s="120"/>
      <c r="CV294" s="119"/>
      <c r="CW294" s="119" t="s">
        <v>1356</v>
      </c>
      <c r="CX294" s="119"/>
      <c r="CY294" s="120"/>
      <c r="CZ294" s="119"/>
      <c r="DA294" s="120"/>
      <c r="DB294" s="128" t="s">
        <v>7085</v>
      </c>
      <c r="DC294" s="131" t="s">
        <v>253</v>
      </c>
    </row>
    <row r="295" spans="1:107" s="40" customFormat="1" ht="14.55" customHeight="1" x14ac:dyDescent="0.3">
      <c r="A295" s="35" t="s">
        <v>3456</v>
      </c>
      <c r="B295" s="35" t="s">
        <v>4054</v>
      </c>
      <c r="C295" s="35" t="s">
        <v>4055</v>
      </c>
      <c r="D295" s="35" t="s">
        <v>3429</v>
      </c>
      <c r="E295" s="35" t="s">
        <v>3429</v>
      </c>
      <c r="F295" s="35" t="s">
        <v>1028</v>
      </c>
      <c r="G295" s="35" t="s">
        <v>1059</v>
      </c>
      <c r="H295" s="27" t="s">
        <v>6924</v>
      </c>
      <c r="I295" s="62">
        <v>1801</v>
      </c>
      <c r="J295" s="62">
        <v>180156</v>
      </c>
      <c r="K295" s="63">
        <v>3</v>
      </c>
      <c r="L295" s="35" t="s">
        <v>3430</v>
      </c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 t="s">
        <v>3431</v>
      </c>
      <c r="X295" s="35" t="s">
        <v>3427</v>
      </c>
      <c r="Y295" s="35" t="s">
        <v>3432</v>
      </c>
      <c r="Z295" s="35"/>
      <c r="AA295" s="35"/>
      <c r="AB295" s="35"/>
      <c r="AC295" s="35"/>
      <c r="AD295" s="35"/>
      <c r="AE295" s="63">
        <v>2</v>
      </c>
      <c r="AF295" s="63" t="s">
        <v>64</v>
      </c>
      <c r="AG295" s="29" t="s">
        <v>65</v>
      </c>
      <c r="AH295" s="75"/>
      <c r="AI295" s="65" t="s">
        <v>66</v>
      </c>
      <c r="AJ295" s="32" t="s">
        <v>6938</v>
      </c>
      <c r="AK295" s="33" t="s">
        <v>67</v>
      </c>
      <c r="AL295" s="76">
        <v>45581</v>
      </c>
      <c r="AM295" s="35" t="s">
        <v>66</v>
      </c>
      <c r="AN295" s="35"/>
      <c r="AO295" s="35"/>
      <c r="AP295" s="35"/>
      <c r="AQ295" s="37">
        <f t="shared" si="15"/>
        <v>0</v>
      </c>
      <c r="AR295" s="38">
        <f t="shared" si="16"/>
        <v>0</v>
      </c>
      <c r="AS295" s="39">
        <f t="shared" si="17"/>
        <v>0</v>
      </c>
      <c r="AT295" s="99"/>
      <c r="AU295" s="99" t="s">
        <v>1356</v>
      </c>
      <c r="AV295" s="99"/>
      <c r="AW295" s="100"/>
      <c r="AX295" s="99"/>
      <c r="AY295" s="101"/>
      <c r="AZ295" s="99"/>
      <c r="BA295" s="99" t="s">
        <v>1356</v>
      </c>
      <c r="BB295" s="99"/>
      <c r="BC295" s="101"/>
      <c r="BD295" s="99"/>
      <c r="BE295" s="101"/>
      <c r="BF295" s="99"/>
      <c r="BG295" s="99" t="s">
        <v>1356</v>
      </c>
      <c r="BH295" s="99"/>
      <c r="BI295" s="101"/>
      <c r="BJ295" s="99"/>
      <c r="BK295" s="101"/>
      <c r="BL295" s="99"/>
      <c r="BM295" s="99" t="s">
        <v>1356</v>
      </c>
      <c r="BN295" s="99"/>
      <c r="BO295" s="101"/>
      <c r="BP295" s="99"/>
      <c r="BQ295" s="101"/>
      <c r="BR295" s="99"/>
      <c r="BS295" s="99" t="s">
        <v>1356</v>
      </c>
      <c r="BT295" s="99"/>
      <c r="BU295" s="101"/>
      <c r="BV295" s="99"/>
      <c r="BW295" s="101"/>
      <c r="BX295" s="119"/>
      <c r="BY295" s="119" t="s">
        <v>1356</v>
      </c>
      <c r="BZ295" s="119"/>
      <c r="CA295" s="120"/>
      <c r="CB295" s="119"/>
      <c r="CC295" s="120"/>
      <c r="CD295" s="119"/>
      <c r="CE295" s="119" t="s">
        <v>1356</v>
      </c>
      <c r="CF295" s="119"/>
      <c r="CG295" s="120"/>
      <c r="CH295" s="119"/>
      <c r="CI295" s="120"/>
      <c r="CJ295" s="119"/>
      <c r="CK295" s="119" t="s">
        <v>1356</v>
      </c>
      <c r="CL295" s="119"/>
      <c r="CM295" s="120"/>
      <c r="CN295" s="119"/>
      <c r="CO295" s="120"/>
      <c r="CP295" s="119"/>
      <c r="CQ295" s="119" t="s">
        <v>1356</v>
      </c>
      <c r="CR295" s="119"/>
      <c r="CS295" s="120"/>
      <c r="CT295" s="119"/>
      <c r="CU295" s="120"/>
      <c r="CV295" s="119"/>
      <c r="CW295" s="119" t="s">
        <v>1356</v>
      </c>
      <c r="CX295" s="119"/>
      <c r="CY295" s="120"/>
      <c r="CZ295" s="119"/>
      <c r="DA295" s="120"/>
      <c r="DB295" s="128" t="s">
        <v>7085</v>
      </c>
      <c r="DC295" s="131" t="s">
        <v>253</v>
      </c>
    </row>
    <row r="296" spans="1:107" s="40" customFormat="1" ht="14.55" customHeight="1" x14ac:dyDescent="0.3">
      <c r="A296" s="66" t="s">
        <v>3500</v>
      </c>
      <c r="B296" s="66" t="s">
        <v>3631</v>
      </c>
      <c r="C296" s="66" t="s">
        <v>3632</v>
      </c>
      <c r="D296" s="66" t="s">
        <v>773</v>
      </c>
      <c r="E296" s="66" t="s">
        <v>774</v>
      </c>
      <c r="F296" s="66" t="s">
        <v>596</v>
      </c>
      <c r="G296" s="68" t="s">
        <v>72</v>
      </c>
      <c r="H296" s="43" t="s">
        <v>251</v>
      </c>
      <c r="I296" s="68">
        <v>1701</v>
      </c>
      <c r="J296" s="68">
        <v>170150</v>
      </c>
      <c r="K296" s="69">
        <v>4</v>
      </c>
      <c r="L296" s="66" t="s">
        <v>775</v>
      </c>
      <c r="M296" s="66" t="s">
        <v>776</v>
      </c>
      <c r="N296" s="66" t="s">
        <v>777</v>
      </c>
      <c r="O296" s="66"/>
      <c r="P296" s="66"/>
      <c r="Q296" s="66"/>
      <c r="R296" s="66" t="s">
        <v>60</v>
      </c>
      <c r="S296" s="66"/>
      <c r="T296" s="66"/>
      <c r="U296" s="66"/>
      <c r="V296" s="66"/>
      <c r="W296" s="66" t="s">
        <v>778</v>
      </c>
      <c r="X296" s="66" t="s">
        <v>779</v>
      </c>
      <c r="Y296" s="66" t="s">
        <v>780</v>
      </c>
      <c r="Z296" s="66">
        <v>-78.537858</v>
      </c>
      <c r="AA296" s="66">
        <v>-0.27708300000000002</v>
      </c>
      <c r="AB296" s="66">
        <v>170150355</v>
      </c>
      <c r="AC296" s="66">
        <v>170150355001</v>
      </c>
      <c r="AD296" s="66">
        <v>170150355001001</v>
      </c>
      <c r="AE296" s="69">
        <v>5</v>
      </c>
      <c r="AF296" s="69" t="s">
        <v>772</v>
      </c>
      <c r="AG296" s="46" t="s">
        <v>66</v>
      </c>
      <c r="AH296" s="70" t="s">
        <v>781</v>
      </c>
      <c r="AI296" s="71" t="s">
        <v>66</v>
      </c>
      <c r="AJ296" s="49" t="s">
        <v>6938</v>
      </c>
      <c r="AK296" s="50" t="s">
        <v>67</v>
      </c>
      <c r="AL296" s="58">
        <v>45575</v>
      </c>
      <c r="AM296" s="52" t="s">
        <v>66</v>
      </c>
      <c r="AN296" s="52"/>
      <c r="AO296" s="52"/>
      <c r="AP296" s="52"/>
      <c r="AQ296" s="53">
        <f t="shared" si="15"/>
        <v>2</v>
      </c>
      <c r="AR296" s="54">
        <f t="shared" si="16"/>
        <v>0</v>
      </c>
      <c r="AS296" s="55">
        <f t="shared" si="17"/>
        <v>2</v>
      </c>
      <c r="AT296" s="102" t="s">
        <v>616</v>
      </c>
      <c r="AU296" s="103" t="s">
        <v>2815</v>
      </c>
      <c r="AV296" s="104">
        <v>20.78</v>
      </c>
      <c r="AW296" s="105">
        <v>45575</v>
      </c>
      <c r="AX296" s="104">
        <v>20.78</v>
      </c>
      <c r="AY296" s="106">
        <v>45608</v>
      </c>
      <c r="AZ296" s="102" t="s">
        <v>615</v>
      </c>
      <c r="BA296" s="103" t="s">
        <v>2702</v>
      </c>
      <c r="BB296" s="104">
        <v>7.65</v>
      </c>
      <c r="BC296" s="106">
        <v>45575</v>
      </c>
      <c r="BD296" s="104">
        <v>7.65</v>
      </c>
      <c r="BE296" s="106">
        <v>45608</v>
      </c>
      <c r="BF296" s="102"/>
      <c r="BG296" s="103" t="s">
        <v>1356</v>
      </c>
      <c r="BH296" s="104"/>
      <c r="BI296" s="106"/>
      <c r="BJ296" s="104"/>
      <c r="BK296" s="106"/>
      <c r="BL296" s="102"/>
      <c r="BM296" s="103" t="s">
        <v>1356</v>
      </c>
      <c r="BN296" s="104"/>
      <c r="BO296" s="106"/>
      <c r="BP296" s="104"/>
      <c r="BQ296" s="106"/>
      <c r="BR296" s="102"/>
      <c r="BS296" s="103" t="s">
        <v>1356</v>
      </c>
      <c r="BT296" s="104"/>
      <c r="BU296" s="106"/>
      <c r="BV296" s="104"/>
      <c r="BW296" s="106"/>
      <c r="BX296" s="121"/>
      <c r="BY296" s="122" t="s">
        <v>1356</v>
      </c>
      <c r="BZ296" s="123"/>
      <c r="CA296" s="124"/>
      <c r="CB296" s="123"/>
      <c r="CC296" s="124"/>
      <c r="CD296" s="121"/>
      <c r="CE296" s="122" t="s">
        <v>1356</v>
      </c>
      <c r="CF296" s="123"/>
      <c r="CG296" s="124"/>
      <c r="CH296" s="123"/>
      <c r="CI296" s="124"/>
      <c r="CJ296" s="121"/>
      <c r="CK296" s="122" t="s">
        <v>1356</v>
      </c>
      <c r="CL296" s="123"/>
      <c r="CM296" s="124"/>
      <c r="CN296" s="123"/>
      <c r="CO296" s="124"/>
      <c r="CP296" s="121"/>
      <c r="CQ296" s="122" t="s">
        <v>1356</v>
      </c>
      <c r="CR296" s="123"/>
      <c r="CS296" s="124"/>
      <c r="CT296" s="123"/>
      <c r="CU296" s="124"/>
      <c r="CV296" s="121"/>
      <c r="CW296" s="122" t="s">
        <v>1356</v>
      </c>
      <c r="CX296" s="123"/>
      <c r="CY296" s="124"/>
      <c r="CZ296" s="123"/>
      <c r="DA296" s="124"/>
      <c r="DB296" s="129" t="s">
        <v>6962</v>
      </c>
      <c r="DC296" s="129" t="s">
        <v>105</v>
      </c>
    </row>
    <row r="297" spans="1:107" s="40" customFormat="1" ht="14.55" customHeight="1" x14ac:dyDescent="0.3">
      <c r="A297" s="35" t="s">
        <v>3456</v>
      </c>
      <c r="B297" s="35" t="s">
        <v>4057</v>
      </c>
      <c r="C297" s="35" t="s">
        <v>4058</v>
      </c>
      <c r="D297" s="35" t="s">
        <v>3433</v>
      </c>
      <c r="E297" s="35" t="s">
        <v>3434</v>
      </c>
      <c r="F297" s="35" t="s">
        <v>361</v>
      </c>
      <c r="G297" s="35" t="s">
        <v>1059</v>
      </c>
      <c r="H297" s="27" t="s">
        <v>6924</v>
      </c>
      <c r="I297" s="62">
        <v>1801</v>
      </c>
      <c r="J297" s="62">
        <v>180150</v>
      </c>
      <c r="K297" s="63">
        <v>3</v>
      </c>
      <c r="L297" s="35" t="s">
        <v>3435</v>
      </c>
      <c r="M297" s="35" t="s">
        <v>3436</v>
      </c>
      <c r="N297" s="35" t="s">
        <v>3390</v>
      </c>
      <c r="O297" s="35"/>
      <c r="P297" s="35"/>
      <c r="Q297" s="35"/>
      <c r="R297" s="35"/>
      <c r="S297" s="35"/>
      <c r="T297" s="35"/>
      <c r="U297" s="35"/>
      <c r="V297" s="35"/>
      <c r="W297" s="35" t="s">
        <v>3437</v>
      </c>
      <c r="X297" s="35"/>
      <c r="Y297" s="35" t="s">
        <v>3438</v>
      </c>
      <c r="Z297" s="35"/>
      <c r="AA297" s="35"/>
      <c r="AB297" s="35"/>
      <c r="AC297" s="35"/>
      <c r="AD297" s="35"/>
      <c r="AE297" s="63">
        <v>2</v>
      </c>
      <c r="AF297" s="63" t="s">
        <v>64</v>
      </c>
      <c r="AG297" s="29" t="s">
        <v>65</v>
      </c>
      <c r="AH297" s="75"/>
      <c r="AI297" s="65" t="s">
        <v>66</v>
      </c>
      <c r="AJ297" s="32" t="s">
        <v>6938</v>
      </c>
      <c r="AK297" s="33" t="s">
        <v>67</v>
      </c>
      <c r="AL297" s="76">
        <v>45581</v>
      </c>
      <c r="AM297" s="35" t="s">
        <v>66</v>
      </c>
      <c r="AN297" s="35"/>
      <c r="AO297" s="35"/>
      <c r="AP297" s="35"/>
      <c r="AQ297" s="37">
        <f t="shared" si="15"/>
        <v>0</v>
      </c>
      <c r="AR297" s="38">
        <f t="shared" si="16"/>
        <v>0</v>
      </c>
      <c r="AS297" s="39">
        <f t="shared" si="17"/>
        <v>0</v>
      </c>
      <c r="AT297" s="99"/>
      <c r="AU297" s="99" t="s">
        <v>1356</v>
      </c>
      <c r="AV297" s="99"/>
      <c r="AW297" s="100"/>
      <c r="AX297" s="99"/>
      <c r="AY297" s="101"/>
      <c r="AZ297" s="99"/>
      <c r="BA297" s="99" t="s">
        <v>1356</v>
      </c>
      <c r="BB297" s="99"/>
      <c r="BC297" s="101"/>
      <c r="BD297" s="99"/>
      <c r="BE297" s="101"/>
      <c r="BF297" s="99"/>
      <c r="BG297" s="99" t="s">
        <v>1356</v>
      </c>
      <c r="BH297" s="99"/>
      <c r="BI297" s="101"/>
      <c r="BJ297" s="99"/>
      <c r="BK297" s="101"/>
      <c r="BL297" s="99"/>
      <c r="BM297" s="99" t="s">
        <v>1356</v>
      </c>
      <c r="BN297" s="99"/>
      <c r="BO297" s="101"/>
      <c r="BP297" s="99"/>
      <c r="BQ297" s="101"/>
      <c r="BR297" s="99"/>
      <c r="BS297" s="99" t="s">
        <v>1356</v>
      </c>
      <c r="BT297" s="99"/>
      <c r="BU297" s="101"/>
      <c r="BV297" s="99"/>
      <c r="BW297" s="101"/>
      <c r="BX297" s="119"/>
      <c r="BY297" s="119" t="s">
        <v>1356</v>
      </c>
      <c r="BZ297" s="119"/>
      <c r="CA297" s="120"/>
      <c r="CB297" s="119"/>
      <c r="CC297" s="120"/>
      <c r="CD297" s="119"/>
      <c r="CE297" s="119" t="s">
        <v>1356</v>
      </c>
      <c r="CF297" s="119"/>
      <c r="CG297" s="120"/>
      <c r="CH297" s="119"/>
      <c r="CI297" s="120"/>
      <c r="CJ297" s="119"/>
      <c r="CK297" s="119" t="s">
        <v>1356</v>
      </c>
      <c r="CL297" s="119"/>
      <c r="CM297" s="120"/>
      <c r="CN297" s="119"/>
      <c r="CO297" s="120"/>
      <c r="CP297" s="119"/>
      <c r="CQ297" s="119" t="s">
        <v>1356</v>
      </c>
      <c r="CR297" s="119"/>
      <c r="CS297" s="120"/>
      <c r="CT297" s="119"/>
      <c r="CU297" s="120"/>
      <c r="CV297" s="119"/>
      <c r="CW297" s="119" t="s">
        <v>1356</v>
      </c>
      <c r="CX297" s="119"/>
      <c r="CY297" s="120"/>
      <c r="CZ297" s="119"/>
      <c r="DA297" s="120"/>
      <c r="DB297" s="128" t="s">
        <v>7085</v>
      </c>
      <c r="DC297" s="131" t="s">
        <v>2935</v>
      </c>
    </row>
    <row r="298" spans="1:107" s="40" customFormat="1" ht="14.55" customHeight="1" x14ac:dyDescent="0.3">
      <c r="A298" s="66" t="s">
        <v>3500</v>
      </c>
      <c r="B298" s="66" t="s">
        <v>3633</v>
      </c>
      <c r="C298" s="66" t="s">
        <v>3634</v>
      </c>
      <c r="D298" s="66" t="s">
        <v>782</v>
      </c>
      <c r="E298" s="66" t="s">
        <v>783</v>
      </c>
      <c r="F298" s="66" t="s">
        <v>651</v>
      </c>
      <c r="G298" s="68" t="s">
        <v>72</v>
      </c>
      <c r="H298" s="43" t="s">
        <v>251</v>
      </c>
      <c r="I298" s="68">
        <v>1701</v>
      </c>
      <c r="J298" s="68">
        <v>170154</v>
      </c>
      <c r="K298" s="69">
        <v>4</v>
      </c>
      <c r="L298" s="66" t="s">
        <v>784</v>
      </c>
      <c r="M298" s="66" t="s">
        <v>258</v>
      </c>
      <c r="N298" s="66" t="s">
        <v>785</v>
      </c>
      <c r="O298" s="66"/>
      <c r="P298" s="66"/>
      <c r="Q298" s="66" t="s">
        <v>786</v>
      </c>
      <c r="R298" s="66" t="s">
        <v>60</v>
      </c>
      <c r="S298" s="66"/>
      <c r="T298" s="66"/>
      <c r="U298" s="66" t="s">
        <v>787</v>
      </c>
      <c r="V298" s="66"/>
      <c r="W298" s="66" t="s">
        <v>788</v>
      </c>
      <c r="X298" s="66" t="s">
        <v>789</v>
      </c>
      <c r="Y298" s="66" t="s">
        <v>790</v>
      </c>
      <c r="Z298" s="66"/>
      <c r="AA298" s="66"/>
      <c r="AB298" s="66">
        <v>170154001</v>
      </c>
      <c r="AC298" s="66">
        <v>170154001007</v>
      </c>
      <c r="AD298" s="66">
        <v>170154001007005</v>
      </c>
      <c r="AE298" s="69">
        <v>5</v>
      </c>
      <c r="AF298" s="69" t="s">
        <v>772</v>
      </c>
      <c r="AG298" s="46" t="s">
        <v>66</v>
      </c>
      <c r="AH298" s="70" t="s">
        <v>791</v>
      </c>
      <c r="AI298" s="71" t="s">
        <v>66</v>
      </c>
      <c r="AJ298" s="49" t="s">
        <v>6938</v>
      </c>
      <c r="AK298" s="50" t="s">
        <v>67</v>
      </c>
      <c r="AL298" s="58">
        <v>45575</v>
      </c>
      <c r="AM298" s="52" t="s">
        <v>66</v>
      </c>
      <c r="AN298" s="52"/>
      <c r="AO298" s="52"/>
      <c r="AP298" s="52"/>
      <c r="AQ298" s="53">
        <f t="shared" si="15"/>
        <v>5</v>
      </c>
      <c r="AR298" s="54">
        <f t="shared" si="16"/>
        <v>0</v>
      </c>
      <c r="AS298" s="55">
        <f t="shared" si="17"/>
        <v>5</v>
      </c>
      <c r="AT298" s="102" t="s">
        <v>671</v>
      </c>
      <c r="AU298" s="103" t="s">
        <v>2251</v>
      </c>
      <c r="AV298" s="104">
        <v>19.89</v>
      </c>
      <c r="AW298" s="105">
        <v>45575</v>
      </c>
      <c r="AX298" s="104">
        <v>19.89</v>
      </c>
      <c r="AY298" s="106">
        <v>45608</v>
      </c>
      <c r="AZ298" s="102" t="s">
        <v>673</v>
      </c>
      <c r="BA298" s="103" t="s">
        <v>2250</v>
      </c>
      <c r="BB298" s="104">
        <v>11.09</v>
      </c>
      <c r="BC298" s="106">
        <v>45575</v>
      </c>
      <c r="BD298" s="104">
        <v>11.09</v>
      </c>
      <c r="BE298" s="106">
        <v>45608</v>
      </c>
      <c r="BF298" s="102" t="s">
        <v>673</v>
      </c>
      <c r="BG298" s="103" t="s">
        <v>2250</v>
      </c>
      <c r="BH298" s="104">
        <v>8.01</v>
      </c>
      <c r="BI298" s="106">
        <v>45575</v>
      </c>
      <c r="BJ298" s="104">
        <v>8.01</v>
      </c>
      <c r="BK298" s="106">
        <v>45608</v>
      </c>
      <c r="BL298" s="102" t="s">
        <v>792</v>
      </c>
      <c r="BM298" s="103" t="s">
        <v>6693</v>
      </c>
      <c r="BN298" s="104">
        <v>21.36</v>
      </c>
      <c r="BO298" s="106">
        <v>45575</v>
      </c>
      <c r="BP298" s="104">
        <v>21.36</v>
      </c>
      <c r="BQ298" s="106">
        <v>45608</v>
      </c>
      <c r="BR298" s="102" t="s">
        <v>793</v>
      </c>
      <c r="BS298" s="103" t="s">
        <v>6694</v>
      </c>
      <c r="BT298" s="104">
        <v>19.989999999999998</v>
      </c>
      <c r="BU298" s="106">
        <v>45575</v>
      </c>
      <c r="BV298" s="104">
        <v>19.989999999999998</v>
      </c>
      <c r="BW298" s="106">
        <v>45608</v>
      </c>
      <c r="BX298" s="121"/>
      <c r="BY298" s="122" t="s">
        <v>1356</v>
      </c>
      <c r="BZ298" s="123"/>
      <c r="CA298" s="124"/>
      <c r="CB298" s="123"/>
      <c r="CC298" s="124"/>
      <c r="CD298" s="121"/>
      <c r="CE298" s="122" t="s">
        <v>1356</v>
      </c>
      <c r="CF298" s="123"/>
      <c r="CG298" s="124"/>
      <c r="CH298" s="123"/>
      <c r="CI298" s="124"/>
      <c r="CJ298" s="121"/>
      <c r="CK298" s="122" t="s">
        <v>1356</v>
      </c>
      <c r="CL298" s="123"/>
      <c r="CM298" s="124"/>
      <c r="CN298" s="123"/>
      <c r="CO298" s="124"/>
      <c r="CP298" s="121"/>
      <c r="CQ298" s="122" t="s">
        <v>1356</v>
      </c>
      <c r="CR298" s="123"/>
      <c r="CS298" s="124"/>
      <c r="CT298" s="123"/>
      <c r="CU298" s="124"/>
      <c r="CV298" s="121"/>
      <c r="CW298" s="122" t="s">
        <v>1356</v>
      </c>
      <c r="CX298" s="123"/>
      <c r="CY298" s="124"/>
      <c r="CZ298" s="123"/>
      <c r="DA298" s="124"/>
      <c r="DB298" s="129" t="s">
        <v>6962</v>
      </c>
      <c r="DC298" s="129" t="s">
        <v>105</v>
      </c>
    </row>
    <row r="299" spans="1:107" s="40" customFormat="1" ht="14.55" customHeight="1" x14ac:dyDescent="0.3">
      <c r="A299" s="66" t="s">
        <v>3500</v>
      </c>
      <c r="B299" s="66" t="s">
        <v>3635</v>
      </c>
      <c r="C299" s="66" t="s">
        <v>3636</v>
      </c>
      <c r="D299" s="66" t="s">
        <v>794</v>
      </c>
      <c r="E299" s="66" t="s">
        <v>795</v>
      </c>
      <c r="F299" s="66" t="s">
        <v>796</v>
      </c>
      <c r="G299" s="68" t="s">
        <v>72</v>
      </c>
      <c r="H299" s="43" t="s">
        <v>251</v>
      </c>
      <c r="I299" s="68">
        <v>1701</v>
      </c>
      <c r="J299" s="68">
        <v>170150</v>
      </c>
      <c r="K299" s="69">
        <v>4</v>
      </c>
      <c r="L299" s="66" t="s">
        <v>797</v>
      </c>
      <c r="M299" s="66" t="s">
        <v>798</v>
      </c>
      <c r="N299" s="66" t="s">
        <v>799</v>
      </c>
      <c r="O299" s="66"/>
      <c r="P299" s="66"/>
      <c r="Q299" s="66"/>
      <c r="R299" s="66" t="s">
        <v>60</v>
      </c>
      <c r="S299" s="66"/>
      <c r="T299" s="66"/>
      <c r="U299" s="66" t="s">
        <v>800</v>
      </c>
      <c r="V299" s="66"/>
      <c r="W299" s="66" t="s">
        <v>801</v>
      </c>
      <c r="X299" s="66" t="s">
        <v>802</v>
      </c>
      <c r="Y299" s="66" t="s">
        <v>803</v>
      </c>
      <c r="Z299" s="66"/>
      <c r="AA299" s="66"/>
      <c r="AB299" s="66">
        <v>170150391</v>
      </c>
      <c r="AC299" s="66">
        <v>170150391004</v>
      </c>
      <c r="AD299" s="66">
        <v>170150391004001</v>
      </c>
      <c r="AE299" s="69">
        <v>5</v>
      </c>
      <c r="AF299" s="69" t="s">
        <v>772</v>
      </c>
      <c r="AG299" s="46" t="s">
        <v>66</v>
      </c>
      <c r="AH299" s="70" t="s">
        <v>804</v>
      </c>
      <c r="AI299" s="71" t="s">
        <v>66</v>
      </c>
      <c r="AJ299" s="49" t="s">
        <v>6938</v>
      </c>
      <c r="AK299" s="50" t="s">
        <v>67</v>
      </c>
      <c r="AL299" s="58">
        <v>45575</v>
      </c>
      <c r="AM299" s="52" t="s">
        <v>66</v>
      </c>
      <c r="AN299" s="52"/>
      <c r="AO299" s="52"/>
      <c r="AP299" s="52"/>
      <c r="AQ299" s="53">
        <f t="shared" si="15"/>
        <v>2</v>
      </c>
      <c r="AR299" s="54">
        <f t="shared" si="16"/>
        <v>0</v>
      </c>
      <c r="AS299" s="55">
        <f t="shared" si="17"/>
        <v>2</v>
      </c>
      <c r="AT299" s="102" t="s">
        <v>805</v>
      </c>
      <c r="AU299" s="103" t="s">
        <v>6695</v>
      </c>
      <c r="AV299" s="104">
        <v>43.78</v>
      </c>
      <c r="AW299" s="105">
        <v>45575</v>
      </c>
      <c r="AX299" s="104">
        <v>43.78</v>
      </c>
      <c r="AY299" s="106">
        <v>45608</v>
      </c>
      <c r="AZ299" s="102" t="s">
        <v>806</v>
      </c>
      <c r="BA299" s="103" t="s">
        <v>6696</v>
      </c>
      <c r="BB299" s="104">
        <v>11.28</v>
      </c>
      <c r="BC299" s="106">
        <v>45575</v>
      </c>
      <c r="BD299" s="104">
        <v>11.28</v>
      </c>
      <c r="BE299" s="106">
        <v>45608</v>
      </c>
      <c r="BF299" s="102"/>
      <c r="BG299" s="103" t="s">
        <v>1356</v>
      </c>
      <c r="BH299" s="104"/>
      <c r="BI299" s="106"/>
      <c r="BJ299" s="104"/>
      <c r="BK299" s="106"/>
      <c r="BL299" s="102"/>
      <c r="BM299" s="103" t="s">
        <v>1356</v>
      </c>
      <c r="BN299" s="104"/>
      <c r="BO299" s="106"/>
      <c r="BP299" s="104"/>
      <c r="BQ299" s="106"/>
      <c r="BR299" s="102"/>
      <c r="BS299" s="103" t="s">
        <v>1356</v>
      </c>
      <c r="BT299" s="104"/>
      <c r="BU299" s="106"/>
      <c r="BV299" s="104"/>
      <c r="BW299" s="106"/>
      <c r="BX299" s="121"/>
      <c r="BY299" s="122" t="s">
        <v>1356</v>
      </c>
      <c r="BZ299" s="123"/>
      <c r="CA299" s="124"/>
      <c r="CB299" s="123"/>
      <c r="CC299" s="124"/>
      <c r="CD299" s="121"/>
      <c r="CE299" s="122" t="s">
        <v>1356</v>
      </c>
      <c r="CF299" s="123"/>
      <c r="CG299" s="124"/>
      <c r="CH299" s="123"/>
      <c r="CI299" s="124"/>
      <c r="CJ299" s="121"/>
      <c r="CK299" s="122" t="s">
        <v>1356</v>
      </c>
      <c r="CL299" s="123"/>
      <c r="CM299" s="124"/>
      <c r="CN299" s="123"/>
      <c r="CO299" s="124"/>
      <c r="CP299" s="121"/>
      <c r="CQ299" s="122" t="s">
        <v>1356</v>
      </c>
      <c r="CR299" s="123"/>
      <c r="CS299" s="124"/>
      <c r="CT299" s="123"/>
      <c r="CU299" s="124"/>
      <c r="CV299" s="121"/>
      <c r="CW299" s="122" t="s">
        <v>1356</v>
      </c>
      <c r="CX299" s="123"/>
      <c r="CY299" s="124"/>
      <c r="CZ299" s="123"/>
      <c r="DA299" s="124"/>
      <c r="DB299" s="129" t="s">
        <v>6962</v>
      </c>
      <c r="DC299" s="129" t="s">
        <v>105</v>
      </c>
    </row>
    <row r="300" spans="1:107" s="40" customFormat="1" ht="14.55" customHeight="1" x14ac:dyDescent="0.3">
      <c r="A300" s="66" t="s">
        <v>3500</v>
      </c>
      <c r="B300" s="66" t="s">
        <v>3641</v>
      </c>
      <c r="C300" s="66" t="s">
        <v>3642</v>
      </c>
      <c r="D300" s="66" t="s">
        <v>823</v>
      </c>
      <c r="E300" s="66" t="s">
        <v>824</v>
      </c>
      <c r="F300" s="66" t="s">
        <v>825</v>
      </c>
      <c r="G300" s="68" t="s">
        <v>72</v>
      </c>
      <c r="H300" s="43" t="s">
        <v>251</v>
      </c>
      <c r="I300" s="68">
        <v>1701</v>
      </c>
      <c r="J300" s="68">
        <v>170150</v>
      </c>
      <c r="K300" s="69">
        <v>4</v>
      </c>
      <c r="L300" s="66" t="s">
        <v>491</v>
      </c>
      <c r="M300" s="66" t="s">
        <v>826</v>
      </c>
      <c r="N300" s="66" t="s">
        <v>827</v>
      </c>
      <c r="O300" s="66"/>
      <c r="P300" s="66"/>
      <c r="Q300" s="66"/>
      <c r="R300" s="66" t="s">
        <v>60</v>
      </c>
      <c r="S300" s="66"/>
      <c r="T300" s="66" t="s">
        <v>828</v>
      </c>
      <c r="U300" s="66"/>
      <c r="V300" s="66"/>
      <c r="W300" s="66" t="s">
        <v>829</v>
      </c>
      <c r="X300" s="66" t="s">
        <v>830</v>
      </c>
      <c r="Y300" s="66" t="s">
        <v>831</v>
      </c>
      <c r="Z300" s="66"/>
      <c r="AA300" s="66"/>
      <c r="AB300" s="66">
        <v>170150036</v>
      </c>
      <c r="AC300" s="66">
        <v>170150036005</v>
      </c>
      <c r="AD300" s="66">
        <v>170150036005003</v>
      </c>
      <c r="AE300" s="69">
        <v>5</v>
      </c>
      <c r="AF300" s="69" t="s">
        <v>772</v>
      </c>
      <c r="AG300" s="46" t="s">
        <v>66</v>
      </c>
      <c r="AH300" s="70" t="s">
        <v>832</v>
      </c>
      <c r="AI300" s="71" t="s">
        <v>66</v>
      </c>
      <c r="AJ300" s="49" t="s">
        <v>6938</v>
      </c>
      <c r="AK300" s="50" t="s">
        <v>67</v>
      </c>
      <c r="AL300" s="58">
        <v>45575</v>
      </c>
      <c r="AM300" s="52" t="s">
        <v>66</v>
      </c>
      <c r="AN300" s="52"/>
      <c r="AO300" s="52"/>
      <c r="AP300" s="52"/>
      <c r="AQ300" s="53">
        <f t="shared" si="15"/>
        <v>1</v>
      </c>
      <c r="AR300" s="54">
        <f t="shared" si="16"/>
        <v>0</v>
      </c>
      <c r="AS300" s="55">
        <f t="shared" si="17"/>
        <v>1</v>
      </c>
      <c r="AT300" s="102" t="s">
        <v>833</v>
      </c>
      <c r="AU300" s="103" t="s">
        <v>6697</v>
      </c>
      <c r="AV300" s="104">
        <v>6.9</v>
      </c>
      <c r="AW300" s="105">
        <v>45575</v>
      </c>
      <c r="AX300" s="104">
        <v>6.9</v>
      </c>
      <c r="AY300" s="106">
        <v>45608</v>
      </c>
      <c r="AZ300" s="102"/>
      <c r="BA300" s="103" t="s">
        <v>1356</v>
      </c>
      <c r="BB300" s="104"/>
      <c r="BC300" s="106"/>
      <c r="BD300" s="104"/>
      <c r="BE300" s="106"/>
      <c r="BF300" s="102"/>
      <c r="BG300" s="103" t="s">
        <v>1356</v>
      </c>
      <c r="BH300" s="104"/>
      <c r="BI300" s="106"/>
      <c r="BJ300" s="104"/>
      <c r="BK300" s="106"/>
      <c r="BL300" s="102"/>
      <c r="BM300" s="103" t="s">
        <v>1356</v>
      </c>
      <c r="BN300" s="104"/>
      <c r="BO300" s="106"/>
      <c r="BP300" s="104"/>
      <c r="BQ300" s="106"/>
      <c r="BR300" s="102"/>
      <c r="BS300" s="103" t="s">
        <v>1356</v>
      </c>
      <c r="BT300" s="104"/>
      <c r="BU300" s="106"/>
      <c r="BV300" s="104"/>
      <c r="BW300" s="106"/>
      <c r="BX300" s="121"/>
      <c r="BY300" s="122" t="s">
        <v>1356</v>
      </c>
      <c r="BZ300" s="123"/>
      <c r="CA300" s="124"/>
      <c r="CB300" s="123"/>
      <c r="CC300" s="124"/>
      <c r="CD300" s="121"/>
      <c r="CE300" s="122" t="s">
        <v>1356</v>
      </c>
      <c r="CF300" s="123"/>
      <c r="CG300" s="124"/>
      <c r="CH300" s="123"/>
      <c r="CI300" s="124"/>
      <c r="CJ300" s="121"/>
      <c r="CK300" s="122" t="s">
        <v>1356</v>
      </c>
      <c r="CL300" s="123"/>
      <c r="CM300" s="124"/>
      <c r="CN300" s="123"/>
      <c r="CO300" s="124"/>
      <c r="CP300" s="121"/>
      <c r="CQ300" s="122" t="s">
        <v>1356</v>
      </c>
      <c r="CR300" s="123"/>
      <c r="CS300" s="124"/>
      <c r="CT300" s="123"/>
      <c r="CU300" s="124"/>
      <c r="CV300" s="121"/>
      <c r="CW300" s="122" t="s">
        <v>1356</v>
      </c>
      <c r="CX300" s="123"/>
      <c r="CY300" s="124"/>
      <c r="CZ300" s="123"/>
      <c r="DA300" s="124"/>
      <c r="DB300" s="129" t="s">
        <v>6962</v>
      </c>
      <c r="DC300" s="129" t="s">
        <v>105</v>
      </c>
    </row>
    <row r="301" spans="1:107" s="40" customFormat="1" ht="14.55" customHeight="1" x14ac:dyDescent="0.3">
      <c r="A301" s="66" t="s">
        <v>3500</v>
      </c>
      <c r="B301" s="66" t="s">
        <v>3643</v>
      </c>
      <c r="C301" s="66" t="s">
        <v>3644</v>
      </c>
      <c r="D301" s="66" t="s">
        <v>834</v>
      </c>
      <c r="E301" s="66" t="s">
        <v>835</v>
      </c>
      <c r="F301" s="66" t="s">
        <v>836</v>
      </c>
      <c r="G301" s="68" t="s">
        <v>72</v>
      </c>
      <c r="H301" s="43" t="s">
        <v>251</v>
      </c>
      <c r="I301" s="68">
        <v>1701</v>
      </c>
      <c r="J301" s="68">
        <v>170150</v>
      </c>
      <c r="K301" s="69">
        <v>4</v>
      </c>
      <c r="L301" s="66" t="s">
        <v>580</v>
      </c>
      <c r="M301" s="66" t="s">
        <v>837</v>
      </c>
      <c r="N301" s="66" t="s">
        <v>838</v>
      </c>
      <c r="O301" s="66"/>
      <c r="P301" s="66"/>
      <c r="Q301" s="66" t="s">
        <v>839</v>
      </c>
      <c r="R301" s="66" t="s">
        <v>60</v>
      </c>
      <c r="S301" s="66"/>
      <c r="T301" s="66"/>
      <c r="U301" s="66" t="s">
        <v>548</v>
      </c>
      <c r="V301" s="66"/>
      <c r="W301" s="66" t="s">
        <v>840</v>
      </c>
      <c r="X301" s="66" t="s">
        <v>841</v>
      </c>
      <c r="Y301" s="66" t="s">
        <v>842</v>
      </c>
      <c r="Z301" s="66"/>
      <c r="AA301" s="66"/>
      <c r="AB301" s="66">
        <v>170150114</v>
      </c>
      <c r="AC301" s="66">
        <v>170150114010</v>
      </c>
      <c r="AD301" s="66">
        <v>170150114010005</v>
      </c>
      <c r="AE301" s="69">
        <v>5</v>
      </c>
      <c r="AF301" s="69" t="s">
        <v>772</v>
      </c>
      <c r="AG301" s="46" t="s">
        <v>66</v>
      </c>
      <c r="AH301" s="70" t="s">
        <v>843</v>
      </c>
      <c r="AI301" s="71" t="s">
        <v>66</v>
      </c>
      <c r="AJ301" s="49" t="s">
        <v>6938</v>
      </c>
      <c r="AK301" s="50" t="s">
        <v>67</v>
      </c>
      <c r="AL301" s="58">
        <v>45575</v>
      </c>
      <c r="AM301" s="52" t="s">
        <v>66</v>
      </c>
      <c r="AN301" s="52"/>
      <c r="AO301" s="52"/>
      <c r="AP301" s="52"/>
      <c r="AQ301" s="53">
        <f t="shared" si="15"/>
        <v>4</v>
      </c>
      <c r="AR301" s="54">
        <f t="shared" si="16"/>
        <v>0</v>
      </c>
      <c r="AS301" s="55">
        <f t="shared" si="17"/>
        <v>4</v>
      </c>
      <c r="AT301" s="102" t="s">
        <v>844</v>
      </c>
      <c r="AU301" s="103" t="s">
        <v>6698</v>
      </c>
      <c r="AV301" s="104">
        <v>24.11</v>
      </c>
      <c r="AW301" s="105">
        <v>45575</v>
      </c>
      <c r="AX301" s="104">
        <v>24.11</v>
      </c>
      <c r="AY301" s="106">
        <v>45608</v>
      </c>
      <c r="AZ301" s="102" t="s">
        <v>844</v>
      </c>
      <c r="BA301" s="103" t="s">
        <v>6698</v>
      </c>
      <c r="BB301" s="104">
        <v>16.97</v>
      </c>
      <c r="BC301" s="106">
        <v>45575</v>
      </c>
      <c r="BD301" s="104">
        <v>16.97</v>
      </c>
      <c r="BE301" s="106">
        <v>45608</v>
      </c>
      <c r="BF301" s="102" t="s">
        <v>845</v>
      </c>
      <c r="BG301" s="103" t="s">
        <v>6699</v>
      </c>
      <c r="BH301" s="104">
        <v>26.73</v>
      </c>
      <c r="BI301" s="106">
        <v>45575</v>
      </c>
      <c r="BJ301" s="104">
        <v>26.73</v>
      </c>
      <c r="BK301" s="106">
        <v>45608</v>
      </c>
      <c r="BL301" s="102" t="s">
        <v>792</v>
      </c>
      <c r="BM301" s="103" t="s">
        <v>6693</v>
      </c>
      <c r="BN301" s="104">
        <v>42.24</v>
      </c>
      <c r="BO301" s="106">
        <v>45575</v>
      </c>
      <c r="BP301" s="104">
        <v>42.24</v>
      </c>
      <c r="BQ301" s="106">
        <v>45608</v>
      </c>
      <c r="BR301" s="102"/>
      <c r="BS301" s="103" t="s">
        <v>1356</v>
      </c>
      <c r="BT301" s="104"/>
      <c r="BU301" s="106"/>
      <c r="BV301" s="104"/>
      <c r="BW301" s="106"/>
      <c r="BX301" s="121"/>
      <c r="BY301" s="122" t="s">
        <v>1356</v>
      </c>
      <c r="BZ301" s="123"/>
      <c r="CA301" s="124"/>
      <c r="CB301" s="123"/>
      <c r="CC301" s="124"/>
      <c r="CD301" s="121"/>
      <c r="CE301" s="122" t="s">
        <v>1356</v>
      </c>
      <c r="CF301" s="123"/>
      <c r="CG301" s="124"/>
      <c r="CH301" s="123"/>
      <c r="CI301" s="124"/>
      <c r="CJ301" s="121"/>
      <c r="CK301" s="122" t="s">
        <v>1356</v>
      </c>
      <c r="CL301" s="123"/>
      <c r="CM301" s="124"/>
      <c r="CN301" s="123"/>
      <c r="CO301" s="124"/>
      <c r="CP301" s="121"/>
      <c r="CQ301" s="122" t="s">
        <v>1356</v>
      </c>
      <c r="CR301" s="123"/>
      <c r="CS301" s="124"/>
      <c r="CT301" s="123"/>
      <c r="CU301" s="124"/>
      <c r="CV301" s="121"/>
      <c r="CW301" s="122" t="s">
        <v>1356</v>
      </c>
      <c r="CX301" s="123"/>
      <c r="CY301" s="124"/>
      <c r="CZ301" s="123"/>
      <c r="DA301" s="124"/>
      <c r="DB301" s="129" t="s">
        <v>6962</v>
      </c>
      <c r="DC301" s="129" t="s">
        <v>105</v>
      </c>
    </row>
    <row r="302" spans="1:107" s="40" customFormat="1" ht="14.55" customHeight="1" x14ac:dyDescent="0.3">
      <c r="A302" s="35" t="s">
        <v>3456</v>
      </c>
      <c r="B302" s="35" t="s">
        <v>4063</v>
      </c>
      <c r="C302" s="35" t="s">
        <v>2636</v>
      </c>
      <c r="D302" s="35" t="s">
        <v>2637</v>
      </c>
      <c r="E302" s="35" t="s">
        <v>2638</v>
      </c>
      <c r="F302" s="35" t="s">
        <v>142</v>
      </c>
      <c r="G302" s="35" t="s">
        <v>1059</v>
      </c>
      <c r="H302" s="27" t="s">
        <v>6924</v>
      </c>
      <c r="I302" s="62">
        <v>1801</v>
      </c>
      <c r="J302" s="62">
        <v>180150</v>
      </c>
      <c r="K302" s="63">
        <v>3</v>
      </c>
      <c r="L302" s="35" t="s">
        <v>2639</v>
      </c>
      <c r="M302" s="35"/>
      <c r="N302" s="35" t="s">
        <v>2640</v>
      </c>
      <c r="O302" s="35"/>
      <c r="P302" s="35"/>
      <c r="Q302" s="35"/>
      <c r="R302" s="35"/>
      <c r="S302" s="35"/>
      <c r="T302" s="35"/>
      <c r="U302" s="35" t="s">
        <v>2641</v>
      </c>
      <c r="V302" s="35"/>
      <c r="W302" s="35" t="s">
        <v>2642</v>
      </c>
      <c r="X302" s="35" t="s">
        <v>2643</v>
      </c>
      <c r="Y302" s="35" t="s">
        <v>2644</v>
      </c>
      <c r="Z302" s="35">
        <v>-78.610765999999998</v>
      </c>
      <c r="AA302" s="35">
        <v>-1.239293</v>
      </c>
      <c r="AB302" s="35">
        <v>180150008</v>
      </c>
      <c r="AC302" s="35">
        <v>180150008004</v>
      </c>
      <c r="AD302" s="35">
        <v>180150008004003</v>
      </c>
      <c r="AE302" s="63">
        <v>3</v>
      </c>
      <c r="AF302" s="63" t="s">
        <v>377</v>
      </c>
      <c r="AG302" s="29" t="s">
        <v>65</v>
      </c>
      <c r="AH302" s="64"/>
      <c r="AI302" s="65" t="s">
        <v>66</v>
      </c>
      <c r="AJ302" s="32" t="s">
        <v>6938</v>
      </c>
      <c r="AK302" s="33" t="s">
        <v>67</v>
      </c>
      <c r="AL302" s="76">
        <v>45124</v>
      </c>
      <c r="AM302" s="35" t="s">
        <v>66</v>
      </c>
      <c r="AN302" s="35"/>
      <c r="AO302" s="35"/>
      <c r="AP302" s="35"/>
      <c r="AQ302" s="37">
        <f t="shared" si="15"/>
        <v>0</v>
      </c>
      <c r="AR302" s="38">
        <f t="shared" si="16"/>
        <v>0</v>
      </c>
      <c r="AS302" s="39">
        <f t="shared" si="17"/>
        <v>0</v>
      </c>
      <c r="AT302" s="99"/>
      <c r="AU302" s="99" t="s">
        <v>1356</v>
      </c>
      <c r="AV302" s="99"/>
      <c r="AW302" s="100"/>
      <c r="AX302" s="99"/>
      <c r="AY302" s="101"/>
      <c r="AZ302" s="99"/>
      <c r="BA302" s="99" t="s">
        <v>1356</v>
      </c>
      <c r="BB302" s="99"/>
      <c r="BC302" s="101"/>
      <c r="BD302" s="99"/>
      <c r="BE302" s="101"/>
      <c r="BF302" s="99"/>
      <c r="BG302" s="99" t="s">
        <v>1356</v>
      </c>
      <c r="BH302" s="99"/>
      <c r="BI302" s="101"/>
      <c r="BJ302" s="99"/>
      <c r="BK302" s="101"/>
      <c r="BL302" s="99"/>
      <c r="BM302" s="99" t="s">
        <v>1356</v>
      </c>
      <c r="BN302" s="99"/>
      <c r="BO302" s="101"/>
      <c r="BP302" s="99"/>
      <c r="BQ302" s="101"/>
      <c r="BR302" s="99"/>
      <c r="BS302" s="99" t="s">
        <v>1356</v>
      </c>
      <c r="BT302" s="99"/>
      <c r="BU302" s="101"/>
      <c r="BV302" s="99"/>
      <c r="BW302" s="101"/>
      <c r="BX302" s="119"/>
      <c r="BY302" s="119" t="s">
        <v>1356</v>
      </c>
      <c r="BZ302" s="119"/>
      <c r="CA302" s="120"/>
      <c r="CB302" s="119"/>
      <c r="CC302" s="120"/>
      <c r="CD302" s="119"/>
      <c r="CE302" s="119" t="s">
        <v>1356</v>
      </c>
      <c r="CF302" s="119"/>
      <c r="CG302" s="120"/>
      <c r="CH302" s="119"/>
      <c r="CI302" s="120"/>
      <c r="CJ302" s="119"/>
      <c r="CK302" s="119" t="s">
        <v>1356</v>
      </c>
      <c r="CL302" s="119"/>
      <c r="CM302" s="120"/>
      <c r="CN302" s="119"/>
      <c r="CO302" s="120"/>
      <c r="CP302" s="119"/>
      <c r="CQ302" s="119" t="s">
        <v>1356</v>
      </c>
      <c r="CR302" s="119"/>
      <c r="CS302" s="120"/>
      <c r="CT302" s="119"/>
      <c r="CU302" s="120"/>
      <c r="CV302" s="119"/>
      <c r="CW302" s="119" t="s">
        <v>1356</v>
      </c>
      <c r="CX302" s="119"/>
      <c r="CY302" s="120"/>
      <c r="CZ302" s="119"/>
      <c r="DA302" s="120"/>
      <c r="DB302" s="128" t="s">
        <v>7085</v>
      </c>
      <c r="DC302" s="131" t="s">
        <v>105</v>
      </c>
    </row>
    <row r="303" spans="1:107" s="40" customFormat="1" ht="14.55" customHeight="1" x14ac:dyDescent="0.3">
      <c r="A303" s="35" t="s">
        <v>3456</v>
      </c>
      <c r="B303" s="35" t="s">
        <v>4064</v>
      </c>
      <c r="C303" s="35" t="s">
        <v>4065</v>
      </c>
      <c r="D303" s="35" t="s">
        <v>3439</v>
      </c>
      <c r="E303" s="35" t="s">
        <v>3440</v>
      </c>
      <c r="F303" s="35" t="s">
        <v>160</v>
      </c>
      <c r="G303" s="35" t="s">
        <v>1059</v>
      </c>
      <c r="H303" s="27" t="s">
        <v>6924</v>
      </c>
      <c r="I303" s="62">
        <v>1801</v>
      </c>
      <c r="J303" s="62">
        <v>180156</v>
      </c>
      <c r="K303" s="63">
        <v>3</v>
      </c>
      <c r="L303" s="35" t="s">
        <v>3441</v>
      </c>
      <c r="M303" s="35" t="s">
        <v>258</v>
      </c>
      <c r="N303" s="35" t="s">
        <v>3442</v>
      </c>
      <c r="O303" s="35"/>
      <c r="P303" s="35"/>
      <c r="Q303" s="35" t="s">
        <v>3443</v>
      </c>
      <c r="R303" s="35" t="s">
        <v>113</v>
      </c>
      <c r="S303" s="35"/>
      <c r="T303" s="35"/>
      <c r="U303" s="35" t="s">
        <v>3425</v>
      </c>
      <c r="V303" s="35"/>
      <c r="W303" s="35" t="s">
        <v>3444</v>
      </c>
      <c r="X303" s="35" t="s">
        <v>3445</v>
      </c>
      <c r="Y303" s="35" t="s">
        <v>3446</v>
      </c>
      <c r="Z303" s="35">
        <v>-78.593600392341614</v>
      </c>
      <c r="AA303" s="35">
        <v>-1.228250356827016</v>
      </c>
      <c r="AB303" s="35">
        <v>180156003</v>
      </c>
      <c r="AC303" s="35">
        <v>180156003010</v>
      </c>
      <c r="AD303" s="35">
        <v>180156003010001</v>
      </c>
      <c r="AE303" s="63">
        <v>3</v>
      </c>
      <c r="AF303" s="63" t="s">
        <v>377</v>
      </c>
      <c r="AG303" s="29" t="s">
        <v>65</v>
      </c>
      <c r="AH303" s="75"/>
      <c r="AI303" s="65" t="s">
        <v>66</v>
      </c>
      <c r="AJ303" s="32" t="s">
        <v>6938</v>
      </c>
      <c r="AK303" s="33" t="s">
        <v>67</v>
      </c>
      <c r="AL303" s="76">
        <v>45602</v>
      </c>
      <c r="AM303" s="35" t="s">
        <v>66</v>
      </c>
      <c r="AN303" s="35"/>
      <c r="AO303" s="35"/>
      <c r="AP303" s="35"/>
      <c r="AQ303" s="37">
        <f t="shared" si="15"/>
        <v>0</v>
      </c>
      <c r="AR303" s="38">
        <f t="shared" si="16"/>
        <v>0</v>
      </c>
      <c r="AS303" s="39">
        <f t="shared" si="17"/>
        <v>0</v>
      </c>
      <c r="AT303" s="99"/>
      <c r="AU303" s="99" t="s">
        <v>1356</v>
      </c>
      <c r="AV303" s="99"/>
      <c r="AW303" s="100"/>
      <c r="AX303" s="99"/>
      <c r="AY303" s="101"/>
      <c r="AZ303" s="99"/>
      <c r="BA303" s="99" t="s">
        <v>1356</v>
      </c>
      <c r="BB303" s="99"/>
      <c r="BC303" s="101"/>
      <c r="BD303" s="99"/>
      <c r="BE303" s="101"/>
      <c r="BF303" s="99"/>
      <c r="BG303" s="99" t="s">
        <v>1356</v>
      </c>
      <c r="BH303" s="99"/>
      <c r="BI303" s="101"/>
      <c r="BJ303" s="99"/>
      <c r="BK303" s="101"/>
      <c r="BL303" s="99"/>
      <c r="BM303" s="99" t="s">
        <v>1356</v>
      </c>
      <c r="BN303" s="99"/>
      <c r="BO303" s="101"/>
      <c r="BP303" s="99"/>
      <c r="BQ303" s="101"/>
      <c r="BR303" s="99"/>
      <c r="BS303" s="99" t="s">
        <v>1356</v>
      </c>
      <c r="BT303" s="99"/>
      <c r="BU303" s="101"/>
      <c r="BV303" s="99"/>
      <c r="BW303" s="101"/>
      <c r="BX303" s="119"/>
      <c r="BY303" s="119" t="s">
        <v>1356</v>
      </c>
      <c r="BZ303" s="119"/>
      <c r="CA303" s="120"/>
      <c r="CB303" s="119"/>
      <c r="CC303" s="120"/>
      <c r="CD303" s="119"/>
      <c r="CE303" s="119" t="s">
        <v>1356</v>
      </c>
      <c r="CF303" s="119"/>
      <c r="CG303" s="120"/>
      <c r="CH303" s="119"/>
      <c r="CI303" s="120"/>
      <c r="CJ303" s="119"/>
      <c r="CK303" s="119" t="s">
        <v>1356</v>
      </c>
      <c r="CL303" s="119"/>
      <c r="CM303" s="120"/>
      <c r="CN303" s="119"/>
      <c r="CO303" s="120"/>
      <c r="CP303" s="119"/>
      <c r="CQ303" s="119" t="s">
        <v>1356</v>
      </c>
      <c r="CR303" s="119"/>
      <c r="CS303" s="120"/>
      <c r="CT303" s="119"/>
      <c r="CU303" s="120"/>
      <c r="CV303" s="119"/>
      <c r="CW303" s="119" t="s">
        <v>1356</v>
      </c>
      <c r="CX303" s="119"/>
      <c r="CY303" s="120"/>
      <c r="CZ303" s="119"/>
      <c r="DA303" s="120"/>
      <c r="DB303" s="128" t="s">
        <v>7085</v>
      </c>
      <c r="DC303" s="131" t="s">
        <v>6751</v>
      </c>
    </row>
    <row r="304" spans="1:107" s="40" customFormat="1" ht="14.55" customHeight="1" x14ac:dyDescent="0.3">
      <c r="A304" s="66" t="s">
        <v>3500</v>
      </c>
      <c r="B304" s="66" t="s">
        <v>3645</v>
      </c>
      <c r="C304" s="66" t="s">
        <v>3646</v>
      </c>
      <c r="D304" s="66" t="s">
        <v>846</v>
      </c>
      <c r="E304" s="66" t="s">
        <v>847</v>
      </c>
      <c r="F304" s="66" t="s">
        <v>431</v>
      </c>
      <c r="G304" s="68" t="s">
        <v>72</v>
      </c>
      <c r="H304" s="43" t="s">
        <v>251</v>
      </c>
      <c r="I304" s="68">
        <v>1701</v>
      </c>
      <c r="J304" s="68">
        <v>170150</v>
      </c>
      <c r="K304" s="69">
        <v>4</v>
      </c>
      <c r="L304" s="66" t="s">
        <v>848</v>
      </c>
      <c r="M304" s="66" t="s">
        <v>849</v>
      </c>
      <c r="N304" s="66" t="s">
        <v>850</v>
      </c>
      <c r="O304" s="66"/>
      <c r="P304" s="66"/>
      <c r="Q304" s="66"/>
      <c r="R304" s="66" t="s">
        <v>60</v>
      </c>
      <c r="S304" s="66"/>
      <c r="T304" s="66"/>
      <c r="U304" s="66" t="s">
        <v>851</v>
      </c>
      <c r="V304" s="66"/>
      <c r="W304" s="66" t="s">
        <v>852</v>
      </c>
      <c r="X304" s="66" t="s">
        <v>853</v>
      </c>
      <c r="Y304" s="66" t="s">
        <v>854</v>
      </c>
      <c r="Z304" s="66"/>
      <c r="AA304" s="66"/>
      <c r="AB304" s="66">
        <v>170150342</v>
      </c>
      <c r="AC304" s="66">
        <v>170150342001</v>
      </c>
      <c r="AD304" s="66">
        <v>170150342001004</v>
      </c>
      <c r="AE304" s="69">
        <v>5</v>
      </c>
      <c r="AF304" s="69" t="s">
        <v>772</v>
      </c>
      <c r="AG304" s="46" t="s">
        <v>66</v>
      </c>
      <c r="AH304" s="70" t="s">
        <v>855</v>
      </c>
      <c r="AI304" s="71" t="s">
        <v>66</v>
      </c>
      <c r="AJ304" s="49" t="s">
        <v>6938</v>
      </c>
      <c r="AK304" s="50" t="s">
        <v>67</v>
      </c>
      <c r="AL304" s="58">
        <v>45575</v>
      </c>
      <c r="AM304" s="52" t="s">
        <v>66</v>
      </c>
      <c r="AN304" s="52"/>
      <c r="AO304" s="52"/>
      <c r="AP304" s="52"/>
      <c r="AQ304" s="53">
        <f t="shared" si="15"/>
        <v>3</v>
      </c>
      <c r="AR304" s="54">
        <f t="shared" si="16"/>
        <v>0</v>
      </c>
      <c r="AS304" s="55">
        <f t="shared" si="17"/>
        <v>3</v>
      </c>
      <c r="AT304" s="102" t="s">
        <v>636</v>
      </c>
      <c r="AU304" s="103" t="s">
        <v>3354</v>
      </c>
      <c r="AV304" s="104">
        <v>72.16</v>
      </c>
      <c r="AW304" s="105">
        <v>45575</v>
      </c>
      <c r="AX304" s="104">
        <v>72.16</v>
      </c>
      <c r="AY304" s="106">
        <v>45608</v>
      </c>
      <c r="AZ304" s="102" t="s">
        <v>636</v>
      </c>
      <c r="BA304" s="103" t="s">
        <v>3354</v>
      </c>
      <c r="BB304" s="104">
        <v>126.5</v>
      </c>
      <c r="BC304" s="106">
        <v>45575</v>
      </c>
      <c r="BD304" s="104">
        <v>126.5</v>
      </c>
      <c r="BE304" s="106">
        <v>45608</v>
      </c>
      <c r="BF304" s="102" t="s">
        <v>856</v>
      </c>
      <c r="BG304" s="103" t="s">
        <v>5374</v>
      </c>
      <c r="BH304" s="104">
        <v>154</v>
      </c>
      <c r="BI304" s="106">
        <v>45575</v>
      </c>
      <c r="BJ304" s="104">
        <v>154</v>
      </c>
      <c r="BK304" s="106">
        <v>45608</v>
      </c>
      <c r="BL304" s="102"/>
      <c r="BM304" s="103" t="s">
        <v>1356</v>
      </c>
      <c r="BN304" s="104"/>
      <c r="BO304" s="106"/>
      <c r="BP304" s="104"/>
      <c r="BQ304" s="106"/>
      <c r="BR304" s="102"/>
      <c r="BS304" s="103" t="s">
        <v>1356</v>
      </c>
      <c r="BT304" s="104"/>
      <c r="BU304" s="106"/>
      <c r="BV304" s="104"/>
      <c r="BW304" s="106"/>
      <c r="BX304" s="121"/>
      <c r="BY304" s="122" t="s">
        <v>1356</v>
      </c>
      <c r="BZ304" s="123"/>
      <c r="CA304" s="124"/>
      <c r="CB304" s="123"/>
      <c r="CC304" s="124"/>
      <c r="CD304" s="121"/>
      <c r="CE304" s="122" t="s">
        <v>1356</v>
      </c>
      <c r="CF304" s="123"/>
      <c r="CG304" s="124"/>
      <c r="CH304" s="123"/>
      <c r="CI304" s="124"/>
      <c r="CJ304" s="121"/>
      <c r="CK304" s="122" t="s">
        <v>1356</v>
      </c>
      <c r="CL304" s="123"/>
      <c r="CM304" s="124"/>
      <c r="CN304" s="123"/>
      <c r="CO304" s="124"/>
      <c r="CP304" s="121"/>
      <c r="CQ304" s="122" t="s">
        <v>1356</v>
      </c>
      <c r="CR304" s="123"/>
      <c r="CS304" s="124"/>
      <c r="CT304" s="123"/>
      <c r="CU304" s="124"/>
      <c r="CV304" s="121"/>
      <c r="CW304" s="122" t="s">
        <v>1356</v>
      </c>
      <c r="CX304" s="123"/>
      <c r="CY304" s="124"/>
      <c r="CZ304" s="123"/>
      <c r="DA304" s="124"/>
      <c r="DB304" s="129" t="s">
        <v>6962</v>
      </c>
      <c r="DC304" s="129" t="s">
        <v>105</v>
      </c>
    </row>
    <row r="305" spans="1:107" s="40" customFormat="1" ht="14.55" customHeight="1" x14ac:dyDescent="0.3">
      <c r="A305" s="35" t="s">
        <v>3456</v>
      </c>
      <c r="B305" s="35" t="s">
        <v>4067</v>
      </c>
      <c r="C305" s="35" t="s">
        <v>4068</v>
      </c>
      <c r="D305" s="35" t="s">
        <v>3447</v>
      </c>
      <c r="E305" s="35" t="s">
        <v>3447</v>
      </c>
      <c r="F305" s="35" t="s">
        <v>169</v>
      </c>
      <c r="G305" s="35" t="s">
        <v>1059</v>
      </c>
      <c r="H305" s="27" t="s">
        <v>6924</v>
      </c>
      <c r="I305" s="62">
        <v>1801</v>
      </c>
      <c r="J305" s="62">
        <v>180150</v>
      </c>
      <c r="K305" s="63">
        <v>3</v>
      </c>
      <c r="L305" s="35" t="s">
        <v>1043</v>
      </c>
      <c r="M305" s="35" t="s">
        <v>267</v>
      </c>
      <c r="N305" s="35" t="s">
        <v>2413</v>
      </c>
      <c r="O305" s="35"/>
      <c r="P305" s="35"/>
      <c r="Q305" s="35" t="s">
        <v>3448</v>
      </c>
      <c r="R305" s="35" t="s">
        <v>113</v>
      </c>
      <c r="S305" s="35"/>
      <c r="T305" s="35"/>
      <c r="U305" s="35" t="s">
        <v>3449</v>
      </c>
      <c r="V305" s="35"/>
      <c r="W305" s="35" t="s">
        <v>3450</v>
      </c>
      <c r="X305" s="35" t="s">
        <v>3451</v>
      </c>
      <c r="Y305" s="35" t="s">
        <v>3452</v>
      </c>
      <c r="Z305" s="35">
        <v>-78.610058426856995</v>
      </c>
      <c r="AA305" s="35">
        <v>-1.266264342342714</v>
      </c>
      <c r="AB305" s="35">
        <v>180150045</v>
      </c>
      <c r="AC305" s="35">
        <v>180150045007</v>
      </c>
      <c r="AD305" s="35">
        <v>180150045007003</v>
      </c>
      <c r="AE305" s="63">
        <v>3</v>
      </c>
      <c r="AF305" s="63" t="s">
        <v>377</v>
      </c>
      <c r="AG305" s="29" t="s">
        <v>65</v>
      </c>
      <c r="AH305" s="75"/>
      <c r="AI305" s="65" t="s">
        <v>66</v>
      </c>
      <c r="AJ305" s="32" t="s">
        <v>6938</v>
      </c>
      <c r="AK305" s="33" t="s">
        <v>67</v>
      </c>
      <c r="AL305" s="76">
        <v>45603</v>
      </c>
      <c r="AM305" s="35" t="s">
        <v>66</v>
      </c>
      <c r="AN305" s="35"/>
      <c r="AO305" s="35"/>
      <c r="AP305" s="35"/>
      <c r="AQ305" s="37">
        <f t="shared" si="15"/>
        <v>0</v>
      </c>
      <c r="AR305" s="38">
        <f t="shared" si="16"/>
        <v>0</v>
      </c>
      <c r="AS305" s="39">
        <f t="shared" si="17"/>
        <v>0</v>
      </c>
      <c r="AT305" s="99"/>
      <c r="AU305" s="99" t="s">
        <v>1356</v>
      </c>
      <c r="AV305" s="99"/>
      <c r="AW305" s="100"/>
      <c r="AX305" s="99"/>
      <c r="AY305" s="101"/>
      <c r="AZ305" s="99"/>
      <c r="BA305" s="99" t="s">
        <v>1356</v>
      </c>
      <c r="BB305" s="99"/>
      <c r="BC305" s="101"/>
      <c r="BD305" s="99"/>
      <c r="BE305" s="101"/>
      <c r="BF305" s="99"/>
      <c r="BG305" s="99" t="s">
        <v>1356</v>
      </c>
      <c r="BH305" s="99"/>
      <c r="BI305" s="101"/>
      <c r="BJ305" s="99"/>
      <c r="BK305" s="101"/>
      <c r="BL305" s="99"/>
      <c r="BM305" s="99" t="s">
        <v>1356</v>
      </c>
      <c r="BN305" s="99"/>
      <c r="BO305" s="101"/>
      <c r="BP305" s="99"/>
      <c r="BQ305" s="101"/>
      <c r="BR305" s="99"/>
      <c r="BS305" s="99" t="s">
        <v>1356</v>
      </c>
      <c r="BT305" s="99"/>
      <c r="BU305" s="101"/>
      <c r="BV305" s="99"/>
      <c r="BW305" s="101"/>
      <c r="BX305" s="119"/>
      <c r="BY305" s="119" t="s">
        <v>1356</v>
      </c>
      <c r="BZ305" s="119"/>
      <c r="CA305" s="120"/>
      <c r="CB305" s="119"/>
      <c r="CC305" s="120"/>
      <c r="CD305" s="119"/>
      <c r="CE305" s="119" t="s">
        <v>1356</v>
      </c>
      <c r="CF305" s="119"/>
      <c r="CG305" s="120"/>
      <c r="CH305" s="119"/>
      <c r="CI305" s="120"/>
      <c r="CJ305" s="119"/>
      <c r="CK305" s="119" t="s">
        <v>1356</v>
      </c>
      <c r="CL305" s="119"/>
      <c r="CM305" s="120"/>
      <c r="CN305" s="119"/>
      <c r="CO305" s="120"/>
      <c r="CP305" s="119"/>
      <c r="CQ305" s="119" t="s">
        <v>1356</v>
      </c>
      <c r="CR305" s="119"/>
      <c r="CS305" s="120"/>
      <c r="CT305" s="119"/>
      <c r="CU305" s="120"/>
      <c r="CV305" s="119"/>
      <c r="CW305" s="119" t="s">
        <v>1356</v>
      </c>
      <c r="CX305" s="119"/>
      <c r="CY305" s="120"/>
      <c r="CZ305" s="119"/>
      <c r="DA305" s="120"/>
      <c r="DB305" s="128" t="s">
        <v>7085</v>
      </c>
      <c r="DC305" s="131" t="s">
        <v>2935</v>
      </c>
    </row>
    <row r="306" spans="1:107" s="40" customFormat="1" ht="14.55" customHeight="1" x14ac:dyDescent="0.3">
      <c r="A306" s="42" t="s">
        <v>4108</v>
      </c>
      <c r="B306" s="42" t="s">
        <v>4167</v>
      </c>
      <c r="C306" s="42" t="s">
        <v>4168</v>
      </c>
      <c r="D306" s="42" t="s">
        <v>3073</v>
      </c>
      <c r="E306" s="42" t="s">
        <v>70</v>
      </c>
      <c r="F306" s="42" t="s">
        <v>825</v>
      </c>
      <c r="G306" s="42" t="s">
        <v>2928</v>
      </c>
      <c r="H306" s="43" t="s">
        <v>6929</v>
      </c>
      <c r="I306" s="44">
        <v>709</v>
      </c>
      <c r="J306" s="44">
        <v>70953</v>
      </c>
      <c r="K306" s="45">
        <v>4</v>
      </c>
      <c r="L306" s="42" t="s">
        <v>3074</v>
      </c>
      <c r="M306" s="42" t="s">
        <v>258</v>
      </c>
      <c r="N306" s="42"/>
      <c r="O306" s="42" t="s">
        <v>811</v>
      </c>
      <c r="P306" s="42"/>
      <c r="Q306" s="42"/>
      <c r="R306" s="42"/>
      <c r="S306" s="42" t="s">
        <v>146</v>
      </c>
      <c r="T306" s="42"/>
      <c r="U306" s="42" t="s">
        <v>3075</v>
      </c>
      <c r="V306" s="42"/>
      <c r="W306" s="42" t="s">
        <v>3076</v>
      </c>
      <c r="X306" s="42" t="s">
        <v>3077</v>
      </c>
      <c r="Y306" s="42" t="s">
        <v>3078</v>
      </c>
      <c r="Z306" s="42">
        <v>-79.939481086000001</v>
      </c>
      <c r="AA306" s="42">
        <v>-3.2782428110000001</v>
      </c>
      <c r="AB306" s="42"/>
      <c r="AC306" s="42"/>
      <c r="AD306" s="42"/>
      <c r="AE306" s="45">
        <v>4</v>
      </c>
      <c r="AF306" s="45" t="s">
        <v>499</v>
      </c>
      <c r="AG306" s="46" t="s">
        <v>66</v>
      </c>
      <c r="AH306" s="47" t="s">
        <v>6948</v>
      </c>
      <c r="AI306" s="48" t="s">
        <v>66</v>
      </c>
      <c r="AJ306" s="49" t="s">
        <v>6938</v>
      </c>
      <c r="AK306" s="50" t="s">
        <v>67</v>
      </c>
      <c r="AL306" s="51">
        <v>45575</v>
      </c>
      <c r="AM306" s="52" t="s">
        <v>66</v>
      </c>
      <c r="AN306" s="42"/>
      <c r="AO306" s="42"/>
      <c r="AP306" s="42"/>
      <c r="AQ306" s="53">
        <f t="shared" si="15"/>
        <v>0</v>
      </c>
      <c r="AR306" s="54">
        <f t="shared" si="16"/>
        <v>1</v>
      </c>
      <c r="AS306" s="55">
        <f t="shared" si="17"/>
        <v>1</v>
      </c>
      <c r="AT306" s="96"/>
      <c r="AU306" s="96" t="s">
        <v>1356</v>
      </c>
      <c r="AV306" s="96"/>
      <c r="AW306" s="97"/>
      <c r="AX306" s="96"/>
      <c r="AY306" s="98"/>
      <c r="AZ306" s="96"/>
      <c r="BA306" s="96" t="s">
        <v>1356</v>
      </c>
      <c r="BB306" s="96"/>
      <c r="BC306" s="98"/>
      <c r="BD306" s="96"/>
      <c r="BE306" s="98"/>
      <c r="BF306" s="96"/>
      <c r="BG306" s="96" t="s">
        <v>1356</v>
      </c>
      <c r="BH306" s="96"/>
      <c r="BI306" s="98"/>
      <c r="BJ306" s="96"/>
      <c r="BK306" s="98"/>
      <c r="BL306" s="96"/>
      <c r="BM306" s="96" t="s">
        <v>1356</v>
      </c>
      <c r="BN306" s="96"/>
      <c r="BO306" s="98"/>
      <c r="BP306" s="96"/>
      <c r="BQ306" s="98"/>
      <c r="BR306" s="96"/>
      <c r="BS306" s="96" t="s">
        <v>1356</v>
      </c>
      <c r="BT306" s="96"/>
      <c r="BU306" s="98"/>
      <c r="BV306" s="96"/>
      <c r="BW306" s="98"/>
      <c r="BX306" s="117" t="s">
        <v>3079</v>
      </c>
      <c r="BY306" s="117" t="s">
        <v>3349</v>
      </c>
      <c r="BZ306" s="117">
        <v>0.48</v>
      </c>
      <c r="CA306" s="118">
        <v>45589</v>
      </c>
      <c r="CB306" s="117">
        <v>0.48</v>
      </c>
      <c r="CC306" s="118">
        <v>45617</v>
      </c>
      <c r="CD306" s="117"/>
      <c r="CE306" s="117" t="s">
        <v>1356</v>
      </c>
      <c r="CF306" s="117"/>
      <c r="CG306" s="118"/>
      <c r="CH306" s="117"/>
      <c r="CI306" s="118"/>
      <c r="CJ306" s="117"/>
      <c r="CK306" s="117" t="s">
        <v>1356</v>
      </c>
      <c r="CL306" s="117"/>
      <c r="CM306" s="118"/>
      <c r="CN306" s="117"/>
      <c r="CO306" s="118"/>
      <c r="CP306" s="117"/>
      <c r="CQ306" s="117" t="s">
        <v>1356</v>
      </c>
      <c r="CR306" s="117"/>
      <c r="CS306" s="118"/>
      <c r="CT306" s="117"/>
      <c r="CU306" s="118"/>
      <c r="CV306" s="117"/>
      <c r="CW306" s="117" t="s">
        <v>1356</v>
      </c>
      <c r="CX306" s="117"/>
      <c r="CY306" s="118"/>
      <c r="CZ306" s="117"/>
      <c r="DA306" s="118"/>
      <c r="DB306" s="129" t="s">
        <v>6962</v>
      </c>
      <c r="DC306" s="130" t="s">
        <v>105</v>
      </c>
    </row>
    <row r="307" spans="1:107" s="40" customFormat="1" ht="14.55" customHeight="1" x14ac:dyDescent="0.3">
      <c r="A307" s="35" t="s">
        <v>4219</v>
      </c>
      <c r="B307" s="35" t="s">
        <v>5847</v>
      </c>
      <c r="C307" s="35" t="s">
        <v>5848</v>
      </c>
      <c r="D307" s="35" t="s">
        <v>5849</v>
      </c>
      <c r="E307" s="35" t="s">
        <v>5850</v>
      </c>
      <c r="F307" s="35" t="s">
        <v>256</v>
      </c>
      <c r="G307" s="35" t="s">
        <v>4237</v>
      </c>
      <c r="H307" s="27" t="s">
        <v>686</v>
      </c>
      <c r="I307" s="62">
        <v>901</v>
      </c>
      <c r="J307" s="62">
        <v>90150</v>
      </c>
      <c r="K307" s="63">
        <v>4</v>
      </c>
      <c r="L307" s="35" t="s">
        <v>5851</v>
      </c>
      <c r="M307" s="35"/>
      <c r="N307" s="35" t="s">
        <v>4483</v>
      </c>
      <c r="O307" s="35" t="s">
        <v>4655</v>
      </c>
      <c r="P307" s="35"/>
      <c r="Q307" s="35"/>
      <c r="R307" s="35"/>
      <c r="S307" s="35"/>
      <c r="T307" s="35" t="s">
        <v>5852</v>
      </c>
      <c r="U307" s="35"/>
      <c r="V307" s="35" t="s">
        <v>5853</v>
      </c>
      <c r="W307" s="35" t="s">
        <v>5854</v>
      </c>
      <c r="X307" s="35" t="s">
        <v>5855</v>
      </c>
      <c r="Y307" s="35" t="s">
        <v>5856</v>
      </c>
      <c r="Z307" s="35"/>
      <c r="AA307" s="35"/>
      <c r="AB307" s="35">
        <v>90150485</v>
      </c>
      <c r="AC307" s="35">
        <v>90150485001</v>
      </c>
      <c r="AD307" s="35">
        <v>90150485001007</v>
      </c>
      <c r="AE307" s="63">
        <v>5</v>
      </c>
      <c r="AF307" s="63" t="s">
        <v>772</v>
      </c>
      <c r="AG307" s="46" t="s">
        <v>66</v>
      </c>
      <c r="AH307" s="64">
        <v>80227</v>
      </c>
      <c r="AI307" s="65" t="s">
        <v>66</v>
      </c>
      <c r="AJ307" s="32" t="s">
        <v>6938</v>
      </c>
      <c r="AK307" s="33" t="s">
        <v>67</v>
      </c>
      <c r="AL307" s="34">
        <v>45575</v>
      </c>
      <c r="AM307" s="52" t="s">
        <v>66</v>
      </c>
      <c r="AN307" s="35"/>
      <c r="AO307" s="35"/>
      <c r="AP307" s="35"/>
      <c r="AQ307" s="37">
        <f t="shared" si="15"/>
        <v>2</v>
      </c>
      <c r="AR307" s="38">
        <f t="shared" si="16"/>
        <v>0</v>
      </c>
      <c r="AS307" s="39">
        <f t="shared" si="17"/>
        <v>2</v>
      </c>
      <c r="AT307" s="99" t="s">
        <v>1100</v>
      </c>
      <c r="AU307" s="99" t="s">
        <v>6716</v>
      </c>
      <c r="AV307" s="99">
        <v>21</v>
      </c>
      <c r="AW307" s="100">
        <v>44927</v>
      </c>
      <c r="AX307" s="99"/>
      <c r="AY307" s="101"/>
      <c r="AZ307" s="99" t="s">
        <v>1100</v>
      </c>
      <c r="BA307" s="99" t="s">
        <v>6716</v>
      </c>
      <c r="BB307" s="99" t="s">
        <v>7059</v>
      </c>
      <c r="BC307" s="101">
        <v>45331</v>
      </c>
      <c r="BD307" s="99"/>
      <c r="BE307" s="101"/>
      <c r="BF307" s="99"/>
      <c r="BG307" s="99" t="s">
        <v>1356</v>
      </c>
      <c r="BH307" s="99"/>
      <c r="BI307" s="101"/>
      <c r="BJ307" s="99"/>
      <c r="BK307" s="101"/>
      <c r="BL307" s="99"/>
      <c r="BM307" s="99" t="s">
        <v>1356</v>
      </c>
      <c r="BN307" s="99"/>
      <c r="BO307" s="101"/>
      <c r="BP307" s="99"/>
      <c r="BQ307" s="101"/>
      <c r="BR307" s="99"/>
      <c r="BS307" s="99" t="s">
        <v>1356</v>
      </c>
      <c r="BT307" s="99"/>
      <c r="BU307" s="101"/>
      <c r="BV307" s="99"/>
      <c r="BW307" s="101"/>
      <c r="BX307" s="119"/>
      <c r="BY307" s="119" t="s">
        <v>1356</v>
      </c>
      <c r="BZ307" s="119"/>
      <c r="CA307" s="120"/>
      <c r="CB307" s="119"/>
      <c r="CC307" s="120"/>
      <c r="CD307" s="119"/>
      <c r="CE307" s="119" t="s">
        <v>1356</v>
      </c>
      <c r="CF307" s="119"/>
      <c r="CG307" s="120"/>
      <c r="CH307" s="119"/>
      <c r="CI307" s="120"/>
      <c r="CJ307" s="119"/>
      <c r="CK307" s="119" t="s">
        <v>1356</v>
      </c>
      <c r="CL307" s="119"/>
      <c r="CM307" s="120"/>
      <c r="CN307" s="119"/>
      <c r="CO307" s="120"/>
      <c r="CP307" s="119"/>
      <c r="CQ307" s="119" t="s">
        <v>1356</v>
      </c>
      <c r="CR307" s="119"/>
      <c r="CS307" s="120"/>
      <c r="CT307" s="119"/>
      <c r="CU307" s="120"/>
      <c r="CV307" s="119"/>
      <c r="CW307" s="119" t="s">
        <v>1356</v>
      </c>
      <c r="CX307" s="119"/>
      <c r="CY307" s="120"/>
      <c r="CZ307" s="119"/>
      <c r="DA307" s="120"/>
      <c r="DB307" s="129" t="s">
        <v>6962</v>
      </c>
      <c r="DC307" s="131" t="s">
        <v>105</v>
      </c>
    </row>
    <row r="308" spans="1:107" s="40" customFormat="1" ht="14.55" customHeight="1" x14ac:dyDescent="0.3">
      <c r="A308" s="42" t="s">
        <v>4219</v>
      </c>
      <c r="B308" s="42" t="s">
        <v>6396</v>
      </c>
      <c r="C308" s="42" t="s">
        <v>6397</v>
      </c>
      <c r="D308" s="42" t="s">
        <v>6398</v>
      </c>
      <c r="E308" s="42" t="s">
        <v>6399</v>
      </c>
      <c r="F308" s="42" t="s">
        <v>81</v>
      </c>
      <c r="G308" s="42" t="s">
        <v>4484</v>
      </c>
      <c r="H308" s="43" t="s">
        <v>6936</v>
      </c>
      <c r="I308" s="44">
        <v>1205</v>
      </c>
      <c r="J308" s="44">
        <v>120550</v>
      </c>
      <c r="K308" s="45">
        <v>4</v>
      </c>
      <c r="L308" s="42" t="s">
        <v>6400</v>
      </c>
      <c r="M308" s="42"/>
      <c r="N308" s="42"/>
      <c r="O308" s="42" t="s">
        <v>6401</v>
      </c>
      <c r="P308" s="42"/>
      <c r="Q308" s="42"/>
      <c r="R308" s="42"/>
      <c r="S308" s="42"/>
      <c r="T308" s="42"/>
      <c r="U308" s="42"/>
      <c r="V308" s="42"/>
      <c r="W308" s="42" t="s">
        <v>6402</v>
      </c>
      <c r="X308" s="42" t="s">
        <v>6403</v>
      </c>
      <c r="Y308" s="42" t="s">
        <v>6404</v>
      </c>
      <c r="Z308" s="42"/>
      <c r="AA308" s="42"/>
      <c r="AB308" s="42">
        <v>120550999</v>
      </c>
      <c r="AC308" s="42">
        <v>120550999032</v>
      </c>
      <c r="AD308" s="42">
        <v>120550999032004</v>
      </c>
      <c r="AE308" s="45">
        <v>5</v>
      </c>
      <c r="AF308" s="45" t="s">
        <v>772</v>
      </c>
      <c r="AG308" s="46" t="s">
        <v>66</v>
      </c>
      <c r="AH308" s="47" t="s">
        <v>6405</v>
      </c>
      <c r="AI308" s="48" t="s">
        <v>66</v>
      </c>
      <c r="AJ308" s="49" t="s">
        <v>6938</v>
      </c>
      <c r="AK308" s="50" t="s">
        <v>67</v>
      </c>
      <c r="AL308" s="58">
        <v>45575</v>
      </c>
      <c r="AM308" s="52" t="s">
        <v>66</v>
      </c>
      <c r="AN308" s="42"/>
      <c r="AO308" s="42"/>
      <c r="AP308" s="42"/>
      <c r="AQ308" s="53">
        <f t="shared" si="15"/>
        <v>2</v>
      </c>
      <c r="AR308" s="54">
        <f t="shared" si="16"/>
        <v>0</v>
      </c>
      <c r="AS308" s="55">
        <f t="shared" si="17"/>
        <v>2</v>
      </c>
      <c r="AT308" s="96" t="s">
        <v>386</v>
      </c>
      <c r="AU308" s="96" t="s">
        <v>5215</v>
      </c>
      <c r="AV308" s="96" t="s">
        <v>6868</v>
      </c>
      <c r="AW308" s="97" t="s">
        <v>6869</v>
      </c>
      <c r="AX308" s="96" t="s">
        <v>6870</v>
      </c>
      <c r="AY308" s="98" t="s">
        <v>6869</v>
      </c>
      <c r="AZ308" s="96" t="s">
        <v>844</v>
      </c>
      <c r="BA308" s="96" t="s">
        <v>6698</v>
      </c>
      <c r="BB308" s="96" t="s">
        <v>6871</v>
      </c>
      <c r="BC308" s="98" t="s">
        <v>6872</v>
      </c>
      <c r="BD308" s="96" t="s">
        <v>6871</v>
      </c>
      <c r="BE308" s="98" t="s">
        <v>6872</v>
      </c>
      <c r="BF308" s="96"/>
      <c r="BG308" s="96" t="s">
        <v>1356</v>
      </c>
      <c r="BH308" s="96"/>
      <c r="BI308" s="98"/>
      <c r="BJ308" s="96"/>
      <c r="BK308" s="98"/>
      <c r="BL308" s="96"/>
      <c r="BM308" s="96" t="s">
        <v>1356</v>
      </c>
      <c r="BN308" s="96"/>
      <c r="BO308" s="98"/>
      <c r="BP308" s="96"/>
      <c r="BQ308" s="98"/>
      <c r="BR308" s="96"/>
      <c r="BS308" s="96" t="s">
        <v>1356</v>
      </c>
      <c r="BT308" s="96"/>
      <c r="BU308" s="98"/>
      <c r="BV308" s="96"/>
      <c r="BW308" s="98"/>
      <c r="BX308" s="117"/>
      <c r="BY308" s="117" t="s">
        <v>1356</v>
      </c>
      <c r="BZ308" s="117"/>
      <c r="CA308" s="118"/>
      <c r="CB308" s="117"/>
      <c r="CC308" s="118"/>
      <c r="CD308" s="117"/>
      <c r="CE308" s="117" t="s">
        <v>1356</v>
      </c>
      <c r="CF308" s="117"/>
      <c r="CG308" s="118"/>
      <c r="CH308" s="117"/>
      <c r="CI308" s="118"/>
      <c r="CJ308" s="117"/>
      <c r="CK308" s="117" t="s">
        <v>1356</v>
      </c>
      <c r="CL308" s="117"/>
      <c r="CM308" s="118"/>
      <c r="CN308" s="117"/>
      <c r="CO308" s="118"/>
      <c r="CP308" s="117"/>
      <c r="CQ308" s="117" t="s">
        <v>1356</v>
      </c>
      <c r="CR308" s="117"/>
      <c r="CS308" s="118"/>
      <c r="CT308" s="117"/>
      <c r="CU308" s="118"/>
      <c r="CV308" s="117"/>
      <c r="CW308" s="117" t="s">
        <v>1356</v>
      </c>
      <c r="CX308" s="117"/>
      <c r="CY308" s="118"/>
      <c r="CZ308" s="117"/>
      <c r="DA308" s="118"/>
      <c r="DB308" s="129" t="s">
        <v>6962</v>
      </c>
      <c r="DC308" s="130" t="s">
        <v>105</v>
      </c>
    </row>
    <row r="309" spans="1:107" s="40" customFormat="1" ht="14.55" customHeight="1" x14ac:dyDescent="0.3">
      <c r="A309" s="35" t="s">
        <v>3456</v>
      </c>
      <c r="B309" s="35" t="s">
        <v>4072</v>
      </c>
      <c r="C309" s="35" t="s">
        <v>4073</v>
      </c>
      <c r="D309" s="35" t="s">
        <v>3453</v>
      </c>
      <c r="E309" s="35" t="s">
        <v>3453</v>
      </c>
      <c r="F309" s="35" t="s">
        <v>596</v>
      </c>
      <c r="G309" s="35" t="s">
        <v>1059</v>
      </c>
      <c r="H309" s="27" t="s">
        <v>6924</v>
      </c>
      <c r="I309" s="62">
        <v>1801</v>
      </c>
      <c r="J309" s="62">
        <v>180150</v>
      </c>
      <c r="K309" s="63">
        <v>4</v>
      </c>
      <c r="L309" s="35" t="s">
        <v>1868</v>
      </c>
      <c r="M309" s="35" t="s">
        <v>3454</v>
      </c>
      <c r="N309" s="35" t="s">
        <v>3455</v>
      </c>
      <c r="O309" s="35"/>
      <c r="P309" s="35"/>
      <c r="Q309" s="35"/>
      <c r="R309" s="35"/>
      <c r="S309" s="35"/>
      <c r="T309" s="35"/>
      <c r="U309" s="35" t="s">
        <v>3456</v>
      </c>
      <c r="V309" s="35"/>
      <c r="W309" s="35" t="s">
        <v>3457</v>
      </c>
      <c r="X309" s="35" t="s">
        <v>3458</v>
      </c>
      <c r="Y309" s="35" t="s">
        <v>3459</v>
      </c>
      <c r="Z309" s="35"/>
      <c r="AA309" s="35"/>
      <c r="AB309" s="35"/>
      <c r="AC309" s="35"/>
      <c r="AD309" s="35"/>
      <c r="AE309" s="63">
        <v>3</v>
      </c>
      <c r="AF309" s="63" t="s">
        <v>377</v>
      </c>
      <c r="AG309" s="29" t="s">
        <v>65</v>
      </c>
      <c r="AH309" s="75"/>
      <c r="AI309" s="65" t="s">
        <v>66</v>
      </c>
      <c r="AJ309" s="32" t="s">
        <v>6938</v>
      </c>
      <c r="AK309" s="33" t="s">
        <v>67</v>
      </c>
      <c r="AL309" s="76">
        <v>45582</v>
      </c>
      <c r="AM309" s="35" t="s">
        <v>66</v>
      </c>
      <c r="AN309" s="35"/>
      <c r="AO309" s="35"/>
      <c r="AP309" s="35"/>
      <c r="AQ309" s="37">
        <f t="shared" si="15"/>
        <v>0</v>
      </c>
      <c r="AR309" s="38">
        <f t="shared" si="16"/>
        <v>0</v>
      </c>
      <c r="AS309" s="39">
        <f t="shared" si="17"/>
        <v>0</v>
      </c>
      <c r="AT309" s="99"/>
      <c r="AU309" s="99" t="s">
        <v>1356</v>
      </c>
      <c r="AV309" s="99"/>
      <c r="AW309" s="100"/>
      <c r="AX309" s="99"/>
      <c r="AY309" s="101"/>
      <c r="AZ309" s="99"/>
      <c r="BA309" s="99" t="s">
        <v>1356</v>
      </c>
      <c r="BB309" s="99"/>
      <c r="BC309" s="101"/>
      <c r="BD309" s="99"/>
      <c r="BE309" s="101"/>
      <c r="BF309" s="99"/>
      <c r="BG309" s="99" t="s">
        <v>1356</v>
      </c>
      <c r="BH309" s="99"/>
      <c r="BI309" s="101"/>
      <c r="BJ309" s="99"/>
      <c r="BK309" s="101"/>
      <c r="BL309" s="99"/>
      <c r="BM309" s="99" t="s">
        <v>1356</v>
      </c>
      <c r="BN309" s="99"/>
      <c r="BO309" s="101"/>
      <c r="BP309" s="99"/>
      <c r="BQ309" s="101"/>
      <c r="BR309" s="99"/>
      <c r="BS309" s="99" t="s">
        <v>1356</v>
      </c>
      <c r="BT309" s="99"/>
      <c r="BU309" s="101"/>
      <c r="BV309" s="99"/>
      <c r="BW309" s="101"/>
      <c r="BX309" s="119"/>
      <c r="BY309" s="119" t="s">
        <v>1356</v>
      </c>
      <c r="BZ309" s="119"/>
      <c r="CA309" s="120"/>
      <c r="CB309" s="119"/>
      <c r="CC309" s="120"/>
      <c r="CD309" s="119"/>
      <c r="CE309" s="119" t="s">
        <v>1356</v>
      </c>
      <c r="CF309" s="119"/>
      <c r="CG309" s="120"/>
      <c r="CH309" s="119"/>
      <c r="CI309" s="120"/>
      <c r="CJ309" s="119"/>
      <c r="CK309" s="119" t="s">
        <v>1356</v>
      </c>
      <c r="CL309" s="119"/>
      <c r="CM309" s="120"/>
      <c r="CN309" s="119"/>
      <c r="CO309" s="120"/>
      <c r="CP309" s="119"/>
      <c r="CQ309" s="119" t="s">
        <v>1356</v>
      </c>
      <c r="CR309" s="119"/>
      <c r="CS309" s="120"/>
      <c r="CT309" s="119"/>
      <c r="CU309" s="120"/>
      <c r="CV309" s="119"/>
      <c r="CW309" s="119" t="s">
        <v>1356</v>
      </c>
      <c r="CX309" s="119"/>
      <c r="CY309" s="120"/>
      <c r="CZ309" s="119"/>
      <c r="DA309" s="120"/>
      <c r="DB309" s="128" t="s">
        <v>7085</v>
      </c>
      <c r="DC309" s="131" t="s">
        <v>2935</v>
      </c>
    </row>
    <row r="310" spans="1:107" s="40" customFormat="1" ht="14.55" customHeight="1" x14ac:dyDescent="0.3">
      <c r="A310" s="35" t="s">
        <v>3456</v>
      </c>
      <c r="B310" s="35" t="s">
        <v>4074</v>
      </c>
      <c r="C310" s="35" t="s">
        <v>4075</v>
      </c>
      <c r="D310" s="35" t="s">
        <v>3460</v>
      </c>
      <c r="E310" s="35" t="s">
        <v>3461</v>
      </c>
      <c r="F310" s="35" t="s">
        <v>596</v>
      </c>
      <c r="G310" s="35" t="s">
        <v>1059</v>
      </c>
      <c r="H310" s="27" t="s">
        <v>6924</v>
      </c>
      <c r="I310" s="62">
        <v>1801</v>
      </c>
      <c r="J310" s="62">
        <v>180156</v>
      </c>
      <c r="K310" s="63">
        <v>4</v>
      </c>
      <c r="L310" s="35" t="s">
        <v>1406</v>
      </c>
      <c r="M310" s="35" t="s">
        <v>3462</v>
      </c>
      <c r="N310" s="35" t="s">
        <v>3373</v>
      </c>
      <c r="O310" s="35"/>
      <c r="P310" s="35"/>
      <c r="Q310" s="35"/>
      <c r="R310" s="35" t="s">
        <v>113</v>
      </c>
      <c r="S310" s="35"/>
      <c r="T310" s="35"/>
      <c r="U310" s="35" t="s">
        <v>2236</v>
      </c>
      <c r="V310" s="35"/>
      <c r="W310" s="35" t="s">
        <v>3463</v>
      </c>
      <c r="X310" s="35" t="s">
        <v>3464</v>
      </c>
      <c r="Y310" s="35" t="s">
        <v>3465</v>
      </c>
      <c r="Z310" s="35">
        <v>-78.593203000000003</v>
      </c>
      <c r="AA310" s="35">
        <v>-1.1972719999999999</v>
      </c>
      <c r="AB310" s="35">
        <v>180156904</v>
      </c>
      <c r="AC310" s="35">
        <v>180156904004</v>
      </c>
      <c r="AD310" s="35">
        <v>180156904004011</v>
      </c>
      <c r="AE310" s="63">
        <v>3</v>
      </c>
      <c r="AF310" s="63" t="s">
        <v>377</v>
      </c>
      <c r="AG310" s="29" t="s">
        <v>65</v>
      </c>
      <c r="AH310" s="75"/>
      <c r="AI310" s="65" t="s">
        <v>66</v>
      </c>
      <c r="AJ310" s="32" t="s">
        <v>6938</v>
      </c>
      <c r="AK310" s="33" t="s">
        <v>67</v>
      </c>
      <c r="AL310" s="76">
        <v>45582</v>
      </c>
      <c r="AM310" s="35" t="s">
        <v>66</v>
      </c>
      <c r="AN310" s="35"/>
      <c r="AO310" s="35"/>
      <c r="AP310" s="35"/>
      <c r="AQ310" s="37">
        <f t="shared" si="15"/>
        <v>0</v>
      </c>
      <c r="AR310" s="38">
        <f t="shared" si="16"/>
        <v>0</v>
      </c>
      <c r="AS310" s="39">
        <f t="shared" si="17"/>
        <v>0</v>
      </c>
      <c r="AT310" s="99"/>
      <c r="AU310" s="99" t="s">
        <v>1356</v>
      </c>
      <c r="AV310" s="99"/>
      <c r="AW310" s="100"/>
      <c r="AX310" s="99"/>
      <c r="AY310" s="101"/>
      <c r="AZ310" s="99"/>
      <c r="BA310" s="99" t="s">
        <v>1356</v>
      </c>
      <c r="BB310" s="99"/>
      <c r="BC310" s="101"/>
      <c r="BD310" s="99"/>
      <c r="BE310" s="101"/>
      <c r="BF310" s="99"/>
      <c r="BG310" s="99" t="s">
        <v>1356</v>
      </c>
      <c r="BH310" s="99"/>
      <c r="BI310" s="101"/>
      <c r="BJ310" s="99"/>
      <c r="BK310" s="101"/>
      <c r="BL310" s="99"/>
      <c r="BM310" s="99" t="s">
        <v>1356</v>
      </c>
      <c r="BN310" s="99"/>
      <c r="BO310" s="101"/>
      <c r="BP310" s="99"/>
      <c r="BQ310" s="101"/>
      <c r="BR310" s="99"/>
      <c r="BS310" s="99" t="s">
        <v>1356</v>
      </c>
      <c r="BT310" s="99"/>
      <c r="BU310" s="101"/>
      <c r="BV310" s="99"/>
      <c r="BW310" s="101"/>
      <c r="BX310" s="119"/>
      <c r="BY310" s="119" t="s">
        <v>1356</v>
      </c>
      <c r="BZ310" s="119"/>
      <c r="CA310" s="120"/>
      <c r="CB310" s="119"/>
      <c r="CC310" s="120"/>
      <c r="CD310" s="119"/>
      <c r="CE310" s="119" t="s">
        <v>1356</v>
      </c>
      <c r="CF310" s="119"/>
      <c r="CG310" s="120"/>
      <c r="CH310" s="119"/>
      <c r="CI310" s="120"/>
      <c r="CJ310" s="119"/>
      <c r="CK310" s="119" t="s">
        <v>1356</v>
      </c>
      <c r="CL310" s="119"/>
      <c r="CM310" s="120"/>
      <c r="CN310" s="119"/>
      <c r="CO310" s="120"/>
      <c r="CP310" s="119"/>
      <c r="CQ310" s="119" t="s">
        <v>1356</v>
      </c>
      <c r="CR310" s="119"/>
      <c r="CS310" s="120"/>
      <c r="CT310" s="119"/>
      <c r="CU310" s="120"/>
      <c r="CV310" s="119"/>
      <c r="CW310" s="119" t="s">
        <v>1356</v>
      </c>
      <c r="CX310" s="119"/>
      <c r="CY310" s="120"/>
      <c r="CZ310" s="119"/>
      <c r="DA310" s="120"/>
      <c r="DB310" s="128" t="s">
        <v>7085</v>
      </c>
      <c r="DC310" s="131" t="s">
        <v>6751</v>
      </c>
    </row>
    <row r="311" spans="1:107" s="40" customFormat="1" ht="14.55" customHeight="1" x14ac:dyDescent="0.3">
      <c r="A311" s="42" t="s">
        <v>4219</v>
      </c>
      <c r="B311" s="42" t="s">
        <v>6406</v>
      </c>
      <c r="C311" s="42" t="s">
        <v>6407</v>
      </c>
      <c r="D311" s="42" t="s">
        <v>6408</v>
      </c>
      <c r="E311" s="42" t="s">
        <v>6409</v>
      </c>
      <c r="F311" s="42" t="s">
        <v>81</v>
      </c>
      <c r="G311" s="42" t="s">
        <v>4329</v>
      </c>
      <c r="H311" s="43" t="s">
        <v>6935</v>
      </c>
      <c r="I311" s="44">
        <v>2302</v>
      </c>
      <c r="J311" s="44">
        <v>230253</v>
      </c>
      <c r="K311" s="45">
        <v>4</v>
      </c>
      <c r="L311" s="42" t="s">
        <v>6410</v>
      </c>
      <c r="M311" s="42"/>
      <c r="N311" s="42" t="s">
        <v>810</v>
      </c>
      <c r="O311" s="42" t="s">
        <v>338</v>
      </c>
      <c r="P311" s="42"/>
      <c r="Q311" s="42"/>
      <c r="R311" s="42" t="s">
        <v>60</v>
      </c>
      <c r="S311" s="42"/>
      <c r="T311" s="42"/>
      <c r="U311" s="42"/>
      <c r="V311" s="42"/>
      <c r="W311" s="42" t="s">
        <v>6411</v>
      </c>
      <c r="X311" s="42" t="s">
        <v>6412</v>
      </c>
      <c r="Y311" s="42" t="s">
        <v>6413</v>
      </c>
      <c r="Z311" s="42"/>
      <c r="AA311" s="42"/>
      <c r="AB311" s="42">
        <v>230253999</v>
      </c>
      <c r="AC311" s="42">
        <v>230253999006</v>
      </c>
      <c r="AD311" s="42"/>
      <c r="AE311" s="45">
        <v>5</v>
      </c>
      <c r="AF311" s="45" t="s">
        <v>772</v>
      </c>
      <c r="AG311" s="46" t="s">
        <v>66</v>
      </c>
      <c r="AH311" s="47" t="s">
        <v>6960</v>
      </c>
      <c r="AI311" s="48" t="s">
        <v>66</v>
      </c>
      <c r="AJ311" s="49" t="s">
        <v>6938</v>
      </c>
      <c r="AK311" s="50" t="s">
        <v>67</v>
      </c>
      <c r="AL311" s="58">
        <v>45575</v>
      </c>
      <c r="AM311" s="52" t="s">
        <v>66</v>
      </c>
      <c r="AN311" s="42"/>
      <c r="AO311" s="42"/>
      <c r="AP311" s="42"/>
      <c r="AQ311" s="53">
        <f t="shared" si="15"/>
        <v>0</v>
      </c>
      <c r="AR311" s="54">
        <f t="shared" si="16"/>
        <v>1</v>
      </c>
      <c r="AS311" s="55">
        <f t="shared" si="17"/>
        <v>1</v>
      </c>
      <c r="AT311" s="96"/>
      <c r="AU311" s="96" t="s">
        <v>1356</v>
      </c>
      <c r="AV311" s="96"/>
      <c r="AW311" s="97"/>
      <c r="AX311" s="96"/>
      <c r="AY311" s="98"/>
      <c r="AZ311" s="96"/>
      <c r="BA311" s="96" t="s">
        <v>1356</v>
      </c>
      <c r="BB311" s="96"/>
      <c r="BC311" s="98"/>
      <c r="BD311" s="96"/>
      <c r="BE311" s="98"/>
      <c r="BF311" s="96"/>
      <c r="BG311" s="96" t="s">
        <v>1356</v>
      </c>
      <c r="BH311" s="96"/>
      <c r="BI311" s="98"/>
      <c r="BJ311" s="96"/>
      <c r="BK311" s="98"/>
      <c r="BL311" s="96"/>
      <c r="BM311" s="96" t="s">
        <v>1356</v>
      </c>
      <c r="BN311" s="96"/>
      <c r="BO311" s="98"/>
      <c r="BP311" s="96"/>
      <c r="BQ311" s="98"/>
      <c r="BR311" s="96"/>
      <c r="BS311" s="96" t="s">
        <v>1356</v>
      </c>
      <c r="BT311" s="96"/>
      <c r="BU311" s="98"/>
      <c r="BV311" s="96"/>
      <c r="BW311" s="98"/>
      <c r="BX311" s="117" t="s">
        <v>6414</v>
      </c>
      <c r="BY311" s="117" t="s">
        <v>6415</v>
      </c>
      <c r="BZ311" s="117">
        <v>2150</v>
      </c>
      <c r="CA311" s="118">
        <v>45588</v>
      </c>
      <c r="CB311" s="117"/>
      <c r="CC311" s="118"/>
      <c r="CD311" s="117"/>
      <c r="CE311" s="117" t="s">
        <v>1356</v>
      </c>
      <c r="CF311" s="117"/>
      <c r="CG311" s="118"/>
      <c r="CH311" s="117"/>
      <c r="CI311" s="118"/>
      <c r="CJ311" s="117"/>
      <c r="CK311" s="117" t="s">
        <v>1356</v>
      </c>
      <c r="CL311" s="117"/>
      <c r="CM311" s="118"/>
      <c r="CN311" s="117"/>
      <c r="CO311" s="118"/>
      <c r="CP311" s="117"/>
      <c r="CQ311" s="117" t="s">
        <v>1356</v>
      </c>
      <c r="CR311" s="117"/>
      <c r="CS311" s="118"/>
      <c r="CT311" s="117"/>
      <c r="CU311" s="118"/>
      <c r="CV311" s="117"/>
      <c r="CW311" s="117" t="s">
        <v>1356</v>
      </c>
      <c r="CX311" s="117"/>
      <c r="CY311" s="118"/>
      <c r="CZ311" s="117"/>
      <c r="DA311" s="118"/>
      <c r="DB311" s="129" t="s">
        <v>6962</v>
      </c>
      <c r="DC311" s="130" t="s">
        <v>105</v>
      </c>
    </row>
    <row r="312" spans="1:107" s="40" customFormat="1" ht="14.55" customHeight="1" x14ac:dyDescent="0.3">
      <c r="A312" s="42" t="s">
        <v>4219</v>
      </c>
      <c r="B312" s="42" t="s">
        <v>6440</v>
      </c>
      <c r="C312" s="42" t="s">
        <v>6441</v>
      </c>
      <c r="D312" s="42" t="s">
        <v>6442</v>
      </c>
      <c r="E312" s="42" t="s">
        <v>70</v>
      </c>
      <c r="F312" s="42" t="s">
        <v>4289</v>
      </c>
      <c r="G312" s="42" t="s">
        <v>461</v>
      </c>
      <c r="H312" s="43" t="s">
        <v>6933</v>
      </c>
      <c r="I312" s="44">
        <v>1321</v>
      </c>
      <c r="J312" s="44">
        <v>132150</v>
      </c>
      <c r="K312" s="45">
        <v>4</v>
      </c>
      <c r="L312" s="42" t="s">
        <v>6443</v>
      </c>
      <c r="M312" s="42" t="s">
        <v>258</v>
      </c>
      <c r="N312" s="42" t="s">
        <v>5861</v>
      </c>
      <c r="O312" s="42" t="s">
        <v>693</v>
      </c>
      <c r="P312" s="42"/>
      <c r="Q312" s="42"/>
      <c r="R312" s="42" t="s">
        <v>60</v>
      </c>
      <c r="S312" s="42"/>
      <c r="T312" s="42"/>
      <c r="U312" s="42" t="s">
        <v>6444</v>
      </c>
      <c r="V312" s="42"/>
      <c r="W312" s="42" t="s">
        <v>6445</v>
      </c>
      <c r="X312" s="42" t="s">
        <v>6446</v>
      </c>
      <c r="Y312" s="42" t="s">
        <v>6447</v>
      </c>
      <c r="Z312" s="42"/>
      <c r="AA312" s="42"/>
      <c r="AB312" s="42">
        <v>132150003</v>
      </c>
      <c r="AC312" s="42">
        <v>132150003012</v>
      </c>
      <c r="AD312" s="42">
        <v>132150003012025</v>
      </c>
      <c r="AE312" s="45">
        <v>5</v>
      </c>
      <c r="AF312" s="45" t="s">
        <v>772</v>
      </c>
      <c r="AG312" s="46" t="s">
        <v>66</v>
      </c>
      <c r="AH312" s="47" t="s">
        <v>6448</v>
      </c>
      <c r="AI312" s="48" t="s">
        <v>66</v>
      </c>
      <c r="AJ312" s="49" t="s">
        <v>6938</v>
      </c>
      <c r="AK312" s="50" t="s">
        <v>67</v>
      </c>
      <c r="AL312" s="58">
        <v>45575</v>
      </c>
      <c r="AM312" s="52" t="s">
        <v>66</v>
      </c>
      <c r="AN312" s="42"/>
      <c r="AO312" s="42"/>
      <c r="AP312" s="42"/>
      <c r="AQ312" s="53">
        <f t="shared" si="15"/>
        <v>2</v>
      </c>
      <c r="AR312" s="54">
        <f t="shared" si="16"/>
        <v>0</v>
      </c>
      <c r="AS312" s="55">
        <f t="shared" si="17"/>
        <v>2</v>
      </c>
      <c r="AT312" s="96" t="s">
        <v>6132</v>
      </c>
      <c r="AU312" s="96" t="s">
        <v>6133</v>
      </c>
      <c r="AV312" s="96" t="s">
        <v>6873</v>
      </c>
      <c r="AW312" s="97" t="s">
        <v>6874</v>
      </c>
      <c r="AX312" s="96" t="s">
        <v>6873</v>
      </c>
      <c r="AY312" s="98" t="s">
        <v>6874</v>
      </c>
      <c r="AZ312" s="96" t="s">
        <v>4315</v>
      </c>
      <c r="BA312" s="96" t="s">
        <v>4316</v>
      </c>
      <c r="BB312" s="96" t="s">
        <v>6875</v>
      </c>
      <c r="BC312" s="98" t="s">
        <v>6876</v>
      </c>
      <c r="BD312" s="96" t="s">
        <v>6875</v>
      </c>
      <c r="BE312" s="98" t="s">
        <v>6876</v>
      </c>
      <c r="BF312" s="96"/>
      <c r="BG312" s="96" t="s">
        <v>1356</v>
      </c>
      <c r="BH312" s="96"/>
      <c r="BI312" s="98"/>
      <c r="BJ312" s="96"/>
      <c r="BK312" s="98"/>
      <c r="BL312" s="96"/>
      <c r="BM312" s="96" t="s">
        <v>1356</v>
      </c>
      <c r="BN312" s="96"/>
      <c r="BO312" s="98"/>
      <c r="BP312" s="96"/>
      <c r="BQ312" s="98"/>
      <c r="BR312" s="96"/>
      <c r="BS312" s="96" t="s">
        <v>1356</v>
      </c>
      <c r="BT312" s="96"/>
      <c r="BU312" s="98"/>
      <c r="BV312" s="96"/>
      <c r="BW312" s="98"/>
      <c r="BX312" s="117"/>
      <c r="BY312" s="117" t="s">
        <v>1356</v>
      </c>
      <c r="BZ312" s="117"/>
      <c r="CA312" s="118"/>
      <c r="CB312" s="117"/>
      <c r="CC312" s="118"/>
      <c r="CD312" s="117"/>
      <c r="CE312" s="117" t="s">
        <v>1356</v>
      </c>
      <c r="CF312" s="117"/>
      <c r="CG312" s="118"/>
      <c r="CH312" s="117"/>
      <c r="CI312" s="118"/>
      <c r="CJ312" s="117"/>
      <c r="CK312" s="117" t="s">
        <v>1356</v>
      </c>
      <c r="CL312" s="117"/>
      <c r="CM312" s="118"/>
      <c r="CN312" s="117"/>
      <c r="CO312" s="118"/>
      <c r="CP312" s="117"/>
      <c r="CQ312" s="117" t="s">
        <v>1356</v>
      </c>
      <c r="CR312" s="117"/>
      <c r="CS312" s="118"/>
      <c r="CT312" s="117"/>
      <c r="CU312" s="118"/>
      <c r="CV312" s="117"/>
      <c r="CW312" s="117" t="s">
        <v>1356</v>
      </c>
      <c r="CX312" s="117"/>
      <c r="CY312" s="118"/>
      <c r="CZ312" s="117"/>
      <c r="DA312" s="118"/>
      <c r="DB312" s="129" t="s">
        <v>6962</v>
      </c>
      <c r="DC312" s="130" t="s">
        <v>105</v>
      </c>
    </row>
    <row r="313" spans="1:107" s="40" customFormat="1" ht="14.55" customHeight="1" x14ac:dyDescent="0.3">
      <c r="A313" s="42" t="s">
        <v>4219</v>
      </c>
      <c r="B313" s="42" t="s">
        <v>6456</v>
      </c>
      <c r="C313" s="42" t="s">
        <v>6457</v>
      </c>
      <c r="D313" s="42" t="s">
        <v>6458</v>
      </c>
      <c r="E313" s="42" t="s">
        <v>6459</v>
      </c>
      <c r="F313" s="42" t="s">
        <v>256</v>
      </c>
      <c r="G313" s="42" t="s">
        <v>4237</v>
      </c>
      <c r="H313" s="43" t="s">
        <v>686</v>
      </c>
      <c r="I313" s="44">
        <v>901</v>
      </c>
      <c r="J313" s="44">
        <v>90150</v>
      </c>
      <c r="K313" s="45">
        <v>4</v>
      </c>
      <c r="L313" s="42" t="s">
        <v>4446</v>
      </c>
      <c r="M313" s="42"/>
      <c r="N313" s="42" t="s">
        <v>4498</v>
      </c>
      <c r="O313" s="42" t="s">
        <v>693</v>
      </c>
      <c r="P313" s="42"/>
      <c r="Q313" s="42"/>
      <c r="R313" s="42" t="s">
        <v>60</v>
      </c>
      <c r="S313" s="42"/>
      <c r="T313" s="42" t="s">
        <v>6460</v>
      </c>
      <c r="U313" s="42"/>
      <c r="V313" s="42" t="s">
        <v>6461</v>
      </c>
      <c r="W313" s="42" t="s">
        <v>6462</v>
      </c>
      <c r="X313" s="42" t="s">
        <v>6463</v>
      </c>
      <c r="Y313" s="42" t="s">
        <v>6464</v>
      </c>
      <c r="Z313" s="42"/>
      <c r="AA313" s="42"/>
      <c r="AB313" s="42">
        <v>90150362</v>
      </c>
      <c r="AC313" s="42">
        <v>90150362001</v>
      </c>
      <c r="AD313" s="42">
        <v>90150362001003</v>
      </c>
      <c r="AE313" s="45">
        <v>5</v>
      </c>
      <c r="AF313" s="45" t="s">
        <v>772</v>
      </c>
      <c r="AG313" s="46" t="s">
        <v>66</v>
      </c>
      <c r="AH313" s="47" t="s">
        <v>6465</v>
      </c>
      <c r="AI313" s="48" t="s">
        <v>66</v>
      </c>
      <c r="AJ313" s="49" t="s">
        <v>6938</v>
      </c>
      <c r="AK313" s="50" t="s">
        <v>67</v>
      </c>
      <c r="AL313" s="58">
        <v>45575</v>
      </c>
      <c r="AM313" s="52" t="s">
        <v>66</v>
      </c>
      <c r="AN313" s="42"/>
      <c r="AO313" s="42"/>
      <c r="AP313" s="42"/>
      <c r="AQ313" s="53">
        <f t="shared" si="15"/>
        <v>2</v>
      </c>
      <c r="AR313" s="54">
        <f t="shared" si="16"/>
        <v>0</v>
      </c>
      <c r="AS313" s="55">
        <f t="shared" si="17"/>
        <v>2</v>
      </c>
      <c r="AT313" s="96" t="s">
        <v>6877</v>
      </c>
      <c r="AU313" s="96" t="s">
        <v>6878</v>
      </c>
      <c r="AV313" s="96" t="s">
        <v>260</v>
      </c>
      <c r="AW313" s="97" t="s">
        <v>6879</v>
      </c>
      <c r="AX313" s="96" t="s">
        <v>260</v>
      </c>
      <c r="AY313" s="98" t="s">
        <v>6879</v>
      </c>
      <c r="AZ313" s="96" t="s">
        <v>6877</v>
      </c>
      <c r="BA313" s="96" t="s">
        <v>6878</v>
      </c>
      <c r="BB313" s="96" t="s">
        <v>6880</v>
      </c>
      <c r="BC313" s="98" t="s">
        <v>6881</v>
      </c>
      <c r="BD313" s="96" t="s">
        <v>6880</v>
      </c>
      <c r="BE313" s="98" t="s">
        <v>6881</v>
      </c>
      <c r="BF313" s="96"/>
      <c r="BG313" s="96" t="s">
        <v>1356</v>
      </c>
      <c r="BH313" s="96"/>
      <c r="BI313" s="98"/>
      <c r="BJ313" s="96"/>
      <c r="BK313" s="98"/>
      <c r="BL313" s="96"/>
      <c r="BM313" s="96" t="s">
        <v>1356</v>
      </c>
      <c r="BN313" s="96"/>
      <c r="BO313" s="98"/>
      <c r="BP313" s="96"/>
      <c r="BQ313" s="98"/>
      <c r="BR313" s="96"/>
      <c r="BS313" s="96" t="s">
        <v>1356</v>
      </c>
      <c r="BT313" s="96"/>
      <c r="BU313" s="98"/>
      <c r="BV313" s="96"/>
      <c r="BW313" s="98"/>
      <c r="BX313" s="117"/>
      <c r="BY313" s="117" t="s">
        <v>1356</v>
      </c>
      <c r="BZ313" s="117"/>
      <c r="CA313" s="118"/>
      <c r="CB313" s="117"/>
      <c r="CC313" s="118"/>
      <c r="CD313" s="117"/>
      <c r="CE313" s="117" t="s">
        <v>1356</v>
      </c>
      <c r="CF313" s="117"/>
      <c r="CG313" s="118"/>
      <c r="CH313" s="117"/>
      <c r="CI313" s="118"/>
      <c r="CJ313" s="117"/>
      <c r="CK313" s="117" t="s">
        <v>1356</v>
      </c>
      <c r="CL313" s="117"/>
      <c r="CM313" s="118"/>
      <c r="CN313" s="117"/>
      <c r="CO313" s="118"/>
      <c r="CP313" s="117"/>
      <c r="CQ313" s="117" t="s">
        <v>1356</v>
      </c>
      <c r="CR313" s="117"/>
      <c r="CS313" s="118"/>
      <c r="CT313" s="117"/>
      <c r="CU313" s="118"/>
      <c r="CV313" s="117"/>
      <c r="CW313" s="117" t="s">
        <v>1356</v>
      </c>
      <c r="CX313" s="117"/>
      <c r="CY313" s="118"/>
      <c r="CZ313" s="117"/>
      <c r="DA313" s="118"/>
      <c r="DB313" s="129" t="s">
        <v>6962</v>
      </c>
      <c r="DC313" s="130" t="s">
        <v>105</v>
      </c>
    </row>
    <row r="314" spans="1:107" s="40" customFormat="1" ht="14.55" customHeight="1" x14ac:dyDescent="0.3">
      <c r="A314" s="35" t="s">
        <v>3456</v>
      </c>
      <c r="B314" s="35" t="s">
        <v>4079</v>
      </c>
      <c r="C314" s="35" t="s">
        <v>4080</v>
      </c>
      <c r="D314" s="35" t="s">
        <v>3466</v>
      </c>
      <c r="E314" s="35" t="s">
        <v>3466</v>
      </c>
      <c r="F314" s="35" t="s">
        <v>327</v>
      </c>
      <c r="G314" s="35" t="s">
        <v>1604</v>
      </c>
      <c r="H314" s="27" t="s">
        <v>6928</v>
      </c>
      <c r="I314" s="62">
        <v>1503</v>
      </c>
      <c r="J314" s="62">
        <v>150350</v>
      </c>
      <c r="K314" s="63">
        <v>4</v>
      </c>
      <c r="L314" s="35" t="s">
        <v>3467</v>
      </c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63">
        <v>3</v>
      </c>
      <c r="AF314" s="63" t="s">
        <v>377</v>
      </c>
      <c r="AG314" s="29" t="s">
        <v>65</v>
      </c>
      <c r="AH314" s="75"/>
      <c r="AI314" s="65" t="s">
        <v>66</v>
      </c>
      <c r="AJ314" s="32" t="s">
        <v>6938</v>
      </c>
      <c r="AK314" s="33" t="s">
        <v>67</v>
      </c>
      <c r="AL314" s="76">
        <v>45587</v>
      </c>
      <c r="AM314" s="35" t="s">
        <v>66</v>
      </c>
      <c r="AN314" s="35"/>
      <c r="AO314" s="35"/>
      <c r="AP314" s="35"/>
      <c r="AQ314" s="37">
        <f t="shared" si="15"/>
        <v>0</v>
      </c>
      <c r="AR314" s="38">
        <f t="shared" si="16"/>
        <v>0</v>
      </c>
      <c r="AS314" s="39">
        <f t="shared" si="17"/>
        <v>0</v>
      </c>
      <c r="AT314" s="99"/>
      <c r="AU314" s="99" t="s">
        <v>1356</v>
      </c>
      <c r="AV314" s="99"/>
      <c r="AW314" s="100"/>
      <c r="AX314" s="99"/>
      <c r="AY314" s="101"/>
      <c r="AZ314" s="99"/>
      <c r="BA314" s="99" t="s">
        <v>1356</v>
      </c>
      <c r="BB314" s="99"/>
      <c r="BC314" s="101"/>
      <c r="BD314" s="99"/>
      <c r="BE314" s="101"/>
      <c r="BF314" s="99"/>
      <c r="BG314" s="99" t="s">
        <v>1356</v>
      </c>
      <c r="BH314" s="99"/>
      <c r="BI314" s="101"/>
      <c r="BJ314" s="99"/>
      <c r="BK314" s="101"/>
      <c r="BL314" s="99"/>
      <c r="BM314" s="99" t="s">
        <v>1356</v>
      </c>
      <c r="BN314" s="99"/>
      <c r="BO314" s="101"/>
      <c r="BP314" s="99"/>
      <c r="BQ314" s="101"/>
      <c r="BR314" s="99"/>
      <c r="BS314" s="99" t="s">
        <v>1356</v>
      </c>
      <c r="BT314" s="99"/>
      <c r="BU314" s="101"/>
      <c r="BV314" s="99"/>
      <c r="BW314" s="101"/>
      <c r="BX314" s="119"/>
      <c r="BY314" s="119" t="s">
        <v>1356</v>
      </c>
      <c r="BZ314" s="119"/>
      <c r="CA314" s="120"/>
      <c r="CB314" s="119"/>
      <c r="CC314" s="120"/>
      <c r="CD314" s="119"/>
      <c r="CE314" s="119" t="s">
        <v>1356</v>
      </c>
      <c r="CF314" s="119"/>
      <c r="CG314" s="120"/>
      <c r="CH314" s="119"/>
      <c r="CI314" s="120"/>
      <c r="CJ314" s="119"/>
      <c r="CK314" s="119" t="s">
        <v>1356</v>
      </c>
      <c r="CL314" s="119"/>
      <c r="CM314" s="120"/>
      <c r="CN314" s="119"/>
      <c r="CO314" s="120"/>
      <c r="CP314" s="119"/>
      <c r="CQ314" s="119" t="s">
        <v>1356</v>
      </c>
      <c r="CR314" s="119"/>
      <c r="CS314" s="120"/>
      <c r="CT314" s="119"/>
      <c r="CU314" s="120"/>
      <c r="CV314" s="119"/>
      <c r="CW314" s="119" t="s">
        <v>1356</v>
      </c>
      <c r="CX314" s="119"/>
      <c r="CY314" s="120"/>
      <c r="CZ314" s="119"/>
      <c r="DA314" s="120"/>
      <c r="DB314" s="128" t="s">
        <v>7085</v>
      </c>
      <c r="DC314" s="131" t="s">
        <v>2935</v>
      </c>
    </row>
    <row r="315" spans="1:107" s="40" customFormat="1" ht="14.55" customHeight="1" x14ac:dyDescent="0.3">
      <c r="A315" s="35" t="s">
        <v>4219</v>
      </c>
      <c r="B315" s="35" t="s">
        <v>6485</v>
      </c>
      <c r="C315" s="35" t="s">
        <v>6486</v>
      </c>
      <c r="D315" s="35" t="s">
        <v>6487</v>
      </c>
      <c r="E315" s="35" t="s">
        <v>70</v>
      </c>
      <c r="F315" s="35" t="s">
        <v>3036</v>
      </c>
      <c r="G315" s="35" t="s">
        <v>4237</v>
      </c>
      <c r="H315" s="27" t="s">
        <v>686</v>
      </c>
      <c r="I315" s="62">
        <v>901</v>
      </c>
      <c r="J315" s="62">
        <v>90150</v>
      </c>
      <c r="K315" s="63">
        <v>4</v>
      </c>
      <c r="L315" s="35" t="s">
        <v>4446</v>
      </c>
      <c r="M315" s="35"/>
      <c r="N315" s="35"/>
      <c r="O315" s="35" t="s">
        <v>1081</v>
      </c>
      <c r="P315" s="35" t="s">
        <v>4940</v>
      </c>
      <c r="Q315" s="35" t="s">
        <v>6488</v>
      </c>
      <c r="R315" s="35"/>
      <c r="S315" s="35" t="s">
        <v>1688</v>
      </c>
      <c r="T315" s="35"/>
      <c r="U315" s="35"/>
      <c r="V315" s="35" t="s">
        <v>2234</v>
      </c>
      <c r="W315" s="35" t="s">
        <v>6489</v>
      </c>
      <c r="X315" s="35" t="s">
        <v>6490</v>
      </c>
      <c r="Y315" s="35" t="s">
        <v>6491</v>
      </c>
      <c r="Z315" s="35"/>
      <c r="AA315" s="35"/>
      <c r="AB315" s="35">
        <v>90150517</v>
      </c>
      <c r="AC315" s="35">
        <v>90150517007</v>
      </c>
      <c r="AD315" s="35">
        <v>90150517007014</v>
      </c>
      <c r="AE315" s="63">
        <v>5</v>
      </c>
      <c r="AF315" s="63" t="s">
        <v>772</v>
      </c>
      <c r="AG315" s="46" t="s">
        <v>66</v>
      </c>
      <c r="AH315" s="64">
        <v>80209</v>
      </c>
      <c r="AI315" s="65" t="s">
        <v>66</v>
      </c>
      <c r="AJ315" s="32" t="s">
        <v>6938</v>
      </c>
      <c r="AK315" s="33" t="s">
        <v>67</v>
      </c>
      <c r="AL315" s="58">
        <v>45575</v>
      </c>
      <c r="AM315" s="52" t="s">
        <v>66</v>
      </c>
      <c r="AN315" s="35"/>
      <c r="AO315" s="35"/>
      <c r="AP315" s="35"/>
      <c r="AQ315" s="37">
        <f t="shared" si="15"/>
        <v>1</v>
      </c>
      <c r="AR315" s="38">
        <f t="shared" si="16"/>
        <v>0</v>
      </c>
      <c r="AS315" s="39">
        <f t="shared" si="17"/>
        <v>1</v>
      </c>
      <c r="AT315" s="99" t="s">
        <v>6998</v>
      </c>
      <c r="AU315" s="99" t="s">
        <v>6999</v>
      </c>
      <c r="AV315" s="99">
        <v>95</v>
      </c>
      <c r="AW315" s="100">
        <v>45627</v>
      </c>
      <c r="AX315" s="99"/>
      <c r="AY315" s="101"/>
      <c r="AZ315" s="99"/>
      <c r="BA315" s="99" t="s">
        <v>1356</v>
      </c>
      <c r="BB315" s="99"/>
      <c r="BC315" s="101"/>
      <c r="BD315" s="99"/>
      <c r="BE315" s="101"/>
      <c r="BF315" s="99"/>
      <c r="BG315" s="99" t="s">
        <v>1356</v>
      </c>
      <c r="BH315" s="99"/>
      <c r="BI315" s="101"/>
      <c r="BJ315" s="99"/>
      <c r="BK315" s="101"/>
      <c r="BL315" s="99"/>
      <c r="BM315" s="99" t="s">
        <v>1356</v>
      </c>
      <c r="BN315" s="99"/>
      <c r="BO315" s="101"/>
      <c r="BP315" s="99"/>
      <c r="BQ315" s="101"/>
      <c r="BR315" s="99"/>
      <c r="BS315" s="99" t="s">
        <v>1356</v>
      </c>
      <c r="BT315" s="99"/>
      <c r="BU315" s="101"/>
      <c r="BV315" s="99"/>
      <c r="BW315" s="101"/>
      <c r="BX315" s="119"/>
      <c r="BY315" s="119" t="s">
        <v>1356</v>
      </c>
      <c r="BZ315" s="119"/>
      <c r="CA315" s="120"/>
      <c r="CB315" s="119"/>
      <c r="CC315" s="120"/>
      <c r="CD315" s="119"/>
      <c r="CE315" s="119" t="s">
        <v>1356</v>
      </c>
      <c r="CF315" s="119"/>
      <c r="CG315" s="120"/>
      <c r="CH315" s="119"/>
      <c r="CI315" s="120"/>
      <c r="CJ315" s="119"/>
      <c r="CK315" s="119" t="s">
        <v>1356</v>
      </c>
      <c r="CL315" s="119"/>
      <c r="CM315" s="120"/>
      <c r="CN315" s="119"/>
      <c r="CO315" s="120"/>
      <c r="CP315" s="119"/>
      <c r="CQ315" s="119" t="s">
        <v>1356</v>
      </c>
      <c r="CR315" s="119"/>
      <c r="CS315" s="120"/>
      <c r="CT315" s="119"/>
      <c r="CU315" s="120"/>
      <c r="CV315" s="119"/>
      <c r="CW315" s="119" t="s">
        <v>1356</v>
      </c>
      <c r="CX315" s="119"/>
      <c r="CY315" s="120"/>
      <c r="CZ315" s="119"/>
      <c r="DA315" s="120"/>
      <c r="DB315" s="129" t="s">
        <v>6962</v>
      </c>
      <c r="DC315" s="131" t="s">
        <v>105</v>
      </c>
    </row>
    <row r="316" spans="1:107" s="40" customFormat="1" ht="14.55" customHeight="1" x14ac:dyDescent="0.3">
      <c r="A316" s="35" t="s">
        <v>4219</v>
      </c>
      <c r="B316" s="35" t="s">
        <v>6492</v>
      </c>
      <c r="C316" s="35" t="s">
        <v>6493</v>
      </c>
      <c r="D316" s="35" t="s">
        <v>6494</v>
      </c>
      <c r="E316" s="35" t="s">
        <v>6494</v>
      </c>
      <c r="F316" s="35" t="s">
        <v>4289</v>
      </c>
      <c r="G316" s="35" t="s">
        <v>4237</v>
      </c>
      <c r="H316" s="27" t="s">
        <v>686</v>
      </c>
      <c r="I316" s="62">
        <v>901</v>
      </c>
      <c r="J316" s="62">
        <v>90156</v>
      </c>
      <c r="K316" s="63">
        <v>4</v>
      </c>
      <c r="L316" s="35" t="s">
        <v>6495</v>
      </c>
      <c r="M316" s="35"/>
      <c r="N316" s="35" t="s">
        <v>810</v>
      </c>
      <c r="O316" s="35" t="s">
        <v>979</v>
      </c>
      <c r="P316" s="35"/>
      <c r="Q316" s="35"/>
      <c r="R316" s="35" t="s">
        <v>60</v>
      </c>
      <c r="S316" s="35"/>
      <c r="T316" s="35"/>
      <c r="U316" s="35"/>
      <c r="V316" s="35"/>
      <c r="W316" s="35" t="s">
        <v>6496</v>
      </c>
      <c r="X316" s="35" t="s">
        <v>6497</v>
      </c>
      <c r="Y316" s="35" t="s">
        <v>6498</v>
      </c>
      <c r="Z316" s="35">
        <v>-79.907090999999994</v>
      </c>
      <c r="AA316" s="35">
        <v>-2.1739899999999999</v>
      </c>
      <c r="AB316" s="35">
        <v>90156999</v>
      </c>
      <c r="AC316" s="35">
        <v>90156999002</v>
      </c>
      <c r="AD316" s="35"/>
      <c r="AE316" s="63">
        <v>5</v>
      </c>
      <c r="AF316" s="63" t="s">
        <v>772</v>
      </c>
      <c r="AG316" s="46" t="s">
        <v>66</v>
      </c>
      <c r="AH316" s="64">
        <v>80794</v>
      </c>
      <c r="AI316" s="65" t="s">
        <v>66</v>
      </c>
      <c r="AJ316" s="32" t="s">
        <v>6938</v>
      </c>
      <c r="AK316" s="33" t="s">
        <v>67</v>
      </c>
      <c r="AL316" s="58">
        <v>45575</v>
      </c>
      <c r="AM316" s="52" t="s">
        <v>66</v>
      </c>
      <c r="AN316" s="35"/>
      <c r="AO316" s="35"/>
      <c r="AP316" s="35"/>
      <c r="AQ316" s="37">
        <f t="shared" si="15"/>
        <v>3</v>
      </c>
      <c r="AR316" s="38">
        <f t="shared" si="16"/>
        <v>0</v>
      </c>
      <c r="AS316" s="39">
        <f t="shared" si="17"/>
        <v>3</v>
      </c>
      <c r="AT316" s="99" t="s">
        <v>4315</v>
      </c>
      <c r="AU316" s="99" t="s">
        <v>6995</v>
      </c>
      <c r="AV316" s="110">
        <v>1180</v>
      </c>
      <c r="AW316" s="100">
        <v>45642</v>
      </c>
      <c r="AX316" s="99"/>
      <c r="AY316" s="101"/>
      <c r="AZ316" s="99" t="s">
        <v>6996</v>
      </c>
      <c r="BA316" s="99" t="s">
        <v>6997</v>
      </c>
      <c r="BB316" s="99">
        <v>900</v>
      </c>
      <c r="BC316" s="101">
        <v>45550</v>
      </c>
      <c r="BD316" s="99"/>
      <c r="BE316" s="101"/>
      <c r="BF316" s="99" t="s">
        <v>6996</v>
      </c>
      <c r="BG316" s="99" t="s">
        <v>6997</v>
      </c>
      <c r="BH316" s="99">
        <v>1008</v>
      </c>
      <c r="BI316" s="101">
        <v>45574</v>
      </c>
      <c r="BJ316" s="99"/>
      <c r="BK316" s="101"/>
      <c r="BL316" s="99"/>
      <c r="BM316" s="99" t="s">
        <v>1356</v>
      </c>
      <c r="BN316" s="99"/>
      <c r="BO316" s="101"/>
      <c r="BP316" s="99"/>
      <c r="BQ316" s="101"/>
      <c r="BR316" s="99"/>
      <c r="BS316" s="99" t="s">
        <v>1356</v>
      </c>
      <c r="BT316" s="99"/>
      <c r="BU316" s="101"/>
      <c r="BV316" s="99"/>
      <c r="BW316" s="101"/>
      <c r="BX316" s="119"/>
      <c r="BY316" s="119" t="s">
        <v>1356</v>
      </c>
      <c r="BZ316" s="119"/>
      <c r="CA316" s="120"/>
      <c r="CB316" s="119"/>
      <c r="CC316" s="120"/>
      <c r="CD316" s="119"/>
      <c r="CE316" s="119" t="s">
        <v>1356</v>
      </c>
      <c r="CF316" s="119"/>
      <c r="CG316" s="120"/>
      <c r="CH316" s="119"/>
      <c r="CI316" s="120"/>
      <c r="CJ316" s="119"/>
      <c r="CK316" s="119" t="s">
        <v>1356</v>
      </c>
      <c r="CL316" s="119"/>
      <c r="CM316" s="120"/>
      <c r="CN316" s="119"/>
      <c r="CO316" s="120"/>
      <c r="CP316" s="119"/>
      <c r="CQ316" s="119" t="s">
        <v>1356</v>
      </c>
      <c r="CR316" s="119"/>
      <c r="CS316" s="120"/>
      <c r="CT316" s="119"/>
      <c r="CU316" s="120"/>
      <c r="CV316" s="119"/>
      <c r="CW316" s="119" t="s">
        <v>1356</v>
      </c>
      <c r="CX316" s="119"/>
      <c r="CY316" s="120"/>
      <c r="CZ316" s="119"/>
      <c r="DA316" s="120"/>
      <c r="DB316" s="129" t="s">
        <v>6962</v>
      </c>
      <c r="DC316" s="131" t="s">
        <v>105</v>
      </c>
    </row>
    <row r="317" spans="1:107" s="40" customFormat="1" ht="14.55" customHeight="1" x14ac:dyDescent="0.3">
      <c r="A317" s="42" t="s">
        <v>4219</v>
      </c>
      <c r="B317" s="42" t="s">
        <v>6499</v>
      </c>
      <c r="C317" s="42" t="s">
        <v>6500</v>
      </c>
      <c r="D317" s="42" t="s">
        <v>6501</v>
      </c>
      <c r="E317" s="42" t="s">
        <v>6502</v>
      </c>
      <c r="F317" s="42" t="s">
        <v>210</v>
      </c>
      <c r="G317" s="42" t="s">
        <v>4237</v>
      </c>
      <c r="H317" s="43" t="s">
        <v>686</v>
      </c>
      <c r="I317" s="44">
        <v>901</v>
      </c>
      <c r="J317" s="44">
        <v>90150</v>
      </c>
      <c r="K317" s="45">
        <v>4</v>
      </c>
      <c r="L317" s="42" t="s">
        <v>6503</v>
      </c>
      <c r="M317" s="42" t="s">
        <v>258</v>
      </c>
      <c r="N317" s="42" t="s">
        <v>6504</v>
      </c>
      <c r="O317" s="42" t="s">
        <v>6505</v>
      </c>
      <c r="P317" s="42"/>
      <c r="Q317" s="42"/>
      <c r="R317" s="42" t="s">
        <v>60</v>
      </c>
      <c r="S317" s="42"/>
      <c r="T317" s="42"/>
      <c r="U317" s="42"/>
      <c r="V317" s="42" t="s">
        <v>461</v>
      </c>
      <c r="W317" s="42" t="s">
        <v>6504</v>
      </c>
      <c r="X317" s="42" t="s">
        <v>6506</v>
      </c>
      <c r="Y317" s="42" t="s">
        <v>6507</v>
      </c>
      <c r="Z317" s="42"/>
      <c r="AA317" s="42"/>
      <c r="AB317" s="42">
        <v>90150690</v>
      </c>
      <c r="AC317" s="42">
        <v>90150690005</v>
      </c>
      <c r="AD317" s="42">
        <v>90150690005006</v>
      </c>
      <c r="AE317" s="45">
        <v>5</v>
      </c>
      <c r="AF317" s="45" t="s">
        <v>772</v>
      </c>
      <c r="AG317" s="46" t="s">
        <v>66</v>
      </c>
      <c r="AH317" s="47" t="s">
        <v>6508</v>
      </c>
      <c r="AI317" s="48" t="s">
        <v>66</v>
      </c>
      <c r="AJ317" s="49" t="s">
        <v>6938</v>
      </c>
      <c r="AK317" s="50" t="s">
        <v>67</v>
      </c>
      <c r="AL317" s="58">
        <v>45575</v>
      </c>
      <c r="AM317" s="52" t="s">
        <v>66</v>
      </c>
      <c r="AN317" s="42"/>
      <c r="AO317" s="42"/>
      <c r="AP317" s="42"/>
      <c r="AQ317" s="53">
        <f t="shared" si="15"/>
        <v>3</v>
      </c>
      <c r="AR317" s="54">
        <f t="shared" si="16"/>
        <v>0</v>
      </c>
      <c r="AS317" s="55">
        <f t="shared" si="17"/>
        <v>3</v>
      </c>
      <c r="AT317" s="96" t="s">
        <v>217</v>
      </c>
      <c r="AU317" s="96" t="s">
        <v>6703</v>
      </c>
      <c r="AV317" s="96" t="s">
        <v>6883</v>
      </c>
      <c r="AW317" s="97" t="s">
        <v>6796</v>
      </c>
      <c r="AX317" s="96" t="s">
        <v>6883</v>
      </c>
      <c r="AY317" s="98" t="s">
        <v>6796</v>
      </c>
      <c r="AZ317" s="96" t="s">
        <v>1276</v>
      </c>
      <c r="BA317" s="96" t="s">
        <v>6735</v>
      </c>
      <c r="BB317" s="96" t="s">
        <v>6884</v>
      </c>
      <c r="BC317" s="98" t="s">
        <v>6796</v>
      </c>
      <c r="BD317" s="96" t="s">
        <v>6884</v>
      </c>
      <c r="BE317" s="98" t="s">
        <v>6796</v>
      </c>
      <c r="BF317" s="96" t="s">
        <v>879</v>
      </c>
      <c r="BG317" s="96" t="s">
        <v>6702</v>
      </c>
      <c r="BH317" s="96" t="s">
        <v>6885</v>
      </c>
      <c r="BI317" s="98" t="s">
        <v>6796</v>
      </c>
      <c r="BJ317" s="96" t="s">
        <v>6885</v>
      </c>
      <c r="BK317" s="98" t="s">
        <v>6796</v>
      </c>
      <c r="BL317" s="96"/>
      <c r="BM317" s="96" t="s">
        <v>1356</v>
      </c>
      <c r="BN317" s="96"/>
      <c r="BO317" s="98"/>
      <c r="BP317" s="96"/>
      <c r="BQ317" s="98"/>
      <c r="BR317" s="96"/>
      <c r="BS317" s="96" t="s">
        <v>1356</v>
      </c>
      <c r="BT317" s="96"/>
      <c r="BU317" s="98"/>
      <c r="BV317" s="96"/>
      <c r="BW317" s="98"/>
      <c r="BX317" s="117"/>
      <c r="BY317" s="117" t="s">
        <v>1356</v>
      </c>
      <c r="BZ317" s="117"/>
      <c r="CA317" s="118"/>
      <c r="CB317" s="117"/>
      <c r="CC317" s="118"/>
      <c r="CD317" s="117"/>
      <c r="CE317" s="117" t="s">
        <v>1356</v>
      </c>
      <c r="CF317" s="117"/>
      <c r="CG317" s="118"/>
      <c r="CH317" s="117"/>
      <c r="CI317" s="118"/>
      <c r="CJ317" s="117"/>
      <c r="CK317" s="117" t="s">
        <v>1356</v>
      </c>
      <c r="CL317" s="117"/>
      <c r="CM317" s="118"/>
      <c r="CN317" s="117"/>
      <c r="CO317" s="118"/>
      <c r="CP317" s="117"/>
      <c r="CQ317" s="117" t="s">
        <v>1356</v>
      </c>
      <c r="CR317" s="117"/>
      <c r="CS317" s="118"/>
      <c r="CT317" s="117"/>
      <c r="CU317" s="118"/>
      <c r="CV317" s="117"/>
      <c r="CW317" s="117" t="s">
        <v>1356</v>
      </c>
      <c r="CX317" s="117"/>
      <c r="CY317" s="118"/>
      <c r="CZ317" s="117"/>
      <c r="DA317" s="118"/>
      <c r="DB317" s="129" t="s">
        <v>6962</v>
      </c>
      <c r="DC317" s="130" t="s">
        <v>105</v>
      </c>
    </row>
    <row r="318" spans="1:107" s="40" customFormat="1" ht="14.55" customHeight="1" x14ac:dyDescent="0.3">
      <c r="A318" s="42" t="s">
        <v>4108</v>
      </c>
      <c r="B318" s="42" t="s">
        <v>4125</v>
      </c>
      <c r="C318" s="42">
        <v>992251018001</v>
      </c>
      <c r="D318" s="42" t="s">
        <v>3335</v>
      </c>
      <c r="E318" s="42" t="s">
        <v>3336</v>
      </c>
      <c r="F318" s="42" t="s">
        <v>651</v>
      </c>
      <c r="G318" s="42" t="s">
        <v>404</v>
      </c>
      <c r="H318" s="43" t="s">
        <v>6930</v>
      </c>
      <c r="I318" s="44">
        <v>101</v>
      </c>
      <c r="J318" s="44">
        <v>10150</v>
      </c>
      <c r="K318" s="45">
        <v>4</v>
      </c>
      <c r="L318" s="42" t="s">
        <v>3337</v>
      </c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 t="s">
        <v>3338</v>
      </c>
      <c r="X318" s="42" t="s">
        <v>3339</v>
      </c>
      <c r="Y318" s="42" t="s">
        <v>3340</v>
      </c>
      <c r="Z318" s="42"/>
      <c r="AA318" s="42"/>
      <c r="AB318" s="42">
        <v>10150051</v>
      </c>
      <c r="AC318" s="42">
        <v>10150051003</v>
      </c>
      <c r="AD318" s="42">
        <v>10150051003002</v>
      </c>
      <c r="AE318" s="45">
        <v>2</v>
      </c>
      <c r="AF318" s="45" t="s">
        <v>64</v>
      </c>
      <c r="AG318" s="46" t="s">
        <v>66</v>
      </c>
      <c r="AH318" s="47">
        <v>60476</v>
      </c>
      <c r="AI318" s="48" t="s">
        <v>66</v>
      </c>
      <c r="AJ318" s="49" t="s">
        <v>6938</v>
      </c>
      <c r="AK318" s="50" t="s">
        <v>67</v>
      </c>
      <c r="AL318" s="51">
        <v>45576</v>
      </c>
      <c r="AM318" s="52" t="s">
        <v>66</v>
      </c>
      <c r="AN318" s="42"/>
      <c r="AO318" s="42"/>
      <c r="AP318" s="42"/>
      <c r="AQ318" s="53">
        <f t="shared" si="15"/>
        <v>0</v>
      </c>
      <c r="AR318" s="54">
        <f t="shared" si="16"/>
        <v>1</v>
      </c>
      <c r="AS318" s="55">
        <f t="shared" si="17"/>
        <v>1</v>
      </c>
      <c r="AT318" s="96"/>
      <c r="AU318" s="96" t="s">
        <v>1356</v>
      </c>
      <c r="AV318" s="96"/>
      <c r="AW318" s="97"/>
      <c r="AX318" s="96"/>
      <c r="AY318" s="98"/>
      <c r="AZ318" s="96"/>
      <c r="BA318" s="96" t="s">
        <v>1356</v>
      </c>
      <c r="BB318" s="96"/>
      <c r="BC318" s="98"/>
      <c r="BD318" s="96"/>
      <c r="BE318" s="98"/>
      <c r="BF318" s="96"/>
      <c r="BG318" s="96" t="s">
        <v>1356</v>
      </c>
      <c r="BH318" s="96"/>
      <c r="BI318" s="98"/>
      <c r="BJ318" s="96"/>
      <c r="BK318" s="98"/>
      <c r="BL318" s="96"/>
      <c r="BM318" s="96" t="s">
        <v>1356</v>
      </c>
      <c r="BN318" s="96"/>
      <c r="BO318" s="98"/>
      <c r="BP318" s="96"/>
      <c r="BQ318" s="98"/>
      <c r="BR318" s="96"/>
      <c r="BS318" s="96" t="s">
        <v>1356</v>
      </c>
      <c r="BT318" s="96"/>
      <c r="BU318" s="98"/>
      <c r="BV318" s="96"/>
      <c r="BW318" s="98"/>
      <c r="BX318" s="117" t="s">
        <v>674</v>
      </c>
      <c r="BY318" s="117" t="s">
        <v>2533</v>
      </c>
      <c r="BZ318" s="117">
        <v>3</v>
      </c>
      <c r="CA318" s="118">
        <v>45579</v>
      </c>
      <c r="CB318" s="117">
        <v>3</v>
      </c>
      <c r="CC318" s="118">
        <v>45607</v>
      </c>
      <c r="CD318" s="117"/>
      <c r="CE318" s="117" t="s">
        <v>1356</v>
      </c>
      <c r="CF318" s="117"/>
      <c r="CG318" s="118"/>
      <c r="CH318" s="117"/>
      <c r="CI318" s="118"/>
      <c r="CJ318" s="117"/>
      <c r="CK318" s="117" t="s">
        <v>1356</v>
      </c>
      <c r="CL318" s="117"/>
      <c r="CM318" s="118"/>
      <c r="CN318" s="117"/>
      <c r="CO318" s="118"/>
      <c r="CP318" s="117"/>
      <c r="CQ318" s="117" t="s">
        <v>1356</v>
      </c>
      <c r="CR318" s="117"/>
      <c r="CS318" s="118"/>
      <c r="CT318" s="117"/>
      <c r="CU318" s="118"/>
      <c r="CV318" s="117"/>
      <c r="CW318" s="117" t="s">
        <v>1356</v>
      </c>
      <c r="CX318" s="117"/>
      <c r="CY318" s="118"/>
      <c r="CZ318" s="117"/>
      <c r="DA318" s="118"/>
      <c r="DB318" s="129" t="s">
        <v>6962</v>
      </c>
      <c r="DC318" s="130" t="s">
        <v>105</v>
      </c>
    </row>
    <row r="319" spans="1:107" s="40" customFormat="1" ht="14.55" customHeight="1" x14ac:dyDescent="0.3">
      <c r="A319" s="35" t="s">
        <v>3456</v>
      </c>
      <c r="B319" s="35" t="s">
        <v>4085</v>
      </c>
      <c r="C319" s="35" t="s">
        <v>4086</v>
      </c>
      <c r="D319" s="35" t="s">
        <v>3468</v>
      </c>
      <c r="E319" s="35" t="s">
        <v>3468</v>
      </c>
      <c r="F319" s="35" t="s">
        <v>169</v>
      </c>
      <c r="G319" s="35" t="s">
        <v>1059</v>
      </c>
      <c r="H319" s="27" t="s">
        <v>6924</v>
      </c>
      <c r="I319" s="62">
        <v>1801</v>
      </c>
      <c r="J319" s="62">
        <v>180150</v>
      </c>
      <c r="K319" s="63">
        <v>3</v>
      </c>
      <c r="L319" s="35" t="s">
        <v>3469</v>
      </c>
      <c r="M319" s="35" t="s">
        <v>3470</v>
      </c>
      <c r="N319" s="35" t="s">
        <v>3471</v>
      </c>
      <c r="O319" s="35"/>
      <c r="P319" s="35"/>
      <c r="Q319" s="35"/>
      <c r="R319" s="35" t="s">
        <v>60</v>
      </c>
      <c r="S319" s="35"/>
      <c r="T319" s="35"/>
      <c r="U319" s="35"/>
      <c r="V319" s="35"/>
      <c r="W319" s="35" t="s">
        <v>3472</v>
      </c>
      <c r="X319" s="35" t="s">
        <v>3445</v>
      </c>
      <c r="Y319" s="35" t="s">
        <v>3468</v>
      </c>
      <c r="Z319" s="35">
        <v>-78.624191999999994</v>
      </c>
      <c r="AA319" s="35">
        <v>-1.2720640000000001</v>
      </c>
      <c r="AB319" s="35">
        <v>180150041</v>
      </c>
      <c r="AC319" s="35">
        <v>180150041003</v>
      </c>
      <c r="AD319" s="35">
        <v>180150041003004</v>
      </c>
      <c r="AE319" s="63">
        <v>4</v>
      </c>
      <c r="AF319" s="63" t="s">
        <v>499</v>
      </c>
      <c r="AG319" s="29" t="s">
        <v>65</v>
      </c>
      <c r="AH319" s="75"/>
      <c r="AI319" s="65" t="s">
        <v>66</v>
      </c>
      <c r="AJ319" s="32" t="s">
        <v>6938</v>
      </c>
      <c r="AK319" s="33" t="s">
        <v>67</v>
      </c>
      <c r="AL319" s="76">
        <v>45603</v>
      </c>
      <c r="AM319" s="35" t="s">
        <v>66</v>
      </c>
      <c r="AN319" s="35"/>
      <c r="AO319" s="35"/>
      <c r="AP319" s="35"/>
      <c r="AQ319" s="37">
        <f t="shared" si="15"/>
        <v>0</v>
      </c>
      <c r="AR319" s="38">
        <f t="shared" si="16"/>
        <v>0</v>
      </c>
      <c r="AS319" s="39">
        <f t="shared" si="17"/>
        <v>0</v>
      </c>
      <c r="AT319" s="99"/>
      <c r="AU319" s="99" t="s">
        <v>1356</v>
      </c>
      <c r="AV319" s="99"/>
      <c r="AW319" s="100"/>
      <c r="AX319" s="99"/>
      <c r="AY319" s="101"/>
      <c r="AZ319" s="99"/>
      <c r="BA319" s="99" t="s">
        <v>1356</v>
      </c>
      <c r="BB319" s="99"/>
      <c r="BC319" s="101"/>
      <c r="BD319" s="99"/>
      <c r="BE319" s="101"/>
      <c r="BF319" s="99"/>
      <c r="BG319" s="99" t="s">
        <v>1356</v>
      </c>
      <c r="BH319" s="99"/>
      <c r="BI319" s="101"/>
      <c r="BJ319" s="99"/>
      <c r="BK319" s="101"/>
      <c r="BL319" s="99"/>
      <c r="BM319" s="99" t="s">
        <v>1356</v>
      </c>
      <c r="BN319" s="99"/>
      <c r="BO319" s="101"/>
      <c r="BP319" s="99"/>
      <c r="BQ319" s="101"/>
      <c r="BR319" s="99"/>
      <c r="BS319" s="99" t="s">
        <v>1356</v>
      </c>
      <c r="BT319" s="99"/>
      <c r="BU319" s="101"/>
      <c r="BV319" s="99"/>
      <c r="BW319" s="101"/>
      <c r="BX319" s="119"/>
      <c r="BY319" s="119" t="s">
        <v>1356</v>
      </c>
      <c r="BZ319" s="119"/>
      <c r="CA319" s="120"/>
      <c r="CB319" s="119"/>
      <c r="CC319" s="120"/>
      <c r="CD319" s="119"/>
      <c r="CE319" s="119" t="s">
        <v>1356</v>
      </c>
      <c r="CF319" s="119"/>
      <c r="CG319" s="120"/>
      <c r="CH319" s="119"/>
      <c r="CI319" s="120"/>
      <c r="CJ319" s="119"/>
      <c r="CK319" s="119" t="s">
        <v>1356</v>
      </c>
      <c r="CL319" s="119"/>
      <c r="CM319" s="120"/>
      <c r="CN319" s="119"/>
      <c r="CO319" s="120"/>
      <c r="CP319" s="119"/>
      <c r="CQ319" s="119" t="s">
        <v>1356</v>
      </c>
      <c r="CR319" s="119"/>
      <c r="CS319" s="120"/>
      <c r="CT319" s="119"/>
      <c r="CU319" s="120"/>
      <c r="CV319" s="119"/>
      <c r="CW319" s="119" t="s">
        <v>1356</v>
      </c>
      <c r="CX319" s="119"/>
      <c r="CY319" s="120"/>
      <c r="CZ319" s="119"/>
      <c r="DA319" s="120"/>
      <c r="DB319" s="128" t="s">
        <v>7085</v>
      </c>
      <c r="DC319" s="131" t="s">
        <v>6751</v>
      </c>
    </row>
    <row r="320" spans="1:107" s="40" customFormat="1" ht="14.55" customHeight="1" x14ac:dyDescent="0.3">
      <c r="A320" s="66" t="s">
        <v>3500</v>
      </c>
      <c r="B320" s="66" t="s">
        <v>3561</v>
      </c>
      <c r="C320" s="66" t="s">
        <v>3562</v>
      </c>
      <c r="D320" s="66" t="s">
        <v>378</v>
      </c>
      <c r="E320" s="66" t="s">
        <v>379</v>
      </c>
      <c r="F320" s="66" t="s">
        <v>81</v>
      </c>
      <c r="G320" s="68" t="s">
        <v>57</v>
      </c>
      <c r="H320" s="43" t="s">
        <v>6922</v>
      </c>
      <c r="I320" s="68">
        <v>804</v>
      </c>
      <c r="J320" s="68">
        <v>80455</v>
      </c>
      <c r="K320" s="69">
        <v>4</v>
      </c>
      <c r="L320" s="66" t="s">
        <v>380</v>
      </c>
      <c r="M320" s="66"/>
      <c r="N320" s="66"/>
      <c r="O320" s="66" t="s">
        <v>381</v>
      </c>
      <c r="P320" s="66"/>
      <c r="Q320" s="66"/>
      <c r="R320" s="66"/>
      <c r="S320" s="66"/>
      <c r="T320" s="66"/>
      <c r="U320" s="66"/>
      <c r="V320" s="66"/>
      <c r="W320" s="66" t="s">
        <v>382</v>
      </c>
      <c r="X320" s="66" t="s">
        <v>383</v>
      </c>
      <c r="Y320" s="66" t="s">
        <v>384</v>
      </c>
      <c r="Z320" s="66"/>
      <c r="AA320" s="66"/>
      <c r="AB320" s="66"/>
      <c r="AC320" s="66"/>
      <c r="AD320" s="66"/>
      <c r="AE320" s="69">
        <v>3</v>
      </c>
      <c r="AF320" s="69" t="s">
        <v>377</v>
      </c>
      <c r="AG320" s="46" t="s">
        <v>66</v>
      </c>
      <c r="AH320" s="70" t="s">
        <v>385</v>
      </c>
      <c r="AI320" s="71" t="s">
        <v>66</v>
      </c>
      <c r="AJ320" s="49" t="s">
        <v>6938</v>
      </c>
      <c r="AK320" s="50" t="s">
        <v>67</v>
      </c>
      <c r="AL320" s="58">
        <v>45579</v>
      </c>
      <c r="AM320" s="52" t="s">
        <v>66</v>
      </c>
      <c r="AN320" s="52"/>
      <c r="AO320" s="52"/>
      <c r="AP320" s="52"/>
      <c r="AQ320" s="53">
        <f t="shared" si="15"/>
        <v>2</v>
      </c>
      <c r="AR320" s="54">
        <f t="shared" si="16"/>
        <v>0</v>
      </c>
      <c r="AS320" s="55">
        <f t="shared" si="17"/>
        <v>2</v>
      </c>
      <c r="AT320" s="102" t="s">
        <v>386</v>
      </c>
      <c r="AU320" s="103" t="s">
        <v>5215</v>
      </c>
      <c r="AV320" s="104">
        <v>1080</v>
      </c>
      <c r="AW320" s="105">
        <v>45579</v>
      </c>
      <c r="AX320" s="104">
        <v>1080</v>
      </c>
      <c r="AY320" s="106">
        <v>45611</v>
      </c>
      <c r="AZ320" s="102" t="s">
        <v>386</v>
      </c>
      <c r="BA320" s="103" t="s">
        <v>5215</v>
      </c>
      <c r="BB320" s="104">
        <v>1080</v>
      </c>
      <c r="BC320" s="106">
        <v>45579</v>
      </c>
      <c r="BD320" s="104">
        <v>1080</v>
      </c>
      <c r="BE320" s="106">
        <v>45611</v>
      </c>
      <c r="BF320" s="102"/>
      <c r="BG320" s="103" t="s">
        <v>1356</v>
      </c>
      <c r="BH320" s="104"/>
      <c r="BI320" s="106"/>
      <c r="BJ320" s="104"/>
      <c r="BK320" s="106"/>
      <c r="BL320" s="102"/>
      <c r="BM320" s="103" t="s">
        <v>1356</v>
      </c>
      <c r="BN320" s="104"/>
      <c r="BO320" s="106"/>
      <c r="BP320" s="104"/>
      <c r="BQ320" s="106"/>
      <c r="BR320" s="102"/>
      <c r="BS320" s="103" t="s">
        <v>1356</v>
      </c>
      <c r="BT320" s="104"/>
      <c r="BU320" s="106"/>
      <c r="BV320" s="104"/>
      <c r="BW320" s="106"/>
      <c r="BX320" s="121"/>
      <c r="BY320" s="122" t="s">
        <v>1356</v>
      </c>
      <c r="BZ320" s="123"/>
      <c r="CA320" s="124"/>
      <c r="CB320" s="123"/>
      <c r="CC320" s="124"/>
      <c r="CD320" s="121"/>
      <c r="CE320" s="122" t="s">
        <v>1356</v>
      </c>
      <c r="CF320" s="123"/>
      <c r="CG320" s="124"/>
      <c r="CH320" s="123"/>
      <c r="CI320" s="124"/>
      <c r="CJ320" s="121"/>
      <c r="CK320" s="122" t="s">
        <v>1356</v>
      </c>
      <c r="CL320" s="123"/>
      <c r="CM320" s="124"/>
      <c r="CN320" s="123"/>
      <c r="CO320" s="124"/>
      <c r="CP320" s="121"/>
      <c r="CQ320" s="122" t="s">
        <v>1356</v>
      </c>
      <c r="CR320" s="123"/>
      <c r="CS320" s="124"/>
      <c r="CT320" s="123"/>
      <c r="CU320" s="124"/>
      <c r="CV320" s="121"/>
      <c r="CW320" s="122" t="s">
        <v>1356</v>
      </c>
      <c r="CX320" s="123"/>
      <c r="CY320" s="124"/>
      <c r="CZ320" s="123"/>
      <c r="DA320" s="124"/>
      <c r="DB320" s="129" t="s">
        <v>6962</v>
      </c>
      <c r="DC320" s="129" t="s">
        <v>105</v>
      </c>
    </row>
    <row r="321" spans="1:107" s="40" customFormat="1" ht="14.55" customHeight="1" x14ac:dyDescent="0.3">
      <c r="A321" s="66" t="s">
        <v>3500</v>
      </c>
      <c r="B321" s="66" t="s">
        <v>3583</v>
      </c>
      <c r="C321" s="66" t="s">
        <v>3584</v>
      </c>
      <c r="D321" s="66" t="s">
        <v>501</v>
      </c>
      <c r="E321" s="66" t="s">
        <v>502</v>
      </c>
      <c r="F321" s="66" t="s">
        <v>81</v>
      </c>
      <c r="G321" s="68" t="s">
        <v>57</v>
      </c>
      <c r="H321" s="43" t="s">
        <v>6922</v>
      </c>
      <c r="I321" s="68">
        <v>804</v>
      </c>
      <c r="J321" s="68">
        <v>80450</v>
      </c>
      <c r="K321" s="69">
        <v>4</v>
      </c>
      <c r="L321" s="66" t="s">
        <v>503</v>
      </c>
      <c r="M321" s="66"/>
      <c r="N321" s="66"/>
      <c r="O321" s="66" t="s">
        <v>412</v>
      </c>
      <c r="P321" s="66"/>
      <c r="Q321" s="66" t="s">
        <v>504</v>
      </c>
      <c r="R321" s="66" t="s">
        <v>60</v>
      </c>
      <c r="S321" s="66"/>
      <c r="T321" s="66"/>
      <c r="U321" s="66"/>
      <c r="V321" s="66"/>
      <c r="W321" s="66" t="s">
        <v>505</v>
      </c>
      <c r="X321" s="66" t="s">
        <v>506</v>
      </c>
      <c r="Y321" s="66" t="s">
        <v>507</v>
      </c>
      <c r="Z321" s="66"/>
      <c r="AA321" s="66"/>
      <c r="AB321" s="66"/>
      <c r="AC321" s="66"/>
      <c r="AD321" s="66"/>
      <c r="AE321" s="69">
        <v>4</v>
      </c>
      <c r="AF321" s="69" t="s">
        <v>499</v>
      </c>
      <c r="AG321" s="46" t="s">
        <v>66</v>
      </c>
      <c r="AH321" s="70">
        <v>40910</v>
      </c>
      <c r="AI321" s="71" t="s">
        <v>66</v>
      </c>
      <c r="AJ321" s="49" t="s">
        <v>6938</v>
      </c>
      <c r="AK321" s="50" t="s">
        <v>67</v>
      </c>
      <c r="AL321" s="58">
        <v>45579</v>
      </c>
      <c r="AM321" s="52" t="s">
        <v>66</v>
      </c>
      <c r="AN321" s="52"/>
      <c r="AO321" s="52"/>
      <c r="AP321" s="52"/>
      <c r="AQ321" s="53">
        <f t="shared" si="15"/>
        <v>1</v>
      </c>
      <c r="AR321" s="54">
        <f t="shared" si="16"/>
        <v>0</v>
      </c>
      <c r="AS321" s="55">
        <f t="shared" si="17"/>
        <v>1</v>
      </c>
      <c r="AT321" s="102" t="s">
        <v>386</v>
      </c>
      <c r="AU321" s="103" t="s">
        <v>5215</v>
      </c>
      <c r="AV321" s="104">
        <v>1015</v>
      </c>
      <c r="AW321" s="105">
        <v>45579</v>
      </c>
      <c r="AX321" s="104">
        <v>1015</v>
      </c>
      <c r="AY321" s="106">
        <v>45611</v>
      </c>
      <c r="AZ321" s="102"/>
      <c r="BA321" s="103" t="s">
        <v>1356</v>
      </c>
      <c r="BB321" s="104"/>
      <c r="BC321" s="106"/>
      <c r="BD321" s="104"/>
      <c r="BE321" s="106"/>
      <c r="BF321" s="102"/>
      <c r="BG321" s="103" t="s">
        <v>1356</v>
      </c>
      <c r="BH321" s="104"/>
      <c r="BI321" s="106"/>
      <c r="BJ321" s="104"/>
      <c r="BK321" s="106"/>
      <c r="BL321" s="102"/>
      <c r="BM321" s="103" t="s">
        <v>1356</v>
      </c>
      <c r="BN321" s="104"/>
      <c r="BO321" s="106"/>
      <c r="BP321" s="104"/>
      <c r="BQ321" s="106"/>
      <c r="BR321" s="102"/>
      <c r="BS321" s="103" t="s">
        <v>1356</v>
      </c>
      <c r="BT321" s="104"/>
      <c r="BU321" s="106"/>
      <c r="BV321" s="104"/>
      <c r="BW321" s="106"/>
      <c r="BX321" s="121"/>
      <c r="BY321" s="122" t="s">
        <v>1356</v>
      </c>
      <c r="BZ321" s="123"/>
      <c r="CA321" s="124"/>
      <c r="CB321" s="123"/>
      <c r="CC321" s="124"/>
      <c r="CD321" s="121"/>
      <c r="CE321" s="122" t="s">
        <v>1356</v>
      </c>
      <c r="CF321" s="123"/>
      <c r="CG321" s="124"/>
      <c r="CH321" s="123"/>
      <c r="CI321" s="124"/>
      <c r="CJ321" s="121"/>
      <c r="CK321" s="122" t="s">
        <v>1356</v>
      </c>
      <c r="CL321" s="123"/>
      <c r="CM321" s="124"/>
      <c r="CN321" s="123"/>
      <c r="CO321" s="124"/>
      <c r="CP321" s="121"/>
      <c r="CQ321" s="122" t="s">
        <v>1356</v>
      </c>
      <c r="CR321" s="123"/>
      <c r="CS321" s="124"/>
      <c r="CT321" s="123"/>
      <c r="CU321" s="124"/>
      <c r="CV321" s="121"/>
      <c r="CW321" s="122" t="s">
        <v>1356</v>
      </c>
      <c r="CX321" s="123"/>
      <c r="CY321" s="124"/>
      <c r="CZ321" s="123"/>
      <c r="DA321" s="124"/>
      <c r="DB321" s="129" t="s">
        <v>6962</v>
      </c>
      <c r="DC321" s="129" t="s">
        <v>105</v>
      </c>
    </row>
    <row r="322" spans="1:107" s="40" customFormat="1" ht="14.55" customHeight="1" x14ac:dyDescent="0.3">
      <c r="A322" s="42" t="s">
        <v>4108</v>
      </c>
      <c r="B322" s="42" t="s">
        <v>4132</v>
      </c>
      <c r="C322" s="42">
        <v>190350169001</v>
      </c>
      <c r="D322" s="42" t="s">
        <v>2923</v>
      </c>
      <c r="E322" s="42" t="s">
        <v>2924</v>
      </c>
      <c r="F322" s="42" t="s">
        <v>1752</v>
      </c>
      <c r="G322" s="42" t="s">
        <v>404</v>
      </c>
      <c r="H322" s="43" t="s">
        <v>6930</v>
      </c>
      <c r="I322" s="44">
        <v>101</v>
      </c>
      <c r="J322" s="44">
        <v>10150</v>
      </c>
      <c r="K322" s="45">
        <v>4</v>
      </c>
      <c r="L322" s="42" t="s">
        <v>213</v>
      </c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 t="s">
        <v>2925</v>
      </c>
      <c r="X322" s="42"/>
      <c r="Y322" s="42" t="s">
        <v>2926</v>
      </c>
      <c r="Z322" s="42"/>
      <c r="AA322" s="42"/>
      <c r="AB322" s="42">
        <v>10150101</v>
      </c>
      <c r="AC322" s="42">
        <v>10150101006</v>
      </c>
      <c r="AD322" s="42">
        <v>10150101006002</v>
      </c>
      <c r="AE322" s="45">
        <v>2</v>
      </c>
      <c r="AF322" s="45" t="s">
        <v>64</v>
      </c>
      <c r="AG322" s="46" t="s">
        <v>66</v>
      </c>
      <c r="AH322" s="47">
        <v>60482</v>
      </c>
      <c r="AI322" s="48" t="s">
        <v>66</v>
      </c>
      <c r="AJ322" s="49" t="s">
        <v>6938</v>
      </c>
      <c r="AK322" s="50" t="s">
        <v>67</v>
      </c>
      <c r="AL322" s="51">
        <v>45579</v>
      </c>
      <c r="AM322" s="52" t="s">
        <v>66</v>
      </c>
      <c r="AN322" s="42"/>
      <c r="AO322" s="42"/>
      <c r="AP322" s="42"/>
      <c r="AQ322" s="53">
        <f t="shared" si="15"/>
        <v>0</v>
      </c>
      <c r="AR322" s="54">
        <f t="shared" si="16"/>
        <v>3</v>
      </c>
      <c r="AS322" s="55">
        <f t="shared" si="17"/>
        <v>3</v>
      </c>
      <c r="AT322" s="96"/>
      <c r="AU322" s="96" t="s">
        <v>1356</v>
      </c>
      <c r="AV322" s="96"/>
      <c r="AW322" s="97"/>
      <c r="AX322" s="96"/>
      <c r="AY322" s="98"/>
      <c r="AZ322" s="96"/>
      <c r="BA322" s="96" t="s">
        <v>1356</v>
      </c>
      <c r="BB322" s="96"/>
      <c r="BC322" s="98"/>
      <c r="BD322" s="96"/>
      <c r="BE322" s="98"/>
      <c r="BF322" s="96"/>
      <c r="BG322" s="96" t="s">
        <v>1356</v>
      </c>
      <c r="BH322" s="96"/>
      <c r="BI322" s="98"/>
      <c r="BJ322" s="96"/>
      <c r="BK322" s="98"/>
      <c r="BL322" s="96"/>
      <c r="BM322" s="96" t="s">
        <v>1356</v>
      </c>
      <c r="BN322" s="96"/>
      <c r="BO322" s="98"/>
      <c r="BP322" s="96"/>
      <c r="BQ322" s="98"/>
      <c r="BR322" s="96"/>
      <c r="BS322" s="96" t="s">
        <v>1356</v>
      </c>
      <c r="BT322" s="96"/>
      <c r="BU322" s="98"/>
      <c r="BV322" s="96"/>
      <c r="BW322" s="98"/>
      <c r="BX322" s="117" t="s">
        <v>1211</v>
      </c>
      <c r="BY322" s="117" t="s">
        <v>3344</v>
      </c>
      <c r="BZ322" s="117">
        <v>28</v>
      </c>
      <c r="CA322" s="118">
        <v>45580</v>
      </c>
      <c r="CB322" s="117">
        <v>28</v>
      </c>
      <c r="CC322" s="118">
        <v>45611</v>
      </c>
      <c r="CD322" s="117" t="s">
        <v>1211</v>
      </c>
      <c r="CE322" s="117" t="s">
        <v>3344</v>
      </c>
      <c r="CF322" s="117">
        <v>27</v>
      </c>
      <c r="CG322" s="118">
        <v>45580</v>
      </c>
      <c r="CH322" s="117">
        <v>27</v>
      </c>
      <c r="CI322" s="118">
        <v>45611</v>
      </c>
      <c r="CJ322" s="117" t="s">
        <v>661</v>
      </c>
      <c r="CK322" s="117" t="s">
        <v>1761</v>
      </c>
      <c r="CL322" s="117">
        <v>12</v>
      </c>
      <c r="CM322" s="118">
        <v>45580</v>
      </c>
      <c r="CN322" s="117">
        <v>12</v>
      </c>
      <c r="CO322" s="118">
        <v>45580</v>
      </c>
      <c r="CP322" s="117"/>
      <c r="CQ322" s="117" t="s">
        <v>1356</v>
      </c>
      <c r="CR322" s="117"/>
      <c r="CS322" s="118"/>
      <c r="CT322" s="117"/>
      <c r="CU322" s="118"/>
      <c r="CV322" s="117"/>
      <c r="CW322" s="117" t="s">
        <v>1356</v>
      </c>
      <c r="CX322" s="117"/>
      <c r="CY322" s="118"/>
      <c r="CZ322" s="117"/>
      <c r="DA322" s="118"/>
      <c r="DB322" s="129" t="s">
        <v>6962</v>
      </c>
      <c r="DC322" s="130" t="s">
        <v>105</v>
      </c>
    </row>
    <row r="323" spans="1:107" s="40" customFormat="1" ht="14.55" customHeight="1" x14ac:dyDescent="0.3">
      <c r="A323" s="35" t="s">
        <v>3456</v>
      </c>
      <c r="B323" s="35" t="s">
        <v>4090</v>
      </c>
      <c r="C323" s="35" t="s">
        <v>4091</v>
      </c>
      <c r="D323" s="35" t="s">
        <v>3473</v>
      </c>
      <c r="E323" s="35" t="s">
        <v>3474</v>
      </c>
      <c r="F323" s="35" t="s">
        <v>190</v>
      </c>
      <c r="G323" s="35" t="s">
        <v>1941</v>
      </c>
      <c r="H323" s="27" t="s">
        <v>6927</v>
      </c>
      <c r="I323" s="62">
        <v>601</v>
      </c>
      <c r="J323" s="62">
        <v>60150</v>
      </c>
      <c r="K323" s="63">
        <v>4</v>
      </c>
      <c r="L323" s="35" t="s">
        <v>2522</v>
      </c>
      <c r="M323" s="35" t="s">
        <v>1081</v>
      </c>
      <c r="N323" s="35" t="s">
        <v>3475</v>
      </c>
      <c r="O323" s="35"/>
      <c r="P323" s="35"/>
      <c r="Q323" s="35"/>
      <c r="R323" s="35"/>
      <c r="S323" s="35" t="s">
        <v>1081</v>
      </c>
      <c r="T323" s="35"/>
      <c r="U323" s="35" t="s">
        <v>2236</v>
      </c>
      <c r="V323" s="35"/>
      <c r="W323" s="35" t="s">
        <v>3476</v>
      </c>
      <c r="X323" s="35" t="s">
        <v>3477</v>
      </c>
      <c r="Y323" s="35" t="s">
        <v>3478</v>
      </c>
      <c r="Z323" s="35">
        <v>-78.632012000000003</v>
      </c>
      <c r="AA323" s="35">
        <v>-1.6775500000000001</v>
      </c>
      <c r="AB323" s="35">
        <v>60150052</v>
      </c>
      <c r="AC323" s="35">
        <v>60150052009</v>
      </c>
      <c r="AD323" s="35">
        <v>60150052009009</v>
      </c>
      <c r="AE323" s="63">
        <v>4</v>
      </c>
      <c r="AF323" s="63" t="s">
        <v>499</v>
      </c>
      <c r="AG323" s="29" t="s">
        <v>65</v>
      </c>
      <c r="AH323" s="75"/>
      <c r="AI323" s="65" t="s">
        <v>66</v>
      </c>
      <c r="AJ323" s="32" t="s">
        <v>6938</v>
      </c>
      <c r="AK323" s="33" t="s">
        <v>67</v>
      </c>
      <c r="AL323" s="76">
        <v>45590</v>
      </c>
      <c r="AM323" s="35" t="s">
        <v>66</v>
      </c>
      <c r="AN323" s="35"/>
      <c r="AO323" s="35"/>
      <c r="AP323" s="35"/>
      <c r="AQ323" s="37">
        <f t="shared" si="15"/>
        <v>0</v>
      </c>
      <c r="AR323" s="38">
        <f t="shared" si="16"/>
        <v>0</v>
      </c>
      <c r="AS323" s="39">
        <f t="shared" si="17"/>
        <v>0</v>
      </c>
      <c r="AT323" s="99"/>
      <c r="AU323" s="99" t="s">
        <v>1356</v>
      </c>
      <c r="AV323" s="99"/>
      <c r="AW323" s="100"/>
      <c r="AX323" s="99"/>
      <c r="AY323" s="101"/>
      <c r="AZ323" s="99"/>
      <c r="BA323" s="99" t="s">
        <v>1356</v>
      </c>
      <c r="BB323" s="99"/>
      <c r="BC323" s="101"/>
      <c r="BD323" s="99"/>
      <c r="BE323" s="101"/>
      <c r="BF323" s="99"/>
      <c r="BG323" s="99" t="s">
        <v>1356</v>
      </c>
      <c r="BH323" s="99"/>
      <c r="BI323" s="101"/>
      <c r="BJ323" s="99"/>
      <c r="BK323" s="101"/>
      <c r="BL323" s="99"/>
      <c r="BM323" s="99" t="s">
        <v>1356</v>
      </c>
      <c r="BN323" s="99"/>
      <c r="BO323" s="101"/>
      <c r="BP323" s="99"/>
      <c r="BQ323" s="101"/>
      <c r="BR323" s="99"/>
      <c r="BS323" s="99" t="s">
        <v>1356</v>
      </c>
      <c r="BT323" s="99"/>
      <c r="BU323" s="101"/>
      <c r="BV323" s="99"/>
      <c r="BW323" s="101"/>
      <c r="BX323" s="119"/>
      <c r="BY323" s="119" t="s">
        <v>1356</v>
      </c>
      <c r="BZ323" s="119"/>
      <c r="CA323" s="120"/>
      <c r="CB323" s="119"/>
      <c r="CC323" s="120"/>
      <c r="CD323" s="119"/>
      <c r="CE323" s="119" t="s">
        <v>1356</v>
      </c>
      <c r="CF323" s="119"/>
      <c r="CG323" s="120"/>
      <c r="CH323" s="119"/>
      <c r="CI323" s="120"/>
      <c r="CJ323" s="119"/>
      <c r="CK323" s="119" t="s">
        <v>1356</v>
      </c>
      <c r="CL323" s="119"/>
      <c r="CM323" s="120"/>
      <c r="CN323" s="119"/>
      <c r="CO323" s="120"/>
      <c r="CP323" s="119"/>
      <c r="CQ323" s="119" t="s">
        <v>1356</v>
      </c>
      <c r="CR323" s="119"/>
      <c r="CS323" s="120"/>
      <c r="CT323" s="119"/>
      <c r="CU323" s="120"/>
      <c r="CV323" s="119"/>
      <c r="CW323" s="119" t="s">
        <v>1356</v>
      </c>
      <c r="CX323" s="119"/>
      <c r="CY323" s="120"/>
      <c r="CZ323" s="119"/>
      <c r="DA323" s="120"/>
      <c r="DB323" s="128" t="s">
        <v>7085</v>
      </c>
      <c r="DC323" s="131" t="s">
        <v>2935</v>
      </c>
    </row>
    <row r="324" spans="1:107" s="40" customFormat="1" ht="14.55" customHeight="1" x14ac:dyDescent="0.3">
      <c r="A324" s="35" t="s">
        <v>3456</v>
      </c>
      <c r="B324" s="35" t="s">
        <v>4092</v>
      </c>
      <c r="C324" s="35" t="s">
        <v>4093</v>
      </c>
      <c r="D324" s="35" t="s">
        <v>3479</v>
      </c>
      <c r="E324" s="35" t="s">
        <v>3479</v>
      </c>
      <c r="F324" s="35" t="s">
        <v>1329</v>
      </c>
      <c r="G324" s="35" t="s">
        <v>1059</v>
      </c>
      <c r="H324" s="27" t="s">
        <v>6924</v>
      </c>
      <c r="I324" s="62">
        <v>1801</v>
      </c>
      <c r="J324" s="62">
        <v>180150</v>
      </c>
      <c r="K324" s="63">
        <v>4</v>
      </c>
      <c r="L324" s="35" t="s">
        <v>3480</v>
      </c>
      <c r="M324" s="35" t="s">
        <v>3481</v>
      </c>
      <c r="N324" s="35" t="s">
        <v>3482</v>
      </c>
      <c r="O324" s="35"/>
      <c r="P324" s="35"/>
      <c r="Q324" s="35" t="s">
        <v>3483</v>
      </c>
      <c r="R324" s="35" t="s">
        <v>3484</v>
      </c>
      <c r="S324" s="35"/>
      <c r="T324" s="35"/>
      <c r="U324" s="35" t="s">
        <v>3485</v>
      </c>
      <c r="V324" s="35"/>
      <c r="W324" s="35" t="s">
        <v>3486</v>
      </c>
      <c r="X324" s="35" t="s">
        <v>3487</v>
      </c>
      <c r="Y324" s="35" t="s">
        <v>3488</v>
      </c>
      <c r="Z324" s="35">
        <v>-78.627607999999995</v>
      </c>
      <c r="AA324" s="35">
        <v>-1.2424329999999999</v>
      </c>
      <c r="AB324" s="35">
        <v>180150017</v>
      </c>
      <c r="AC324" s="35">
        <v>180150017006</v>
      </c>
      <c r="AD324" s="35">
        <v>180150017006005</v>
      </c>
      <c r="AE324" s="63">
        <v>4</v>
      </c>
      <c r="AF324" s="63" t="s">
        <v>499</v>
      </c>
      <c r="AG324" s="29" t="s">
        <v>65</v>
      </c>
      <c r="AH324" s="75"/>
      <c r="AI324" s="65" t="s">
        <v>66</v>
      </c>
      <c r="AJ324" s="32" t="s">
        <v>6938</v>
      </c>
      <c r="AK324" s="33" t="s">
        <v>67</v>
      </c>
      <c r="AL324" s="76">
        <v>45603</v>
      </c>
      <c r="AM324" s="35" t="s">
        <v>66</v>
      </c>
      <c r="AN324" s="35"/>
      <c r="AO324" s="35"/>
      <c r="AP324" s="35"/>
      <c r="AQ324" s="37">
        <f t="shared" si="15"/>
        <v>0</v>
      </c>
      <c r="AR324" s="38">
        <f t="shared" si="16"/>
        <v>0</v>
      </c>
      <c r="AS324" s="39">
        <f t="shared" si="17"/>
        <v>0</v>
      </c>
      <c r="AT324" s="99"/>
      <c r="AU324" s="99" t="s">
        <v>1356</v>
      </c>
      <c r="AV324" s="99"/>
      <c r="AW324" s="100"/>
      <c r="AX324" s="99"/>
      <c r="AY324" s="101"/>
      <c r="AZ324" s="99"/>
      <c r="BA324" s="99" t="s">
        <v>1356</v>
      </c>
      <c r="BB324" s="99"/>
      <c r="BC324" s="101"/>
      <c r="BD324" s="99"/>
      <c r="BE324" s="101"/>
      <c r="BF324" s="99"/>
      <c r="BG324" s="99" t="s">
        <v>1356</v>
      </c>
      <c r="BH324" s="99"/>
      <c r="BI324" s="101"/>
      <c r="BJ324" s="99"/>
      <c r="BK324" s="101"/>
      <c r="BL324" s="99"/>
      <c r="BM324" s="99" t="s">
        <v>1356</v>
      </c>
      <c r="BN324" s="99"/>
      <c r="BO324" s="101"/>
      <c r="BP324" s="99"/>
      <c r="BQ324" s="101"/>
      <c r="BR324" s="99"/>
      <c r="BS324" s="99" t="s">
        <v>1356</v>
      </c>
      <c r="BT324" s="99"/>
      <c r="BU324" s="101"/>
      <c r="BV324" s="99"/>
      <c r="BW324" s="101"/>
      <c r="BX324" s="119"/>
      <c r="BY324" s="119" t="s">
        <v>1356</v>
      </c>
      <c r="BZ324" s="119"/>
      <c r="CA324" s="120"/>
      <c r="CB324" s="119"/>
      <c r="CC324" s="120"/>
      <c r="CD324" s="119"/>
      <c r="CE324" s="119" t="s">
        <v>1356</v>
      </c>
      <c r="CF324" s="119"/>
      <c r="CG324" s="120"/>
      <c r="CH324" s="119"/>
      <c r="CI324" s="120"/>
      <c r="CJ324" s="119"/>
      <c r="CK324" s="119" t="s">
        <v>1356</v>
      </c>
      <c r="CL324" s="119"/>
      <c r="CM324" s="120"/>
      <c r="CN324" s="119"/>
      <c r="CO324" s="120"/>
      <c r="CP324" s="119"/>
      <c r="CQ324" s="119" t="s">
        <v>1356</v>
      </c>
      <c r="CR324" s="119"/>
      <c r="CS324" s="120"/>
      <c r="CT324" s="119"/>
      <c r="CU324" s="120"/>
      <c r="CV324" s="119"/>
      <c r="CW324" s="119" t="s">
        <v>1356</v>
      </c>
      <c r="CX324" s="119"/>
      <c r="CY324" s="120"/>
      <c r="CZ324" s="119"/>
      <c r="DA324" s="120"/>
      <c r="DB324" s="128" t="s">
        <v>7085</v>
      </c>
      <c r="DC324" s="131" t="s">
        <v>2935</v>
      </c>
    </row>
    <row r="325" spans="1:107" s="40" customFormat="1" ht="14.55" customHeight="1" x14ac:dyDescent="0.3">
      <c r="A325" s="35" t="s">
        <v>3456</v>
      </c>
      <c r="B325" s="35" t="s">
        <v>4094</v>
      </c>
      <c r="C325" s="35">
        <v>591709224001</v>
      </c>
      <c r="D325" s="35" t="s">
        <v>3489</v>
      </c>
      <c r="E325" s="35" t="s">
        <v>3490</v>
      </c>
      <c r="F325" s="35" t="s">
        <v>1493</v>
      </c>
      <c r="G325" s="35" t="s">
        <v>2426</v>
      </c>
      <c r="H325" s="27" t="s">
        <v>6925</v>
      </c>
      <c r="I325" s="62">
        <v>501</v>
      </c>
      <c r="J325" s="62">
        <v>50150</v>
      </c>
      <c r="K325" s="63">
        <v>4</v>
      </c>
      <c r="L325" s="35" t="s">
        <v>2801</v>
      </c>
      <c r="M325" s="35"/>
      <c r="N325" s="35" t="s">
        <v>3491</v>
      </c>
      <c r="O325" s="35"/>
      <c r="P325" s="35"/>
      <c r="Q325" s="35"/>
      <c r="R325" s="35" t="s">
        <v>60</v>
      </c>
      <c r="S325" s="35"/>
      <c r="T325" s="35"/>
      <c r="U325" s="35" t="s">
        <v>3492</v>
      </c>
      <c r="V325" s="35"/>
      <c r="W325" s="35" t="s">
        <v>3493</v>
      </c>
      <c r="X325" s="35" t="s">
        <v>3494</v>
      </c>
      <c r="Y325" s="35" t="s">
        <v>3495</v>
      </c>
      <c r="Z325" s="35"/>
      <c r="AA325" s="35"/>
      <c r="AB325" s="35"/>
      <c r="AC325" s="35"/>
      <c r="AD325" s="35"/>
      <c r="AE325" s="63">
        <v>4</v>
      </c>
      <c r="AF325" s="63" t="s">
        <v>499</v>
      </c>
      <c r="AG325" s="29" t="s">
        <v>65</v>
      </c>
      <c r="AH325" s="75"/>
      <c r="AI325" s="65" t="s">
        <v>66</v>
      </c>
      <c r="AJ325" s="32" t="s">
        <v>6938</v>
      </c>
      <c r="AK325" s="33" t="s">
        <v>67</v>
      </c>
      <c r="AL325" s="76">
        <v>45583</v>
      </c>
      <c r="AM325" s="35" t="s">
        <v>66</v>
      </c>
      <c r="AN325" s="35"/>
      <c r="AO325" s="35"/>
      <c r="AP325" s="35"/>
      <c r="AQ325" s="37">
        <f t="shared" si="15"/>
        <v>0</v>
      </c>
      <c r="AR325" s="38">
        <f t="shared" si="16"/>
        <v>0</v>
      </c>
      <c r="AS325" s="39">
        <f t="shared" si="17"/>
        <v>0</v>
      </c>
      <c r="AT325" s="99"/>
      <c r="AU325" s="99" t="s">
        <v>1356</v>
      </c>
      <c r="AV325" s="99"/>
      <c r="AW325" s="100"/>
      <c r="AX325" s="99"/>
      <c r="AY325" s="101"/>
      <c r="AZ325" s="99"/>
      <c r="BA325" s="99" t="s">
        <v>1356</v>
      </c>
      <c r="BB325" s="99"/>
      <c r="BC325" s="101"/>
      <c r="BD325" s="99"/>
      <c r="BE325" s="101"/>
      <c r="BF325" s="99"/>
      <c r="BG325" s="99" t="s">
        <v>1356</v>
      </c>
      <c r="BH325" s="99"/>
      <c r="BI325" s="101"/>
      <c r="BJ325" s="99"/>
      <c r="BK325" s="101"/>
      <c r="BL325" s="99"/>
      <c r="BM325" s="99" t="s">
        <v>1356</v>
      </c>
      <c r="BN325" s="99"/>
      <c r="BO325" s="101"/>
      <c r="BP325" s="99"/>
      <c r="BQ325" s="101"/>
      <c r="BR325" s="99"/>
      <c r="BS325" s="99" t="s">
        <v>1356</v>
      </c>
      <c r="BT325" s="99"/>
      <c r="BU325" s="101"/>
      <c r="BV325" s="99"/>
      <c r="BW325" s="101"/>
      <c r="BX325" s="119"/>
      <c r="BY325" s="119" t="s">
        <v>1356</v>
      </c>
      <c r="BZ325" s="119"/>
      <c r="CA325" s="120"/>
      <c r="CB325" s="119"/>
      <c r="CC325" s="120"/>
      <c r="CD325" s="119"/>
      <c r="CE325" s="119" t="s">
        <v>1356</v>
      </c>
      <c r="CF325" s="119"/>
      <c r="CG325" s="120"/>
      <c r="CH325" s="119"/>
      <c r="CI325" s="120"/>
      <c r="CJ325" s="119"/>
      <c r="CK325" s="119" t="s">
        <v>1356</v>
      </c>
      <c r="CL325" s="119"/>
      <c r="CM325" s="120"/>
      <c r="CN325" s="119"/>
      <c r="CO325" s="120"/>
      <c r="CP325" s="119"/>
      <c r="CQ325" s="119" t="s">
        <v>1356</v>
      </c>
      <c r="CR325" s="119"/>
      <c r="CS325" s="120"/>
      <c r="CT325" s="119"/>
      <c r="CU325" s="120"/>
      <c r="CV325" s="119"/>
      <c r="CW325" s="119" t="s">
        <v>1356</v>
      </c>
      <c r="CX325" s="119"/>
      <c r="CY325" s="120"/>
      <c r="CZ325" s="119"/>
      <c r="DA325" s="120"/>
      <c r="DB325" s="128" t="s">
        <v>7085</v>
      </c>
      <c r="DC325" s="131" t="s">
        <v>253</v>
      </c>
    </row>
    <row r="326" spans="1:107" s="40" customFormat="1" ht="14.55" customHeight="1" x14ac:dyDescent="0.3">
      <c r="A326" s="42" t="s">
        <v>4108</v>
      </c>
      <c r="B326" s="42" t="s">
        <v>4163</v>
      </c>
      <c r="C326" s="42" t="s">
        <v>4164</v>
      </c>
      <c r="D326" s="42" t="s">
        <v>3059</v>
      </c>
      <c r="E326" s="42" t="s">
        <v>3060</v>
      </c>
      <c r="F326" s="42" t="s">
        <v>1752</v>
      </c>
      <c r="G326" s="42" t="s">
        <v>404</v>
      </c>
      <c r="H326" s="43" t="s">
        <v>6930</v>
      </c>
      <c r="I326" s="44">
        <v>101</v>
      </c>
      <c r="J326" s="44">
        <v>10166</v>
      </c>
      <c r="K326" s="45">
        <v>4</v>
      </c>
      <c r="L326" s="42" t="s">
        <v>1017</v>
      </c>
      <c r="M326" s="42"/>
      <c r="N326" s="42"/>
      <c r="O326" s="42" t="s">
        <v>3061</v>
      </c>
      <c r="P326" s="42"/>
      <c r="Q326" s="42"/>
      <c r="R326" s="42"/>
      <c r="S326" s="42"/>
      <c r="T326" s="42"/>
      <c r="U326" s="42" t="s">
        <v>3062</v>
      </c>
      <c r="V326" s="42"/>
      <c r="W326" s="42" t="s">
        <v>3063</v>
      </c>
      <c r="X326" s="42" t="s">
        <v>3064</v>
      </c>
      <c r="Y326" s="42" t="s">
        <v>3065</v>
      </c>
      <c r="Z326" s="42">
        <v>-78.962109656999999</v>
      </c>
      <c r="AA326" s="42">
        <v>-2.8814203049999998</v>
      </c>
      <c r="AB326" s="42"/>
      <c r="AC326" s="42"/>
      <c r="AD326" s="42"/>
      <c r="AE326" s="45">
        <v>4</v>
      </c>
      <c r="AF326" s="45" t="s">
        <v>499</v>
      </c>
      <c r="AG326" s="46" t="s">
        <v>66</v>
      </c>
      <c r="AH326" s="47">
        <v>60485</v>
      </c>
      <c r="AI326" s="48" t="s">
        <v>66</v>
      </c>
      <c r="AJ326" s="49" t="s">
        <v>6938</v>
      </c>
      <c r="AK326" s="50" t="s">
        <v>67</v>
      </c>
      <c r="AL326" s="51">
        <v>45579</v>
      </c>
      <c r="AM326" s="52" t="s">
        <v>66</v>
      </c>
      <c r="AN326" s="42"/>
      <c r="AO326" s="42"/>
      <c r="AP326" s="42"/>
      <c r="AQ326" s="53">
        <f t="shared" ref="AQ326:AQ389" si="18">+COUNTA(AT326,AZ326,BF326,BL326,BR326)</f>
        <v>0</v>
      </c>
      <c r="AR326" s="54">
        <f t="shared" ref="AR326:AR389" si="19">+COUNTA(BX326,CD326,CJ326,CP326,CV326)</f>
        <v>5</v>
      </c>
      <c r="AS326" s="55">
        <f t="shared" ref="AS326:AS389" si="20">+AQ326+AR326</f>
        <v>5</v>
      </c>
      <c r="AT326" s="96"/>
      <c r="AU326" s="96" t="s">
        <v>1356</v>
      </c>
      <c r="AV326" s="96"/>
      <c r="AW326" s="97"/>
      <c r="AX326" s="96"/>
      <c r="AY326" s="98"/>
      <c r="AZ326" s="96"/>
      <c r="BA326" s="96" t="s">
        <v>1356</v>
      </c>
      <c r="BB326" s="96"/>
      <c r="BC326" s="98"/>
      <c r="BD326" s="96"/>
      <c r="BE326" s="98"/>
      <c r="BF326" s="96"/>
      <c r="BG326" s="96" t="s">
        <v>1356</v>
      </c>
      <c r="BH326" s="96"/>
      <c r="BI326" s="98"/>
      <c r="BJ326" s="96"/>
      <c r="BK326" s="98"/>
      <c r="BL326" s="96"/>
      <c r="BM326" s="96" t="s">
        <v>1356</v>
      </c>
      <c r="BN326" s="96"/>
      <c r="BO326" s="98"/>
      <c r="BP326" s="96"/>
      <c r="BQ326" s="98"/>
      <c r="BR326" s="96"/>
      <c r="BS326" s="96" t="s">
        <v>1356</v>
      </c>
      <c r="BT326" s="96"/>
      <c r="BU326" s="98"/>
      <c r="BV326" s="96"/>
      <c r="BW326" s="98"/>
      <c r="BX326" s="117" t="s">
        <v>3066</v>
      </c>
      <c r="BY326" s="117" t="s">
        <v>3347</v>
      </c>
      <c r="BZ326" s="117">
        <v>3.87</v>
      </c>
      <c r="CA326" s="118">
        <v>45579</v>
      </c>
      <c r="CB326" s="117">
        <v>3.87</v>
      </c>
      <c r="CC326" s="118">
        <v>45618</v>
      </c>
      <c r="CD326" s="117" t="s">
        <v>3066</v>
      </c>
      <c r="CE326" s="117" t="s">
        <v>3347</v>
      </c>
      <c r="CF326" s="117">
        <v>7.27</v>
      </c>
      <c r="CG326" s="118">
        <v>45579</v>
      </c>
      <c r="CH326" s="117">
        <v>7.27</v>
      </c>
      <c r="CI326" s="118">
        <v>45618</v>
      </c>
      <c r="CJ326" s="117" t="s">
        <v>3066</v>
      </c>
      <c r="CK326" s="117" t="s">
        <v>3347</v>
      </c>
      <c r="CL326" s="117">
        <v>9.5299999999999994</v>
      </c>
      <c r="CM326" s="118">
        <v>45579</v>
      </c>
      <c r="CN326" s="117">
        <v>9.5299999999999994</v>
      </c>
      <c r="CO326" s="118">
        <v>45618</v>
      </c>
      <c r="CP326" s="117" t="s">
        <v>3067</v>
      </c>
      <c r="CQ326" s="117" t="s">
        <v>3348</v>
      </c>
      <c r="CR326" s="117">
        <v>6.93</v>
      </c>
      <c r="CS326" s="118">
        <v>45579</v>
      </c>
      <c r="CT326" s="117">
        <v>6.93</v>
      </c>
      <c r="CU326" s="118">
        <v>45618</v>
      </c>
      <c r="CV326" s="117" t="s">
        <v>3067</v>
      </c>
      <c r="CW326" s="117" t="s">
        <v>3348</v>
      </c>
      <c r="CX326" s="117">
        <v>12.2</v>
      </c>
      <c r="CY326" s="118">
        <v>45579</v>
      </c>
      <c r="CZ326" s="117">
        <v>12.2</v>
      </c>
      <c r="DA326" s="118">
        <v>45618</v>
      </c>
      <c r="DB326" s="129" t="s">
        <v>6962</v>
      </c>
      <c r="DC326" s="130" t="s">
        <v>105</v>
      </c>
    </row>
    <row r="327" spans="1:107" s="40" customFormat="1" ht="14.55" customHeight="1" x14ac:dyDescent="0.3">
      <c r="A327" s="35" t="s">
        <v>3456</v>
      </c>
      <c r="B327" s="35" t="s">
        <v>4096</v>
      </c>
      <c r="C327" s="35" t="s">
        <v>2798</v>
      </c>
      <c r="D327" s="35" t="s">
        <v>2799</v>
      </c>
      <c r="E327" s="35" t="s">
        <v>2800</v>
      </c>
      <c r="F327" s="35" t="s">
        <v>327</v>
      </c>
      <c r="G327" s="35" t="s">
        <v>2426</v>
      </c>
      <c r="H327" s="27" t="s">
        <v>6925</v>
      </c>
      <c r="I327" s="62">
        <v>501</v>
      </c>
      <c r="J327" s="62">
        <v>50150</v>
      </c>
      <c r="K327" s="63">
        <v>3</v>
      </c>
      <c r="L327" s="35" t="s">
        <v>2801</v>
      </c>
      <c r="M327" s="35"/>
      <c r="N327" s="35" t="s">
        <v>2802</v>
      </c>
      <c r="O327" s="35"/>
      <c r="P327" s="35"/>
      <c r="Q327" s="35"/>
      <c r="R327" s="35"/>
      <c r="S327" s="35"/>
      <c r="T327" s="35"/>
      <c r="U327" s="35"/>
      <c r="V327" s="35"/>
      <c r="W327" s="35" t="s">
        <v>2803</v>
      </c>
      <c r="X327" s="35"/>
      <c r="Y327" s="35" t="s">
        <v>2804</v>
      </c>
      <c r="Z327" s="35">
        <v>-78.616936999999993</v>
      </c>
      <c r="AA327" s="35">
        <v>-0.90073300000000001</v>
      </c>
      <c r="AB327" s="35">
        <v>50150013</v>
      </c>
      <c r="AC327" s="35">
        <v>50150013008</v>
      </c>
      <c r="AD327" s="35">
        <v>50150013008003</v>
      </c>
      <c r="AE327" s="63">
        <v>4</v>
      </c>
      <c r="AF327" s="63" t="s">
        <v>499</v>
      </c>
      <c r="AG327" s="29" t="s">
        <v>65</v>
      </c>
      <c r="AH327" s="64"/>
      <c r="AI327" s="65" t="s">
        <v>66</v>
      </c>
      <c r="AJ327" s="32" t="s">
        <v>6938</v>
      </c>
      <c r="AK327" s="33" t="s">
        <v>67</v>
      </c>
      <c r="AL327" s="76">
        <v>45125</v>
      </c>
      <c r="AM327" s="35" t="s">
        <v>66</v>
      </c>
      <c r="AN327" s="35"/>
      <c r="AO327" s="35"/>
      <c r="AP327" s="35"/>
      <c r="AQ327" s="37">
        <f t="shared" si="18"/>
        <v>0</v>
      </c>
      <c r="AR327" s="38">
        <f t="shared" si="19"/>
        <v>0</v>
      </c>
      <c r="AS327" s="39">
        <f t="shared" si="20"/>
        <v>0</v>
      </c>
      <c r="AT327" s="99"/>
      <c r="AU327" s="99" t="s">
        <v>1356</v>
      </c>
      <c r="AV327" s="99"/>
      <c r="AW327" s="100"/>
      <c r="AX327" s="99"/>
      <c r="AY327" s="101"/>
      <c r="AZ327" s="99"/>
      <c r="BA327" s="99" t="s">
        <v>1356</v>
      </c>
      <c r="BB327" s="99"/>
      <c r="BC327" s="101"/>
      <c r="BD327" s="99"/>
      <c r="BE327" s="101"/>
      <c r="BF327" s="99"/>
      <c r="BG327" s="99" t="s">
        <v>1356</v>
      </c>
      <c r="BH327" s="99"/>
      <c r="BI327" s="101"/>
      <c r="BJ327" s="99"/>
      <c r="BK327" s="101"/>
      <c r="BL327" s="99"/>
      <c r="BM327" s="99" t="s">
        <v>1356</v>
      </c>
      <c r="BN327" s="99"/>
      <c r="BO327" s="101"/>
      <c r="BP327" s="99"/>
      <c r="BQ327" s="101"/>
      <c r="BR327" s="99"/>
      <c r="BS327" s="99" t="s">
        <v>1356</v>
      </c>
      <c r="BT327" s="99"/>
      <c r="BU327" s="101"/>
      <c r="BV327" s="99"/>
      <c r="BW327" s="101"/>
      <c r="BX327" s="119"/>
      <c r="BY327" s="119" t="s">
        <v>1356</v>
      </c>
      <c r="BZ327" s="119"/>
      <c r="CA327" s="120"/>
      <c r="CB327" s="119"/>
      <c r="CC327" s="120"/>
      <c r="CD327" s="119"/>
      <c r="CE327" s="119" t="s">
        <v>1356</v>
      </c>
      <c r="CF327" s="119"/>
      <c r="CG327" s="120"/>
      <c r="CH327" s="119"/>
      <c r="CI327" s="120"/>
      <c r="CJ327" s="119"/>
      <c r="CK327" s="119" t="s">
        <v>1356</v>
      </c>
      <c r="CL327" s="119"/>
      <c r="CM327" s="120"/>
      <c r="CN327" s="119"/>
      <c r="CO327" s="120"/>
      <c r="CP327" s="119"/>
      <c r="CQ327" s="119" t="s">
        <v>1356</v>
      </c>
      <c r="CR327" s="119"/>
      <c r="CS327" s="120"/>
      <c r="CT327" s="119"/>
      <c r="CU327" s="120"/>
      <c r="CV327" s="119"/>
      <c r="CW327" s="119" t="s">
        <v>1356</v>
      </c>
      <c r="CX327" s="119"/>
      <c r="CY327" s="120"/>
      <c r="CZ327" s="119"/>
      <c r="DA327" s="120"/>
      <c r="DB327" s="128" t="s">
        <v>7085</v>
      </c>
      <c r="DC327" s="131" t="s">
        <v>105</v>
      </c>
    </row>
    <row r="328" spans="1:107" s="40" customFormat="1" ht="14.55" customHeight="1" x14ac:dyDescent="0.3">
      <c r="A328" s="42" t="s">
        <v>4219</v>
      </c>
      <c r="B328" s="42" t="s">
        <v>4307</v>
      </c>
      <c r="C328" s="42" t="s">
        <v>4308</v>
      </c>
      <c r="D328" s="42" t="s">
        <v>4309</v>
      </c>
      <c r="E328" s="42" t="s">
        <v>70</v>
      </c>
      <c r="F328" s="42" t="s">
        <v>4289</v>
      </c>
      <c r="G328" s="42" t="s">
        <v>4230</v>
      </c>
      <c r="H328" s="43" t="s">
        <v>6934</v>
      </c>
      <c r="I328" s="44">
        <v>2401</v>
      </c>
      <c r="J328" s="44">
        <v>240150</v>
      </c>
      <c r="K328" s="45">
        <v>4</v>
      </c>
      <c r="L328" s="42" t="s">
        <v>4310</v>
      </c>
      <c r="M328" s="42"/>
      <c r="N328" s="42"/>
      <c r="O328" s="42" t="s">
        <v>4311</v>
      </c>
      <c r="P328" s="42"/>
      <c r="Q328" s="42"/>
      <c r="R328" s="42"/>
      <c r="S328" s="42"/>
      <c r="T328" s="42"/>
      <c r="U328" s="42"/>
      <c r="V328" s="42"/>
      <c r="W328" s="42" t="s">
        <v>4312</v>
      </c>
      <c r="X328" s="42" t="s">
        <v>4313</v>
      </c>
      <c r="Y328" s="42" t="s">
        <v>4314</v>
      </c>
      <c r="Z328" s="42"/>
      <c r="AA328" s="42"/>
      <c r="AB328" s="42">
        <v>240150999</v>
      </c>
      <c r="AC328" s="42">
        <v>240150999012</v>
      </c>
      <c r="AD328" s="42">
        <v>240150999012007</v>
      </c>
      <c r="AE328" s="45">
        <v>2</v>
      </c>
      <c r="AF328" s="45" t="s">
        <v>64</v>
      </c>
      <c r="AG328" s="46" t="s">
        <v>66</v>
      </c>
      <c r="AH328" s="47" t="s">
        <v>6950</v>
      </c>
      <c r="AI328" s="48" t="s">
        <v>66</v>
      </c>
      <c r="AJ328" s="49" t="s">
        <v>6938</v>
      </c>
      <c r="AK328" s="50" t="s">
        <v>67</v>
      </c>
      <c r="AL328" s="34">
        <v>45579</v>
      </c>
      <c r="AM328" s="52" t="s">
        <v>66</v>
      </c>
      <c r="AN328" s="42"/>
      <c r="AO328" s="42"/>
      <c r="AP328" s="42"/>
      <c r="AQ328" s="53">
        <f t="shared" si="18"/>
        <v>0</v>
      </c>
      <c r="AR328" s="54">
        <f t="shared" si="19"/>
        <v>1</v>
      </c>
      <c r="AS328" s="55">
        <f t="shared" si="20"/>
        <v>1</v>
      </c>
      <c r="AT328" s="96"/>
      <c r="AU328" s="96" t="s">
        <v>1356</v>
      </c>
      <c r="AV328" s="96"/>
      <c r="AW328" s="97"/>
      <c r="AX328" s="96"/>
      <c r="AY328" s="98"/>
      <c r="AZ328" s="96"/>
      <c r="BA328" s="96" t="s">
        <v>1356</v>
      </c>
      <c r="BB328" s="96"/>
      <c r="BC328" s="98"/>
      <c r="BD328" s="96"/>
      <c r="BE328" s="98"/>
      <c r="BF328" s="96"/>
      <c r="BG328" s="96" t="s">
        <v>1356</v>
      </c>
      <c r="BH328" s="96"/>
      <c r="BI328" s="98"/>
      <c r="BJ328" s="96"/>
      <c r="BK328" s="98"/>
      <c r="BL328" s="96"/>
      <c r="BM328" s="96" t="s">
        <v>1356</v>
      </c>
      <c r="BN328" s="96"/>
      <c r="BO328" s="98"/>
      <c r="BP328" s="96"/>
      <c r="BQ328" s="98"/>
      <c r="BR328" s="96"/>
      <c r="BS328" s="96" t="s">
        <v>1356</v>
      </c>
      <c r="BT328" s="96"/>
      <c r="BU328" s="98"/>
      <c r="BV328" s="96"/>
      <c r="BW328" s="98"/>
      <c r="BX328" s="117" t="s">
        <v>4315</v>
      </c>
      <c r="BY328" s="117" t="s">
        <v>4316</v>
      </c>
      <c r="BZ328" s="117">
        <v>145</v>
      </c>
      <c r="CA328" s="118">
        <v>45597</v>
      </c>
      <c r="CB328" s="117"/>
      <c r="CC328" s="118"/>
      <c r="CD328" s="117"/>
      <c r="CE328" s="117" t="s">
        <v>1356</v>
      </c>
      <c r="CF328" s="117"/>
      <c r="CG328" s="118"/>
      <c r="CH328" s="117"/>
      <c r="CI328" s="118"/>
      <c r="CJ328" s="117"/>
      <c r="CK328" s="117" t="s">
        <v>1356</v>
      </c>
      <c r="CL328" s="117"/>
      <c r="CM328" s="118"/>
      <c r="CN328" s="117"/>
      <c r="CO328" s="118"/>
      <c r="CP328" s="117"/>
      <c r="CQ328" s="117" t="s">
        <v>1356</v>
      </c>
      <c r="CR328" s="117"/>
      <c r="CS328" s="118"/>
      <c r="CT328" s="117"/>
      <c r="CU328" s="118"/>
      <c r="CV328" s="117"/>
      <c r="CW328" s="117" t="s">
        <v>1356</v>
      </c>
      <c r="CX328" s="117"/>
      <c r="CY328" s="118"/>
      <c r="CZ328" s="117"/>
      <c r="DA328" s="118"/>
      <c r="DB328" s="129" t="s">
        <v>6962</v>
      </c>
      <c r="DC328" s="130" t="s">
        <v>105</v>
      </c>
    </row>
    <row r="329" spans="1:107" s="40" customFormat="1" ht="14.55" customHeight="1" x14ac:dyDescent="0.3">
      <c r="A329" s="35" t="s">
        <v>4219</v>
      </c>
      <c r="B329" s="35" t="s">
        <v>6267</v>
      </c>
      <c r="C329" s="35" t="s">
        <v>6268</v>
      </c>
      <c r="D329" s="35" t="s">
        <v>6269</v>
      </c>
      <c r="E329" s="35" t="s">
        <v>70</v>
      </c>
      <c r="F329" s="35" t="s">
        <v>56</v>
      </c>
      <c r="G329" s="35" t="s">
        <v>4237</v>
      </c>
      <c r="H329" s="27" t="s">
        <v>686</v>
      </c>
      <c r="I329" s="62">
        <v>901</v>
      </c>
      <c r="J329" s="62">
        <v>90150</v>
      </c>
      <c r="K329" s="63">
        <v>4</v>
      </c>
      <c r="L329" s="35" t="s">
        <v>5429</v>
      </c>
      <c r="M329" s="35"/>
      <c r="N329" s="35" t="s">
        <v>5524</v>
      </c>
      <c r="O329" s="35" t="s">
        <v>862</v>
      </c>
      <c r="P329" s="35" t="s">
        <v>5390</v>
      </c>
      <c r="Q329" s="35"/>
      <c r="R329" s="35"/>
      <c r="S329" s="35"/>
      <c r="T329" s="35" t="s">
        <v>6270</v>
      </c>
      <c r="U329" s="35"/>
      <c r="V329" s="35"/>
      <c r="W329" s="35" t="s">
        <v>6271</v>
      </c>
      <c r="X329" s="35" t="s">
        <v>6272</v>
      </c>
      <c r="Y329" s="35" t="s">
        <v>6273</v>
      </c>
      <c r="Z329" s="35"/>
      <c r="AA329" s="35"/>
      <c r="AB329" s="35">
        <v>90150517</v>
      </c>
      <c r="AC329" s="35">
        <v>90150517007</v>
      </c>
      <c r="AD329" s="35">
        <v>90150517007002</v>
      </c>
      <c r="AE329" s="63">
        <v>5</v>
      </c>
      <c r="AF329" s="63" t="s">
        <v>772</v>
      </c>
      <c r="AG329" s="46" t="s">
        <v>66</v>
      </c>
      <c r="AH329" s="64">
        <v>80131</v>
      </c>
      <c r="AI329" s="65" t="s">
        <v>66</v>
      </c>
      <c r="AJ329" s="32" t="s">
        <v>6938</v>
      </c>
      <c r="AK329" s="33" t="s">
        <v>67</v>
      </c>
      <c r="AL329" s="58">
        <v>45579</v>
      </c>
      <c r="AM329" s="52" t="s">
        <v>66</v>
      </c>
      <c r="AN329" s="35"/>
      <c r="AO329" s="35"/>
      <c r="AP329" s="35"/>
      <c r="AQ329" s="37">
        <f t="shared" si="18"/>
        <v>1</v>
      </c>
      <c r="AR329" s="38">
        <f t="shared" si="19"/>
        <v>0</v>
      </c>
      <c r="AS329" s="39">
        <f t="shared" si="20"/>
        <v>1</v>
      </c>
      <c r="AT329" s="99" t="s">
        <v>7076</v>
      </c>
      <c r="AU329" s="99" t="s">
        <v>7066</v>
      </c>
      <c r="AV329" s="99">
        <v>50</v>
      </c>
      <c r="AW329" s="100">
        <v>45179</v>
      </c>
      <c r="AX329" s="99"/>
      <c r="AY329" s="101"/>
      <c r="AZ329" s="99"/>
      <c r="BA329" s="99" t="s">
        <v>1356</v>
      </c>
      <c r="BB329" s="99"/>
      <c r="BC329" s="101"/>
      <c r="BD329" s="99"/>
      <c r="BE329" s="101"/>
      <c r="BF329" s="99"/>
      <c r="BG329" s="99" t="s">
        <v>1356</v>
      </c>
      <c r="BH329" s="99"/>
      <c r="BI329" s="101"/>
      <c r="BJ329" s="99"/>
      <c r="BK329" s="101"/>
      <c r="BL329" s="99"/>
      <c r="BM329" s="99" t="s">
        <v>1356</v>
      </c>
      <c r="BN329" s="99"/>
      <c r="BO329" s="101"/>
      <c r="BP329" s="99"/>
      <c r="BQ329" s="101"/>
      <c r="BR329" s="99"/>
      <c r="BS329" s="99" t="s">
        <v>1356</v>
      </c>
      <c r="BT329" s="99"/>
      <c r="BU329" s="101"/>
      <c r="BV329" s="99"/>
      <c r="BW329" s="101"/>
      <c r="BX329" s="119"/>
      <c r="BY329" s="119" t="s">
        <v>1356</v>
      </c>
      <c r="BZ329" s="119"/>
      <c r="CA329" s="120"/>
      <c r="CB329" s="119"/>
      <c r="CC329" s="120"/>
      <c r="CD329" s="119"/>
      <c r="CE329" s="119" t="s">
        <v>1356</v>
      </c>
      <c r="CF329" s="119"/>
      <c r="CG329" s="120"/>
      <c r="CH329" s="119"/>
      <c r="CI329" s="120"/>
      <c r="CJ329" s="119"/>
      <c r="CK329" s="119" t="s">
        <v>1356</v>
      </c>
      <c r="CL329" s="119"/>
      <c r="CM329" s="120"/>
      <c r="CN329" s="119"/>
      <c r="CO329" s="120"/>
      <c r="CP329" s="119"/>
      <c r="CQ329" s="119" t="s">
        <v>1356</v>
      </c>
      <c r="CR329" s="119"/>
      <c r="CS329" s="120"/>
      <c r="CT329" s="119"/>
      <c r="CU329" s="120"/>
      <c r="CV329" s="119"/>
      <c r="CW329" s="119" t="s">
        <v>1356</v>
      </c>
      <c r="CX329" s="119"/>
      <c r="CY329" s="120"/>
      <c r="CZ329" s="119"/>
      <c r="DA329" s="120"/>
      <c r="DB329" s="129" t="s">
        <v>6962</v>
      </c>
      <c r="DC329" s="131" t="s">
        <v>105</v>
      </c>
    </row>
    <row r="330" spans="1:107" s="40" customFormat="1" ht="14.55" customHeight="1" x14ac:dyDescent="0.3">
      <c r="A330" s="66" t="s">
        <v>3500</v>
      </c>
      <c r="B330" s="66" t="s">
        <v>3647</v>
      </c>
      <c r="C330" s="66" t="s">
        <v>3648</v>
      </c>
      <c r="D330" s="66" t="s">
        <v>857</v>
      </c>
      <c r="E330" s="66" t="s">
        <v>858</v>
      </c>
      <c r="F330" s="66" t="s">
        <v>95</v>
      </c>
      <c r="G330" s="68" t="s">
        <v>72</v>
      </c>
      <c r="H330" s="43" t="s">
        <v>251</v>
      </c>
      <c r="I330" s="68">
        <v>1701</v>
      </c>
      <c r="J330" s="68">
        <v>170150</v>
      </c>
      <c r="K330" s="69">
        <v>4</v>
      </c>
      <c r="L330" s="66" t="s">
        <v>859</v>
      </c>
      <c r="M330" s="66" t="s">
        <v>860</v>
      </c>
      <c r="N330" s="66" t="s">
        <v>861</v>
      </c>
      <c r="O330" s="66" t="s">
        <v>862</v>
      </c>
      <c r="P330" s="66"/>
      <c r="Q330" s="66" t="s">
        <v>863</v>
      </c>
      <c r="R330" s="66" t="s">
        <v>60</v>
      </c>
      <c r="S330" s="66"/>
      <c r="T330" s="66"/>
      <c r="U330" s="66" t="s">
        <v>864</v>
      </c>
      <c r="V330" s="66"/>
      <c r="W330" s="66" t="s">
        <v>865</v>
      </c>
      <c r="X330" s="66" t="s">
        <v>866</v>
      </c>
      <c r="Y330" s="66" t="s">
        <v>867</v>
      </c>
      <c r="Z330" s="66"/>
      <c r="AA330" s="66"/>
      <c r="AB330" s="66">
        <v>170150394</v>
      </c>
      <c r="AC330" s="66">
        <v>170150394001</v>
      </c>
      <c r="AD330" s="66">
        <v>170150394001005</v>
      </c>
      <c r="AE330" s="69">
        <v>5</v>
      </c>
      <c r="AF330" s="69" t="s">
        <v>772</v>
      </c>
      <c r="AG330" s="46" t="s">
        <v>66</v>
      </c>
      <c r="AH330" s="70" t="s">
        <v>868</v>
      </c>
      <c r="AI330" s="71" t="s">
        <v>66</v>
      </c>
      <c r="AJ330" s="49" t="s">
        <v>6938</v>
      </c>
      <c r="AK330" s="50" t="s">
        <v>67</v>
      </c>
      <c r="AL330" s="58">
        <v>45580</v>
      </c>
      <c r="AM330" s="52" t="s">
        <v>66</v>
      </c>
      <c r="AN330" s="52"/>
      <c r="AO330" s="52"/>
      <c r="AP330" s="52"/>
      <c r="AQ330" s="53">
        <f t="shared" si="18"/>
        <v>4</v>
      </c>
      <c r="AR330" s="54">
        <f t="shared" si="19"/>
        <v>0</v>
      </c>
      <c r="AS330" s="55">
        <f t="shared" si="20"/>
        <v>4</v>
      </c>
      <c r="AT330" s="102" t="s">
        <v>104</v>
      </c>
      <c r="AU330" s="103" t="s">
        <v>6700</v>
      </c>
      <c r="AV330" s="104">
        <v>1.36</v>
      </c>
      <c r="AW330" s="105">
        <v>45580</v>
      </c>
      <c r="AX330" s="104">
        <v>1.36</v>
      </c>
      <c r="AY330" s="106">
        <v>45609</v>
      </c>
      <c r="AZ330" s="102" t="s">
        <v>869</v>
      </c>
      <c r="BA330" s="103" t="s">
        <v>6701</v>
      </c>
      <c r="BB330" s="104">
        <v>3.42</v>
      </c>
      <c r="BC330" s="106">
        <v>45580</v>
      </c>
      <c r="BD330" s="104">
        <v>3.42</v>
      </c>
      <c r="BE330" s="106">
        <v>45609</v>
      </c>
      <c r="BF330" s="102" t="s">
        <v>869</v>
      </c>
      <c r="BG330" s="103" t="s">
        <v>6701</v>
      </c>
      <c r="BH330" s="104">
        <v>1.92</v>
      </c>
      <c r="BI330" s="106">
        <v>45580</v>
      </c>
      <c r="BJ330" s="104">
        <v>1.92</v>
      </c>
      <c r="BK330" s="106">
        <v>45609</v>
      </c>
      <c r="BL330" s="102" t="s">
        <v>869</v>
      </c>
      <c r="BM330" s="103" t="s">
        <v>6701</v>
      </c>
      <c r="BN330" s="104">
        <v>2.5</v>
      </c>
      <c r="BO330" s="106">
        <v>45580</v>
      </c>
      <c r="BP330" s="104">
        <v>2.5</v>
      </c>
      <c r="BQ330" s="106">
        <v>45609</v>
      </c>
      <c r="BR330" s="102"/>
      <c r="BS330" s="103" t="s">
        <v>1356</v>
      </c>
      <c r="BT330" s="104"/>
      <c r="BU330" s="106"/>
      <c r="BV330" s="104"/>
      <c r="BW330" s="106"/>
      <c r="BX330" s="121"/>
      <c r="BY330" s="122" t="s">
        <v>1356</v>
      </c>
      <c r="BZ330" s="123"/>
      <c r="CA330" s="124"/>
      <c r="CB330" s="123"/>
      <c r="CC330" s="124"/>
      <c r="CD330" s="121"/>
      <c r="CE330" s="122" t="s">
        <v>1356</v>
      </c>
      <c r="CF330" s="123"/>
      <c r="CG330" s="124"/>
      <c r="CH330" s="123"/>
      <c r="CI330" s="124"/>
      <c r="CJ330" s="121"/>
      <c r="CK330" s="122" t="s">
        <v>1356</v>
      </c>
      <c r="CL330" s="123"/>
      <c r="CM330" s="124"/>
      <c r="CN330" s="123"/>
      <c r="CO330" s="124"/>
      <c r="CP330" s="121"/>
      <c r="CQ330" s="122" t="s">
        <v>1356</v>
      </c>
      <c r="CR330" s="123"/>
      <c r="CS330" s="124"/>
      <c r="CT330" s="123"/>
      <c r="CU330" s="124"/>
      <c r="CV330" s="121"/>
      <c r="CW330" s="122" t="s">
        <v>1356</v>
      </c>
      <c r="CX330" s="123"/>
      <c r="CY330" s="124"/>
      <c r="CZ330" s="123"/>
      <c r="DA330" s="124"/>
      <c r="DB330" s="129" t="s">
        <v>6962</v>
      </c>
      <c r="DC330" s="129" t="s">
        <v>105</v>
      </c>
    </row>
    <row r="331" spans="1:107" s="40" customFormat="1" ht="14.55" customHeight="1" x14ac:dyDescent="0.3">
      <c r="A331" s="35" t="s">
        <v>3456</v>
      </c>
      <c r="B331" s="35" t="s">
        <v>4100</v>
      </c>
      <c r="C331" s="35" t="s">
        <v>4101</v>
      </c>
      <c r="D331" s="35" t="s">
        <v>3496</v>
      </c>
      <c r="E331" s="35" t="s">
        <v>3496</v>
      </c>
      <c r="F331" s="35" t="s">
        <v>142</v>
      </c>
      <c r="G331" s="35" t="s">
        <v>2426</v>
      </c>
      <c r="H331" s="27" t="s">
        <v>6925</v>
      </c>
      <c r="I331" s="62">
        <v>501</v>
      </c>
      <c r="J331" s="62">
        <v>50154</v>
      </c>
      <c r="K331" s="63">
        <v>4</v>
      </c>
      <c r="L331" s="35" t="s">
        <v>3497</v>
      </c>
      <c r="M331" s="35" t="s">
        <v>258</v>
      </c>
      <c r="N331" s="35"/>
      <c r="O331" s="35"/>
      <c r="P331" s="35"/>
      <c r="Q331" s="35"/>
      <c r="R331" s="35"/>
      <c r="S331" s="35"/>
      <c r="T331" s="35"/>
      <c r="U331" s="35" t="s">
        <v>2746</v>
      </c>
      <c r="V331" s="35"/>
      <c r="W331" s="35" t="s">
        <v>3498</v>
      </c>
      <c r="X331" s="35"/>
      <c r="Y331" s="35" t="s">
        <v>3499</v>
      </c>
      <c r="Z331" s="35"/>
      <c r="AA331" s="35"/>
      <c r="AB331" s="35"/>
      <c r="AC331" s="35"/>
      <c r="AD331" s="35"/>
      <c r="AE331" s="63">
        <v>5</v>
      </c>
      <c r="AF331" s="63" t="s">
        <v>772</v>
      </c>
      <c r="AG331" s="29" t="s">
        <v>65</v>
      </c>
      <c r="AH331" s="75"/>
      <c r="AI331" s="65" t="s">
        <v>66</v>
      </c>
      <c r="AJ331" s="32" t="s">
        <v>6938</v>
      </c>
      <c r="AK331" s="33" t="s">
        <v>67</v>
      </c>
      <c r="AL331" s="76">
        <v>45583</v>
      </c>
      <c r="AM331" s="35" t="s">
        <v>66</v>
      </c>
      <c r="AN331" s="35"/>
      <c r="AO331" s="35"/>
      <c r="AP331" s="35"/>
      <c r="AQ331" s="37">
        <f t="shared" si="18"/>
        <v>0</v>
      </c>
      <c r="AR331" s="38">
        <f t="shared" si="19"/>
        <v>0</v>
      </c>
      <c r="AS331" s="39">
        <f t="shared" si="20"/>
        <v>0</v>
      </c>
      <c r="AT331" s="99"/>
      <c r="AU331" s="99" t="s">
        <v>1356</v>
      </c>
      <c r="AV331" s="99"/>
      <c r="AW331" s="100"/>
      <c r="AX331" s="99"/>
      <c r="AY331" s="101"/>
      <c r="AZ331" s="99"/>
      <c r="BA331" s="99" t="s">
        <v>1356</v>
      </c>
      <c r="BB331" s="99"/>
      <c r="BC331" s="101"/>
      <c r="BD331" s="99"/>
      <c r="BE331" s="101"/>
      <c r="BF331" s="99"/>
      <c r="BG331" s="99" t="s">
        <v>1356</v>
      </c>
      <c r="BH331" s="99"/>
      <c r="BI331" s="101"/>
      <c r="BJ331" s="99"/>
      <c r="BK331" s="101"/>
      <c r="BL331" s="99"/>
      <c r="BM331" s="99" t="s">
        <v>1356</v>
      </c>
      <c r="BN331" s="99"/>
      <c r="BO331" s="101"/>
      <c r="BP331" s="99"/>
      <c r="BQ331" s="101"/>
      <c r="BR331" s="99"/>
      <c r="BS331" s="99" t="s">
        <v>1356</v>
      </c>
      <c r="BT331" s="99"/>
      <c r="BU331" s="101"/>
      <c r="BV331" s="99"/>
      <c r="BW331" s="101"/>
      <c r="BX331" s="119"/>
      <c r="BY331" s="119" t="s">
        <v>1356</v>
      </c>
      <c r="BZ331" s="119"/>
      <c r="CA331" s="120"/>
      <c r="CB331" s="119"/>
      <c r="CC331" s="120"/>
      <c r="CD331" s="119"/>
      <c r="CE331" s="119" t="s">
        <v>1356</v>
      </c>
      <c r="CF331" s="119"/>
      <c r="CG331" s="120"/>
      <c r="CH331" s="119"/>
      <c r="CI331" s="120"/>
      <c r="CJ331" s="119"/>
      <c r="CK331" s="119" t="s">
        <v>1356</v>
      </c>
      <c r="CL331" s="119"/>
      <c r="CM331" s="120"/>
      <c r="CN331" s="119"/>
      <c r="CO331" s="120"/>
      <c r="CP331" s="119"/>
      <c r="CQ331" s="119" t="s">
        <v>1356</v>
      </c>
      <c r="CR331" s="119"/>
      <c r="CS331" s="120"/>
      <c r="CT331" s="119"/>
      <c r="CU331" s="120"/>
      <c r="CV331" s="119"/>
      <c r="CW331" s="119" t="s">
        <v>1356</v>
      </c>
      <c r="CX331" s="119"/>
      <c r="CY331" s="120"/>
      <c r="CZ331" s="119"/>
      <c r="DA331" s="120"/>
      <c r="DB331" s="128" t="s">
        <v>7085</v>
      </c>
      <c r="DC331" s="131" t="s">
        <v>3386</v>
      </c>
    </row>
    <row r="332" spans="1:107" s="40" customFormat="1" ht="14.55" customHeight="1" x14ac:dyDescent="0.3">
      <c r="A332" s="66" t="s">
        <v>3500</v>
      </c>
      <c r="B332" s="66" t="s">
        <v>3649</v>
      </c>
      <c r="C332" s="66" t="s">
        <v>3650</v>
      </c>
      <c r="D332" s="66" t="s">
        <v>870</v>
      </c>
      <c r="E332" s="66" t="s">
        <v>871</v>
      </c>
      <c r="F332" s="66" t="s">
        <v>210</v>
      </c>
      <c r="G332" s="68" t="s">
        <v>72</v>
      </c>
      <c r="H332" s="43" t="s">
        <v>251</v>
      </c>
      <c r="I332" s="68">
        <v>1701</v>
      </c>
      <c r="J332" s="68">
        <v>170150</v>
      </c>
      <c r="K332" s="69">
        <v>4</v>
      </c>
      <c r="L332" s="66" t="s">
        <v>872</v>
      </c>
      <c r="M332" s="66" t="s">
        <v>873</v>
      </c>
      <c r="N332" s="66" t="s">
        <v>607</v>
      </c>
      <c r="O332" s="66"/>
      <c r="P332" s="66"/>
      <c r="Q332" s="66" t="s">
        <v>874</v>
      </c>
      <c r="R332" s="66" t="s">
        <v>60</v>
      </c>
      <c r="S332" s="66"/>
      <c r="T332" s="66"/>
      <c r="U332" s="66" t="s">
        <v>609</v>
      </c>
      <c r="V332" s="66"/>
      <c r="W332" s="66" t="s">
        <v>875</v>
      </c>
      <c r="X332" s="66" t="s">
        <v>876</v>
      </c>
      <c r="Y332" s="66" t="s">
        <v>877</v>
      </c>
      <c r="Z332" s="66"/>
      <c r="AA332" s="66"/>
      <c r="AB332" s="66">
        <v>170150043</v>
      </c>
      <c r="AC332" s="66">
        <v>170150043005</v>
      </c>
      <c r="AD332" s="66">
        <v>170150043005006</v>
      </c>
      <c r="AE332" s="69">
        <v>5</v>
      </c>
      <c r="AF332" s="69" t="s">
        <v>772</v>
      </c>
      <c r="AG332" s="46" t="s">
        <v>66</v>
      </c>
      <c r="AH332" s="70" t="s">
        <v>878</v>
      </c>
      <c r="AI332" s="71" t="s">
        <v>66</v>
      </c>
      <c r="AJ332" s="49" t="s">
        <v>6938</v>
      </c>
      <c r="AK332" s="50" t="s">
        <v>67</v>
      </c>
      <c r="AL332" s="58">
        <v>45580</v>
      </c>
      <c r="AM332" s="52" t="s">
        <v>66</v>
      </c>
      <c r="AN332" s="52"/>
      <c r="AO332" s="52"/>
      <c r="AP332" s="52"/>
      <c r="AQ332" s="53">
        <f t="shared" si="18"/>
        <v>2</v>
      </c>
      <c r="AR332" s="54">
        <f t="shared" si="19"/>
        <v>0</v>
      </c>
      <c r="AS332" s="55">
        <f t="shared" si="20"/>
        <v>2</v>
      </c>
      <c r="AT332" s="102" t="s">
        <v>879</v>
      </c>
      <c r="AU332" s="103" t="s">
        <v>6702</v>
      </c>
      <c r="AV332" s="104">
        <v>21.28</v>
      </c>
      <c r="AW332" s="105">
        <v>45580</v>
      </c>
      <c r="AX332" s="104">
        <v>22.17</v>
      </c>
      <c r="AY332" s="106">
        <v>45609</v>
      </c>
      <c r="AZ332" s="102" t="s">
        <v>217</v>
      </c>
      <c r="BA332" s="103" t="s">
        <v>6703</v>
      </c>
      <c r="BB332" s="104">
        <v>15.28</v>
      </c>
      <c r="BC332" s="106">
        <v>45580</v>
      </c>
      <c r="BD332" s="104">
        <v>15.95</v>
      </c>
      <c r="BE332" s="106">
        <v>45609</v>
      </c>
      <c r="BF332" s="102"/>
      <c r="BG332" s="103" t="s">
        <v>1356</v>
      </c>
      <c r="BH332" s="104"/>
      <c r="BI332" s="106"/>
      <c r="BJ332" s="104"/>
      <c r="BK332" s="106"/>
      <c r="BL332" s="102"/>
      <c r="BM332" s="103" t="s">
        <v>1356</v>
      </c>
      <c r="BN332" s="104"/>
      <c r="BO332" s="106"/>
      <c r="BP332" s="104"/>
      <c r="BQ332" s="106"/>
      <c r="BR332" s="102"/>
      <c r="BS332" s="103" t="s">
        <v>1356</v>
      </c>
      <c r="BT332" s="104"/>
      <c r="BU332" s="106"/>
      <c r="BV332" s="104"/>
      <c r="BW332" s="106"/>
      <c r="BX332" s="121"/>
      <c r="BY332" s="122" t="s">
        <v>1356</v>
      </c>
      <c r="BZ332" s="123"/>
      <c r="CA332" s="124"/>
      <c r="CB332" s="123"/>
      <c r="CC332" s="124"/>
      <c r="CD332" s="121"/>
      <c r="CE332" s="122" t="s">
        <v>1356</v>
      </c>
      <c r="CF332" s="123"/>
      <c r="CG332" s="124"/>
      <c r="CH332" s="123"/>
      <c r="CI332" s="124"/>
      <c r="CJ332" s="121"/>
      <c r="CK332" s="122" t="s">
        <v>1356</v>
      </c>
      <c r="CL332" s="123"/>
      <c r="CM332" s="124"/>
      <c r="CN332" s="123"/>
      <c r="CO332" s="124"/>
      <c r="CP332" s="121"/>
      <c r="CQ332" s="122" t="s">
        <v>1356</v>
      </c>
      <c r="CR332" s="123"/>
      <c r="CS332" s="124"/>
      <c r="CT332" s="123"/>
      <c r="CU332" s="124"/>
      <c r="CV332" s="121"/>
      <c r="CW332" s="122" t="s">
        <v>1356</v>
      </c>
      <c r="CX332" s="123"/>
      <c r="CY332" s="124"/>
      <c r="CZ332" s="123"/>
      <c r="DA332" s="124"/>
      <c r="DB332" s="129" t="s">
        <v>6962</v>
      </c>
      <c r="DC332" s="129" t="s">
        <v>105</v>
      </c>
    </row>
    <row r="333" spans="1:107" s="40" customFormat="1" ht="14.55" customHeight="1" x14ac:dyDescent="0.3">
      <c r="A333" s="66" t="s">
        <v>3500</v>
      </c>
      <c r="B333" s="66" t="s">
        <v>3651</v>
      </c>
      <c r="C333" s="66" t="s">
        <v>3652</v>
      </c>
      <c r="D333" s="66" t="s">
        <v>880</v>
      </c>
      <c r="E333" s="66" t="s">
        <v>881</v>
      </c>
      <c r="F333" s="66" t="s">
        <v>142</v>
      </c>
      <c r="G333" s="68" t="s">
        <v>72</v>
      </c>
      <c r="H333" s="43" t="s">
        <v>251</v>
      </c>
      <c r="I333" s="68">
        <v>1701</v>
      </c>
      <c r="J333" s="68">
        <v>170150</v>
      </c>
      <c r="K333" s="69">
        <v>4</v>
      </c>
      <c r="L333" s="66" t="s">
        <v>882</v>
      </c>
      <c r="M333" s="66" t="s">
        <v>883</v>
      </c>
      <c r="N333" s="66" t="s">
        <v>221</v>
      </c>
      <c r="O333" s="66"/>
      <c r="P333" s="66"/>
      <c r="Q333" s="66" t="s">
        <v>884</v>
      </c>
      <c r="R333" s="66" t="s">
        <v>60</v>
      </c>
      <c r="S333" s="66"/>
      <c r="T333" s="66"/>
      <c r="U333" s="66" t="s">
        <v>392</v>
      </c>
      <c r="V333" s="66"/>
      <c r="W333" s="66" t="s">
        <v>885</v>
      </c>
      <c r="X333" s="66" t="s">
        <v>886</v>
      </c>
      <c r="Y333" s="66" t="s">
        <v>887</v>
      </c>
      <c r="Z333" s="66"/>
      <c r="AA333" s="66"/>
      <c r="AB333" s="66">
        <v>170150042</v>
      </c>
      <c r="AC333" s="66">
        <v>170150042002</v>
      </c>
      <c r="AD333" s="66">
        <v>170150042002001</v>
      </c>
      <c r="AE333" s="69">
        <v>5</v>
      </c>
      <c r="AF333" s="69" t="s">
        <v>772</v>
      </c>
      <c r="AG333" s="46" t="s">
        <v>66</v>
      </c>
      <c r="AH333" s="70" t="s">
        <v>888</v>
      </c>
      <c r="AI333" s="71" t="s">
        <v>66</v>
      </c>
      <c r="AJ333" s="49" t="s">
        <v>6938</v>
      </c>
      <c r="AK333" s="50" t="s">
        <v>67</v>
      </c>
      <c r="AL333" s="58">
        <v>45580</v>
      </c>
      <c r="AM333" s="52" t="s">
        <v>66</v>
      </c>
      <c r="AN333" s="52"/>
      <c r="AO333" s="52"/>
      <c r="AP333" s="52"/>
      <c r="AQ333" s="53">
        <f t="shared" si="18"/>
        <v>2</v>
      </c>
      <c r="AR333" s="54">
        <f t="shared" si="19"/>
        <v>0</v>
      </c>
      <c r="AS333" s="55">
        <f t="shared" si="20"/>
        <v>2</v>
      </c>
      <c r="AT333" s="102" t="s">
        <v>540</v>
      </c>
      <c r="AU333" s="103" t="s">
        <v>2205</v>
      </c>
      <c r="AV333" s="104">
        <v>8</v>
      </c>
      <c r="AW333" s="105">
        <v>45580</v>
      </c>
      <c r="AX333" s="104">
        <v>8</v>
      </c>
      <c r="AY333" s="106">
        <v>45609</v>
      </c>
      <c r="AZ333" s="102" t="s">
        <v>889</v>
      </c>
      <c r="BA333" s="103" t="s">
        <v>2902</v>
      </c>
      <c r="BB333" s="104">
        <v>0</v>
      </c>
      <c r="BC333" s="106">
        <v>45580</v>
      </c>
      <c r="BD333" s="104">
        <v>7</v>
      </c>
      <c r="BE333" s="106">
        <v>45609</v>
      </c>
      <c r="BF333" s="102"/>
      <c r="BG333" s="103" t="s">
        <v>1356</v>
      </c>
      <c r="BH333" s="104"/>
      <c r="BI333" s="106"/>
      <c r="BJ333" s="104"/>
      <c r="BK333" s="106"/>
      <c r="BL333" s="102"/>
      <c r="BM333" s="103" t="s">
        <v>1356</v>
      </c>
      <c r="BN333" s="104"/>
      <c r="BO333" s="106"/>
      <c r="BP333" s="104"/>
      <c r="BQ333" s="106"/>
      <c r="BR333" s="102"/>
      <c r="BS333" s="103" t="s">
        <v>1356</v>
      </c>
      <c r="BT333" s="104"/>
      <c r="BU333" s="106"/>
      <c r="BV333" s="104"/>
      <c r="BW333" s="106"/>
      <c r="BX333" s="121"/>
      <c r="BY333" s="122" t="s">
        <v>1356</v>
      </c>
      <c r="BZ333" s="123"/>
      <c r="CA333" s="124"/>
      <c r="CB333" s="123"/>
      <c r="CC333" s="124"/>
      <c r="CD333" s="121"/>
      <c r="CE333" s="122" t="s">
        <v>1356</v>
      </c>
      <c r="CF333" s="123"/>
      <c r="CG333" s="124"/>
      <c r="CH333" s="123"/>
      <c r="CI333" s="124"/>
      <c r="CJ333" s="121"/>
      <c r="CK333" s="122" t="s">
        <v>1356</v>
      </c>
      <c r="CL333" s="123"/>
      <c r="CM333" s="124"/>
      <c r="CN333" s="123"/>
      <c r="CO333" s="124"/>
      <c r="CP333" s="121"/>
      <c r="CQ333" s="122" t="s">
        <v>1356</v>
      </c>
      <c r="CR333" s="123"/>
      <c r="CS333" s="124"/>
      <c r="CT333" s="123"/>
      <c r="CU333" s="124"/>
      <c r="CV333" s="121"/>
      <c r="CW333" s="122" t="s">
        <v>1356</v>
      </c>
      <c r="CX333" s="123"/>
      <c r="CY333" s="124"/>
      <c r="CZ333" s="123"/>
      <c r="DA333" s="124"/>
      <c r="DB333" s="129" t="s">
        <v>6962</v>
      </c>
      <c r="DC333" s="129" t="s">
        <v>105</v>
      </c>
    </row>
    <row r="334" spans="1:107" s="40" customFormat="1" ht="14.55" customHeight="1" x14ac:dyDescent="0.3">
      <c r="A334" s="66" t="s">
        <v>3500</v>
      </c>
      <c r="B334" s="66" t="s">
        <v>3655</v>
      </c>
      <c r="C334" s="66" t="s">
        <v>3656</v>
      </c>
      <c r="D334" s="66" t="s">
        <v>899</v>
      </c>
      <c r="E334" s="66" t="s">
        <v>900</v>
      </c>
      <c r="F334" s="66" t="s">
        <v>142</v>
      </c>
      <c r="G334" s="68" t="s">
        <v>72</v>
      </c>
      <c r="H334" s="43" t="s">
        <v>251</v>
      </c>
      <c r="I334" s="68">
        <v>1701</v>
      </c>
      <c r="J334" s="68">
        <v>170180</v>
      </c>
      <c r="K334" s="69">
        <v>4</v>
      </c>
      <c r="L334" s="66" t="s">
        <v>901</v>
      </c>
      <c r="M334" s="66" t="s">
        <v>902</v>
      </c>
      <c r="N334" s="66" t="s">
        <v>903</v>
      </c>
      <c r="O334" s="66"/>
      <c r="P334" s="66"/>
      <c r="Q334" s="66"/>
      <c r="R334" s="66" t="s">
        <v>60</v>
      </c>
      <c r="S334" s="66"/>
      <c r="T334" s="66"/>
      <c r="U334" s="66" t="s">
        <v>904</v>
      </c>
      <c r="V334" s="66"/>
      <c r="W334" s="66" t="s">
        <v>905</v>
      </c>
      <c r="X334" s="66" t="s">
        <v>906</v>
      </c>
      <c r="Y334" s="66" t="s">
        <v>907</v>
      </c>
      <c r="Z334" s="66">
        <v>-78.441989000000007</v>
      </c>
      <c r="AA334" s="66">
        <v>-7.28E-3</v>
      </c>
      <c r="AB334" s="66">
        <v>170180008</v>
      </c>
      <c r="AC334" s="66">
        <v>170180008011</v>
      </c>
      <c r="AD334" s="66">
        <v>170180008011005</v>
      </c>
      <c r="AE334" s="69">
        <v>5</v>
      </c>
      <c r="AF334" s="69" t="s">
        <v>772</v>
      </c>
      <c r="AG334" s="46" t="s">
        <v>66</v>
      </c>
      <c r="AH334" s="70" t="s">
        <v>908</v>
      </c>
      <c r="AI334" s="71" t="s">
        <v>66</v>
      </c>
      <c r="AJ334" s="49" t="s">
        <v>6938</v>
      </c>
      <c r="AK334" s="50" t="s">
        <v>67</v>
      </c>
      <c r="AL334" s="58">
        <v>45580</v>
      </c>
      <c r="AM334" s="52" t="s">
        <v>66</v>
      </c>
      <c r="AN334" s="52"/>
      <c r="AO334" s="52"/>
      <c r="AP334" s="52"/>
      <c r="AQ334" s="53">
        <f t="shared" si="18"/>
        <v>4</v>
      </c>
      <c r="AR334" s="54">
        <f t="shared" si="19"/>
        <v>0</v>
      </c>
      <c r="AS334" s="55">
        <f t="shared" si="20"/>
        <v>4</v>
      </c>
      <c r="AT334" s="102" t="s">
        <v>889</v>
      </c>
      <c r="AU334" s="103" t="s">
        <v>2902</v>
      </c>
      <c r="AV334" s="104">
        <v>3.12</v>
      </c>
      <c r="AW334" s="105">
        <v>45580</v>
      </c>
      <c r="AX334" s="104">
        <v>3.12</v>
      </c>
      <c r="AY334" s="106">
        <v>45609</v>
      </c>
      <c r="AZ334" s="102" t="s">
        <v>889</v>
      </c>
      <c r="BA334" s="103" t="s">
        <v>2902</v>
      </c>
      <c r="BB334" s="104">
        <v>3.22</v>
      </c>
      <c r="BC334" s="106">
        <v>45580</v>
      </c>
      <c r="BD334" s="104">
        <v>3.22</v>
      </c>
      <c r="BE334" s="106">
        <v>45609</v>
      </c>
      <c r="BF334" s="102" t="s">
        <v>889</v>
      </c>
      <c r="BG334" s="103" t="s">
        <v>2902</v>
      </c>
      <c r="BH334" s="104">
        <v>2.61</v>
      </c>
      <c r="BI334" s="106">
        <v>45580</v>
      </c>
      <c r="BJ334" s="104">
        <v>2.61</v>
      </c>
      <c r="BK334" s="106">
        <v>45609</v>
      </c>
      <c r="BL334" s="102" t="s">
        <v>889</v>
      </c>
      <c r="BM334" s="103" t="s">
        <v>2902</v>
      </c>
      <c r="BN334" s="104">
        <v>3.12</v>
      </c>
      <c r="BO334" s="106">
        <v>45580</v>
      </c>
      <c r="BP334" s="104">
        <v>3.12</v>
      </c>
      <c r="BQ334" s="106">
        <v>45609</v>
      </c>
      <c r="BR334" s="102"/>
      <c r="BS334" s="103" t="s">
        <v>1356</v>
      </c>
      <c r="BT334" s="104"/>
      <c r="BU334" s="106"/>
      <c r="BV334" s="104"/>
      <c r="BW334" s="106"/>
      <c r="BX334" s="121"/>
      <c r="BY334" s="122" t="s">
        <v>1356</v>
      </c>
      <c r="BZ334" s="123"/>
      <c r="CA334" s="124"/>
      <c r="CB334" s="123"/>
      <c r="CC334" s="124"/>
      <c r="CD334" s="121"/>
      <c r="CE334" s="122" t="s">
        <v>1356</v>
      </c>
      <c r="CF334" s="123"/>
      <c r="CG334" s="124"/>
      <c r="CH334" s="123"/>
      <c r="CI334" s="124"/>
      <c r="CJ334" s="121"/>
      <c r="CK334" s="122" t="s">
        <v>1356</v>
      </c>
      <c r="CL334" s="123"/>
      <c r="CM334" s="124"/>
      <c r="CN334" s="123"/>
      <c r="CO334" s="124"/>
      <c r="CP334" s="121"/>
      <c r="CQ334" s="122" t="s">
        <v>1356</v>
      </c>
      <c r="CR334" s="123"/>
      <c r="CS334" s="124"/>
      <c r="CT334" s="123"/>
      <c r="CU334" s="124"/>
      <c r="CV334" s="121"/>
      <c r="CW334" s="122" t="s">
        <v>1356</v>
      </c>
      <c r="CX334" s="123"/>
      <c r="CY334" s="124"/>
      <c r="CZ334" s="123"/>
      <c r="DA334" s="124"/>
      <c r="DB334" s="129" t="s">
        <v>6962</v>
      </c>
      <c r="DC334" s="129" t="s">
        <v>105</v>
      </c>
    </row>
    <row r="335" spans="1:107" s="40" customFormat="1" ht="14.55" customHeight="1" x14ac:dyDescent="0.3">
      <c r="A335" s="66" t="s">
        <v>3500</v>
      </c>
      <c r="B335" s="66" t="s">
        <v>3657</v>
      </c>
      <c r="C335" s="66" t="s">
        <v>3658</v>
      </c>
      <c r="D335" s="66" t="s">
        <v>909</v>
      </c>
      <c r="E335" s="66" t="s">
        <v>910</v>
      </c>
      <c r="F335" s="66" t="s">
        <v>651</v>
      </c>
      <c r="G335" s="68" t="s">
        <v>72</v>
      </c>
      <c r="H335" s="43" t="s">
        <v>251</v>
      </c>
      <c r="I335" s="68">
        <v>1701</v>
      </c>
      <c r="J335" s="68">
        <v>170150</v>
      </c>
      <c r="K335" s="69">
        <v>4</v>
      </c>
      <c r="L335" s="66" t="s">
        <v>911</v>
      </c>
      <c r="M335" s="66" t="s">
        <v>912</v>
      </c>
      <c r="N335" s="66" t="s">
        <v>913</v>
      </c>
      <c r="O335" s="66"/>
      <c r="P335" s="66"/>
      <c r="Q335" s="66" t="s">
        <v>914</v>
      </c>
      <c r="R335" s="66" t="s">
        <v>60</v>
      </c>
      <c r="S335" s="66"/>
      <c r="T335" s="66"/>
      <c r="U335" s="66" t="s">
        <v>915</v>
      </c>
      <c r="V335" s="66"/>
      <c r="W335" s="66" t="s">
        <v>916</v>
      </c>
      <c r="X335" s="66" t="s">
        <v>917</v>
      </c>
      <c r="Y335" s="66" t="s">
        <v>918</v>
      </c>
      <c r="Z335" s="66"/>
      <c r="AA335" s="66"/>
      <c r="AB335" s="66">
        <v>170150073</v>
      </c>
      <c r="AC335" s="66">
        <v>170150073011</v>
      </c>
      <c r="AD335" s="66">
        <v>170150073011007</v>
      </c>
      <c r="AE335" s="69">
        <v>5</v>
      </c>
      <c r="AF335" s="69" t="s">
        <v>772</v>
      </c>
      <c r="AG335" s="46" t="s">
        <v>66</v>
      </c>
      <c r="AH335" s="70" t="s">
        <v>919</v>
      </c>
      <c r="AI335" s="71" t="s">
        <v>66</v>
      </c>
      <c r="AJ335" s="49" t="s">
        <v>6938</v>
      </c>
      <c r="AK335" s="50" t="s">
        <v>67</v>
      </c>
      <c r="AL335" s="58">
        <v>45580</v>
      </c>
      <c r="AM335" s="52" t="s">
        <v>66</v>
      </c>
      <c r="AN335" s="52"/>
      <c r="AO335" s="52"/>
      <c r="AP335" s="52"/>
      <c r="AQ335" s="53">
        <f t="shared" si="18"/>
        <v>2</v>
      </c>
      <c r="AR335" s="54">
        <f t="shared" si="19"/>
        <v>0</v>
      </c>
      <c r="AS335" s="55">
        <f t="shared" si="20"/>
        <v>2</v>
      </c>
      <c r="AT335" s="102" t="s">
        <v>672</v>
      </c>
      <c r="AU335" s="103" t="s">
        <v>2534</v>
      </c>
      <c r="AV335" s="104">
        <v>1.04</v>
      </c>
      <c r="AW335" s="105">
        <v>45580</v>
      </c>
      <c r="AX335" s="104">
        <v>1.04</v>
      </c>
      <c r="AY335" s="106">
        <v>45609</v>
      </c>
      <c r="AZ335" s="102" t="s">
        <v>920</v>
      </c>
      <c r="BA335" s="103" t="s">
        <v>6704</v>
      </c>
      <c r="BB335" s="104">
        <v>1.81</v>
      </c>
      <c r="BC335" s="106">
        <v>45580</v>
      </c>
      <c r="BD335" s="104">
        <v>1.81</v>
      </c>
      <c r="BE335" s="106">
        <v>45609</v>
      </c>
      <c r="BF335" s="102"/>
      <c r="BG335" s="103" t="s">
        <v>1356</v>
      </c>
      <c r="BH335" s="104"/>
      <c r="BI335" s="106"/>
      <c r="BJ335" s="104"/>
      <c r="BK335" s="106"/>
      <c r="BL335" s="102"/>
      <c r="BM335" s="103" t="s">
        <v>1356</v>
      </c>
      <c r="BN335" s="104"/>
      <c r="BO335" s="106"/>
      <c r="BP335" s="104"/>
      <c r="BQ335" s="106"/>
      <c r="BR335" s="102"/>
      <c r="BS335" s="103" t="s">
        <v>1356</v>
      </c>
      <c r="BT335" s="104"/>
      <c r="BU335" s="106"/>
      <c r="BV335" s="104"/>
      <c r="BW335" s="106"/>
      <c r="BX335" s="121"/>
      <c r="BY335" s="122" t="s">
        <v>1356</v>
      </c>
      <c r="BZ335" s="123"/>
      <c r="CA335" s="124"/>
      <c r="CB335" s="123"/>
      <c r="CC335" s="124"/>
      <c r="CD335" s="121"/>
      <c r="CE335" s="122" t="s">
        <v>1356</v>
      </c>
      <c r="CF335" s="123"/>
      <c r="CG335" s="124"/>
      <c r="CH335" s="123"/>
      <c r="CI335" s="124"/>
      <c r="CJ335" s="121"/>
      <c r="CK335" s="122" t="s">
        <v>1356</v>
      </c>
      <c r="CL335" s="123"/>
      <c r="CM335" s="124"/>
      <c r="CN335" s="123"/>
      <c r="CO335" s="124"/>
      <c r="CP335" s="121"/>
      <c r="CQ335" s="122" t="s">
        <v>1356</v>
      </c>
      <c r="CR335" s="123"/>
      <c r="CS335" s="124"/>
      <c r="CT335" s="123"/>
      <c r="CU335" s="124"/>
      <c r="CV335" s="121"/>
      <c r="CW335" s="122" t="s">
        <v>1356</v>
      </c>
      <c r="CX335" s="123"/>
      <c r="CY335" s="124"/>
      <c r="CZ335" s="123"/>
      <c r="DA335" s="124"/>
      <c r="DB335" s="129" t="s">
        <v>6962</v>
      </c>
      <c r="DC335" s="129" t="s">
        <v>105</v>
      </c>
    </row>
    <row r="336" spans="1:107" s="40" customFormat="1" ht="14.55" customHeight="1" x14ac:dyDescent="0.3">
      <c r="A336" s="66" t="s">
        <v>3500</v>
      </c>
      <c r="B336" s="66" t="s">
        <v>3659</v>
      </c>
      <c r="C336" s="66" t="s">
        <v>3660</v>
      </c>
      <c r="D336" s="66" t="s">
        <v>921</v>
      </c>
      <c r="E336" s="66" t="s">
        <v>922</v>
      </c>
      <c r="F336" s="66" t="s">
        <v>175</v>
      </c>
      <c r="G336" s="68" t="s">
        <v>72</v>
      </c>
      <c r="H336" s="43" t="s">
        <v>251</v>
      </c>
      <c r="I336" s="68">
        <v>1701</v>
      </c>
      <c r="J336" s="68">
        <v>170150</v>
      </c>
      <c r="K336" s="69">
        <v>4</v>
      </c>
      <c r="L336" s="66" t="s">
        <v>923</v>
      </c>
      <c r="M336" s="66" t="s">
        <v>924</v>
      </c>
      <c r="N336" s="66" t="s">
        <v>925</v>
      </c>
      <c r="O336" s="66"/>
      <c r="P336" s="66"/>
      <c r="Q336" s="66" t="s">
        <v>922</v>
      </c>
      <c r="R336" s="66" t="s">
        <v>60</v>
      </c>
      <c r="S336" s="66"/>
      <c r="T336" s="66"/>
      <c r="U336" s="66"/>
      <c r="V336" s="66"/>
      <c r="W336" s="66" t="s">
        <v>926</v>
      </c>
      <c r="X336" s="66" t="s">
        <v>927</v>
      </c>
      <c r="Y336" s="66" t="s">
        <v>928</v>
      </c>
      <c r="Z336" s="66"/>
      <c r="AA336" s="66"/>
      <c r="AB336" s="66">
        <v>170150252</v>
      </c>
      <c r="AC336" s="66">
        <v>170150252003</v>
      </c>
      <c r="AD336" s="66">
        <v>170150252003001</v>
      </c>
      <c r="AE336" s="69">
        <v>5</v>
      </c>
      <c r="AF336" s="69" t="s">
        <v>772</v>
      </c>
      <c r="AG336" s="46" t="s">
        <v>66</v>
      </c>
      <c r="AH336" s="70">
        <v>40227</v>
      </c>
      <c r="AI336" s="71" t="s">
        <v>66</v>
      </c>
      <c r="AJ336" s="49" t="s">
        <v>6938</v>
      </c>
      <c r="AK336" s="50" t="s">
        <v>67</v>
      </c>
      <c r="AL336" s="58">
        <v>45580</v>
      </c>
      <c r="AM336" s="52" t="s">
        <v>66</v>
      </c>
      <c r="AN336" s="52"/>
      <c r="AO336" s="52"/>
      <c r="AP336" s="52"/>
      <c r="AQ336" s="53">
        <f t="shared" si="18"/>
        <v>4</v>
      </c>
      <c r="AR336" s="54">
        <f t="shared" si="19"/>
        <v>0</v>
      </c>
      <c r="AS336" s="55">
        <f t="shared" si="20"/>
        <v>4</v>
      </c>
      <c r="AT336" s="102" t="s">
        <v>181</v>
      </c>
      <c r="AU336" s="103" t="s">
        <v>2776</v>
      </c>
      <c r="AV336" s="104">
        <v>1.03</v>
      </c>
      <c r="AW336" s="105">
        <v>45580</v>
      </c>
      <c r="AX336" s="104">
        <v>1.03</v>
      </c>
      <c r="AY336" s="106">
        <v>45609</v>
      </c>
      <c r="AZ336" s="102" t="s">
        <v>180</v>
      </c>
      <c r="BA336" s="103" t="s">
        <v>6705</v>
      </c>
      <c r="BB336" s="104">
        <v>0.54</v>
      </c>
      <c r="BC336" s="106">
        <v>45580</v>
      </c>
      <c r="BD336" s="104">
        <v>0.54</v>
      </c>
      <c r="BE336" s="106">
        <v>45609</v>
      </c>
      <c r="BF336" s="102" t="s">
        <v>929</v>
      </c>
      <c r="BG336" s="103" t="s">
        <v>1681</v>
      </c>
      <c r="BH336" s="104">
        <v>1.34</v>
      </c>
      <c r="BI336" s="106">
        <v>45580</v>
      </c>
      <c r="BJ336" s="104">
        <v>1.34</v>
      </c>
      <c r="BK336" s="106">
        <v>45609</v>
      </c>
      <c r="BL336" s="102" t="s">
        <v>180</v>
      </c>
      <c r="BM336" s="103" t="s">
        <v>6705</v>
      </c>
      <c r="BN336" s="104">
        <v>10.36</v>
      </c>
      <c r="BO336" s="106">
        <v>45580</v>
      </c>
      <c r="BP336" s="104">
        <v>10.36</v>
      </c>
      <c r="BQ336" s="106">
        <v>45609</v>
      </c>
      <c r="BR336" s="102"/>
      <c r="BS336" s="103" t="s">
        <v>1356</v>
      </c>
      <c r="BT336" s="104"/>
      <c r="BU336" s="106"/>
      <c r="BV336" s="104"/>
      <c r="BW336" s="106"/>
      <c r="BX336" s="121"/>
      <c r="BY336" s="122" t="s">
        <v>1356</v>
      </c>
      <c r="BZ336" s="123"/>
      <c r="CA336" s="124"/>
      <c r="CB336" s="123"/>
      <c r="CC336" s="124"/>
      <c r="CD336" s="121"/>
      <c r="CE336" s="122" t="s">
        <v>1356</v>
      </c>
      <c r="CF336" s="123"/>
      <c r="CG336" s="124"/>
      <c r="CH336" s="123"/>
      <c r="CI336" s="124"/>
      <c r="CJ336" s="121"/>
      <c r="CK336" s="122" t="s">
        <v>1356</v>
      </c>
      <c r="CL336" s="123"/>
      <c r="CM336" s="124"/>
      <c r="CN336" s="123"/>
      <c r="CO336" s="124"/>
      <c r="CP336" s="121"/>
      <c r="CQ336" s="122" t="s">
        <v>1356</v>
      </c>
      <c r="CR336" s="123"/>
      <c r="CS336" s="124"/>
      <c r="CT336" s="123"/>
      <c r="CU336" s="124"/>
      <c r="CV336" s="121"/>
      <c r="CW336" s="122" t="s">
        <v>1356</v>
      </c>
      <c r="CX336" s="123"/>
      <c r="CY336" s="124"/>
      <c r="CZ336" s="123"/>
      <c r="DA336" s="124"/>
      <c r="DB336" s="129" t="s">
        <v>6962</v>
      </c>
      <c r="DC336" s="129" t="s">
        <v>105</v>
      </c>
    </row>
    <row r="337" spans="1:107" s="40" customFormat="1" ht="14.55" customHeight="1" x14ac:dyDescent="0.3">
      <c r="A337" s="66" t="s">
        <v>3500</v>
      </c>
      <c r="B337" s="66" t="s">
        <v>3663</v>
      </c>
      <c r="C337" s="66" t="s">
        <v>3664</v>
      </c>
      <c r="D337" s="66" t="s">
        <v>938</v>
      </c>
      <c r="E337" s="66" t="s">
        <v>939</v>
      </c>
      <c r="F337" s="66" t="s">
        <v>319</v>
      </c>
      <c r="G337" s="68" t="s">
        <v>72</v>
      </c>
      <c r="H337" s="43" t="s">
        <v>251</v>
      </c>
      <c r="I337" s="68">
        <v>1701</v>
      </c>
      <c r="J337" s="68">
        <v>170157</v>
      </c>
      <c r="K337" s="69">
        <v>4</v>
      </c>
      <c r="L337" s="66" t="s">
        <v>940</v>
      </c>
      <c r="M337" s="66" t="s">
        <v>941</v>
      </c>
      <c r="N337" s="66" t="s">
        <v>942</v>
      </c>
      <c r="O337" s="66"/>
      <c r="P337" s="66"/>
      <c r="Q337" s="66" t="s">
        <v>939</v>
      </c>
      <c r="R337" s="66" t="s">
        <v>60</v>
      </c>
      <c r="S337" s="66"/>
      <c r="T337" s="66"/>
      <c r="U337" s="66" t="s">
        <v>943</v>
      </c>
      <c r="V337" s="66"/>
      <c r="W337" s="66" t="s">
        <v>944</v>
      </c>
      <c r="X337" s="66" t="s">
        <v>945</v>
      </c>
      <c r="Y337" s="66" t="s">
        <v>946</v>
      </c>
      <c r="Z337" s="66"/>
      <c r="AA337" s="66"/>
      <c r="AB337" s="66">
        <v>170157004</v>
      </c>
      <c r="AC337" s="66">
        <v>170157004005</v>
      </c>
      <c r="AD337" s="66">
        <v>170157004005002</v>
      </c>
      <c r="AE337" s="69">
        <v>5</v>
      </c>
      <c r="AF337" s="69" t="s">
        <v>772</v>
      </c>
      <c r="AG337" s="46" t="s">
        <v>66</v>
      </c>
      <c r="AH337" s="70" t="s">
        <v>947</v>
      </c>
      <c r="AI337" s="71" t="s">
        <v>66</v>
      </c>
      <c r="AJ337" s="49" t="s">
        <v>6938</v>
      </c>
      <c r="AK337" s="50" t="s">
        <v>67</v>
      </c>
      <c r="AL337" s="58">
        <v>45580</v>
      </c>
      <c r="AM337" s="52" t="s">
        <v>66</v>
      </c>
      <c r="AN337" s="52"/>
      <c r="AO337" s="52"/>
      <c r="AP337" s="52"/>
      <c r="AQ337" s="53">
        <f t="shared" si="18"/>
        <v>3</v>
      </c>
      <c r="AR337" s="54">
        <f t="shared" si="19"/>
        <v>0</v>
      </c>
      <c r="AS337" s="55">
        <f t="shared" si="20"/>
        <v>3</v>
      </c>
      <c r="AT337" s="102" t="s">
        <v>948</v>
      </c>
      <c r="AU337" s="103" t="s">
        <v>6706</v>
      </c>
      <c r="AV337" s="104">
        <v>1.72</v>
      </c>
      <c r="AW337" s="105">
        <v>45580</v>
      </c>
      <c r="AX337" s="104">
        <v>1.72</v>
      </c>
      <c r="AY337" s="106">
        <v>45609</v>
      </c>
      <c r="AZ337" s="102" t="s">
        <v>948</v>
      </c>
      <c r="BA337" s="103" t="s">
        <v>6706</v>
      </c>
      <c r="BB337" s="104">
        <v>12.69</v>
      </c>
      <c r="BC337" s="106">
        <v>45580</v>
      </c>
      <c r="BD337" s="104">
        <v>12.69</v>
      </c>
      <c r="BE337" s="106">
        <v>45609</v>
      </c>
      <c r="BF337" s="102" t="s">
        <v>949</v>
      </c>
      <c r="BG337" s="103" t="s">
        <v>6707</v>
      </c>
      <c r="BH337" s="104">
        <v>87.64</v>
      </c>
      <c r="BI337" s="106">
        <v>45580</v>
      </c>
      <c r="BJ337" s="104">
        <v>87.64</v>
      </c>
      <c r="BK337" s="106">
        <v>45609</v>
      </c>
      <c r="BL337" s="102"/>
      <c r="BM337" s="103" t="s">
        <v>1356</v>
      </c>
      <c r="BN337" s="104"/>
      <c r="BO337" s="106"/>
      <c r="BP337" s="104"/>
      <c r="BQ337" s="106"/>
      <c r="BR337" s="102"/>
      <c r="BS337" s="103" t="s">
        <v>1356</v>
      </c>
      <c r="BT337" s="104"/>
      <c r="BU337" s="106"/>
      <c r="BV337" s="104"/>
      <c r="BW337" s="106"/>
      <c r="BX337" s="121"/>
      <c r="BY337" s="122" t="s">
        <v>1356</v>
      </c>
      <c r="BZ337" s="123"/>
      <c r="CA337" s="124"/>
      <c r="CB337" s="123"/>
      <c r="CC337" s="124"/>
      <c r="CD337" s="121"/>
      <c r="CE337" s="122" t="s">
        <v>1356</v>
      </c>
      <c r="CF337" s="123"/>
      <c r="CG337" s="124"/>
      <c r="CH337" s="123"/>
      <c r="CI337" s="124"/>
      <c r="CJ337" s="121"/>
      <c r="CK337" s="122" t="s">
        <v>1356</v>
      </c>
      <c r="CL337" s="123"/>
      <c r="CM337" s="124"/>
      <c r="CN337" s="123"/>
      <c r="CO337" s="124"/>
      <c r="CP337" s="121"/>
      <c r="CQ337" s="122" t="s">
        <v>1356</v>
      </c>
      <c r="CR337" s="123"/>
      <c r="CS337" s="124"/>
      <c r="CT337" s="123"/>
      <c r="CU337" s="124"/>
      <c r="CV337" s="121"/>
      <c r="CW337" s="122" t="s">
        <v>1356</v>
      </c>
      <c r="CX337" s="123"/>
      <c r="CY337" s="124"/>
      <c r="CZ337" s="123"/>
      <c r="DA337" s="124"/>
      <c r="DB337" s="129" t="s">
        <v>6962</v>
      </c>
      <c r="DC337" s="129" t="s">
        <v>105</v>
      </c>
    </row>
    <row r="338" spans="1:107" s="40" customFormat="1" ht="14.55" customHeight="1" x14ac:dyDescent="0.3">
      <c r="A338" s="35" t="s">
        <v>4108</v>
      </c>
      <c r="B338" s="35" t="s">
        <v>4109</v>
      </c>
      <c r="C338" s="35" t="s">
        <v>4110</v>
      </c>
      <c r="D338" s="35" t="s">
        <v>3286</v>
      </c>
      <c r="E338" s="35" t="s">
        <v>3286</v>
      </c>
      <c r="F338" s="35" t="s">
        <v>3036</v>
      </c>
      <c r="G338" s="35" t="s">
        <v>2928</v>
      </c>
      <c r="H338" s="27" t="s">
        <v>6929</v>
      </c>
      <c r="I338" s="62">
        <v>701</v>
      </c>
      <c r="J338" s="62">
        <v>70150</v>
      </c>
      <c r="K338" s="63">
        <v>4</v>
      </c>
      <c r="L338" s="35" t="s">
        <v>3287</v>
      </c>
      <c r="M338" s="35"/>
      <c r="N338" s="35" t="s">
        <v>3288</v>
      </c>
      <c r="O338" s="35"/>
      <c r="P338" s="35"/>
      <c r="Q338" s="35" t="s">
        <v>3286</v>
      </c>
      <c r="R338" s="35" t="s">
        <v>60</v>
      </c>
      <c r="S338" s="35"/>
      <c r="T338" s="35"/>
      <c r="U338" s="35" t="s">
        <v>3289</v>
      </c>
      <c r="V338" s="35"/>
      <c r="W338" s="35" t="s">
        <v>3290</v>
      </c>
      <c r="X338" s="35" t="s">
        <v>3291</v>
      </c>
      <c r="Y338" s="35" t="s">
        <v>3292</v>
      </c>
      <c r="Z338" s="35"/>
      <c r="AA338" s="35"/>
      <c r="AB338" s="35">
        <v>70150006</v>
      </c>
      <c r="AC338" s="35">
        <v>70150006002</v>
      </c>
      <c r="AD338" s="35">
        <v>70150006002005</v>
      </c>
      <c r="AE338" s="63">
        <v>2</v>
      </c>
      <c r="AF338" s="63" t="s">
        <v>64</v>
      </c>
      <c r="AG338" s="29" t="s">
        <v>65</v>
      </c>
      <c r="AH338" s="75"/>
      <c r="AI338" s="65" t="s">
        <v>66</v>
      </c>
      <c r="AJ338" s="32" t="s">
        <v>6938</v>
      </c>
      <c r="AK338" s="33" t="s">
        <v>67</v>
      </c>
      <c r="AL338" s="76">
        <v>45589</v>
      </c>
      <c r="AM338" s="35" t="s">
        <v>66</v>
      </c>
      <c r="AN338" s="35"/>
      <c r="AO338" s="35"/>
      <c r="AP338" s="35"/>
      <c r="AQ338" s="37">
        <f t="shared" si="18"/>
        <v>0</v>
      </c>
      <c r="AR338" s="38">
        <f t="shared" si="19"/>
        <v>0</v>
      </c>
      <c r="AS338" s="39">
        <f t="shared" si="20"/>
        <v>0</v>
      </c>
      <c r="AT338" s="99"/>
      <c r="AU338" s="99" t="s">
        <v>1356</v>
      </c>
      <c r="AV338" s="99"/>
      <c r="AW338" s="100"/>
      <c r="AX338" s="99"/>
      <c r="AY338" s="101"/>
      <c r="AZ338" s="99"/>
      <c r="BA338" s="99" t="s">
        <v>1356</v>
      </c>
      <c r="BB338" s="99"/>
      <c r="BC338" s="101"/>
      <c r="BD338" s="99"/>
      <c r="BE338" s="101"/>
      <c r="BF338" s="99"/>
      <c r="BG338" s="99" t="s">
        <v>1356</v>
      </c>
      <c r="BH338" s="99"/>
      <c r="BI338" s="101"/>
      <c r="BJ338" s="99"/>
      <c r="BK338" s="101"/>
      <c r="BL338" s="99"/>
      <c r="BM338" s="99" t="s">
        <v>1356</v>
      </c>
      <c r="BN338" s="99"/>
      <c r="BO338" s="101"/>
      <c r="BP338" s="99"/>
      <c r="BQ338" s="101"/>
      <c r="BR338" s="99"/>
      <c r="BS338" s="99" t="s">
        <v>1356</v>
      </c>
      <c r="BT338" s="99"/>
      <c r="BU338" s="101"/>
      <c r="BV338" s="99"/>
      <c r="BW338" s="101"/>
      <c r="BX338" s="119"/>
      <c r="BY338" s="119" t="s">
        <v>1356</v>
      </c>
      <c r="BZ338" s="119"/>
      <c r="CA338" s="120"/>
      <c r="CB338" s="119"/>
      <c r="CC338" s="120"/>
      <c r="CD338" s="119"/>
      <c r="CE338" s="119" t="s">
        <v>1356</v>
      </c>
      <c r="CF338" s="119"/>
      <c r="CG338" s="120"/>
      <c r="CH338" s="119"/>
      <c r="CI338" s="120"/>
      <c r="CJ338" s="119"/>
      <c r="CK338" s="119" t="s">
        <v>1356</v>
      </c>
      <c r="CL338" s="119"/>
      <c r="CM338" s="120"/>
      <c r="CN338" s="119"/>
      <c r="CO338" s="120"/>
      <c r="CP338" s="119"/>
      <c r="CQ338" s="119" t="s">
        <v>1356</v>
      </c>
      <c r="CR338" s="119"/>
      <c r="CS338" s="120"/>
      <c r="CT338" s="119"/>
      <c r="CU338" s="120"/>
      <c r="CV338" s="119"/>
      <c r="CW338" s="119" t="s">
        <v>1356</v>
      </c>
      <c r="CX338" s="119"/>
      <c r="CY338" s="120"/>
      <c r="CZ338" s="119"/>
      <c r="DA338" s="120"/>
      <c r="DB338" s="128" t="s">
        <v>7085</v>
      </c>
      <c r="DC338" s="131" t="s">
        <v>2935</v>
      </c>
    </row>
    <row r="339" spans="1:107" s="40" customFormat="1" ht="14.55" customHeight="1" x14ac:dyDescent="0.3">
      <c r="A339" s="66" t="s">
        <v>3500</v>
      </c>
      <c r="B339" s="66" t="s">
        <v>3667</v>
      </c>
      <c r="C339" s="66" t="s">
        <v>3668</v>
      </c>
      <c r="D339" s="66" t="s">
        <v>959</v>
      </c>
      <c r="E339" s="66" t="s">
        <v>960</v>
      </c>
      <c r="F339" s="66" t="s">
        <v>142</v>
      </c>
      <c r="G339" s="68" t="s">
        <v>72</v>
      </c>
      <c r="H339" s="43" t="s">
        <v>251</v>
      </c>
      <c r="I339" s="68">
        <v>1701</v>
      </c>
      <c r="J339" s="68">
        <v>170157</v>
      </c>
      <c r="K339" s="69">
        <v>4</v>
      </c>
      <c r="L339" s="66" t="s">
        <v>961</v>
      </c>
      <c r="M339" s="66" t="s">
        <v>962</v>
      </c>
      <c r="N339" s="66" t="s">
        <v>963</v>
      </c>
      <c r="O339" s="66"/>
      <c r="P339" s="66"/>
      <c r="Q339" s="66"/>
      <c r="R339" s="66" t="s">
        <v>60</v>
      </c>
      <c r="S339" s="66"/>
      <c r="T339" s="66"/>
      <c r="U339" s="66"/>
      <c r="V339" s="66"/>
      <c r="W339" s="66" t="s">
        <v>964</v>
      </c>
      <c r="X339" s="66" t="s">
        <v>965</v>
      </c>
      <c r="Y339" s="66" t="s">
        <v>966</v>
      </c>
      <c r="Z339" s="66"/>
      <c r="AA339" s="66"/>
      <c r="AB339" s="66">
        <v>170157003</v>
      </c>
      <c r="AC339" s="66">
        <v>170157003003</v>
      </c>
      <c r="AD339" s="66">
        <v>170157003003001</v>
      </c>
      <c r="AE339" s="69">
        <v>5</v>
      </c>
      <c r="AF339" s="69" t="s">
        <v>772</v>
      </c>
      <c r="AG339" s="46" t="s">
        <v>66</v>
      </c>
      <c r="AH339" s="70" t="s">
        <v>967</v>
      </c>
      <c r="AI339" s="71" t="s">
        <v>66</v>
      </c>
      <c r="AJ339" s="49" t="s">
        <v>6938</v>
      </c>
      <c r="AK339" s="50" t="s">
        <v>67</v>
      </c>
      <c r="AL339" s="58">
        <v>45580</v>
      </c>
      <c r="AM339" s="52" t="s">
        <v>66</v>
      </c>
      <c r="AN339" s="52"/>
      <c r="AO339" s="52"/>
      <c r="AP339" s="52"/>
      <c r="AQ339" s="53">
        <f t="shared" si="18"/>
        <v>2</v>
      </c>
      <c r="AR339" s="54">
        <f t="shared" si="19"/>
        <v>0</v>
      </c>
      <c r="AS339" s="55">
        <f t="shared" si="20"/>
        <v>2</v>
      </c>
      <c r="AT339" s="102" t="s">
        <v>968</v>
      </c>
      <c r="AU339" s="103" t="s">
        <v>2214</v>
      </c>
      <c r="AV339" s="104">
        <v>0</v>
      </c>
      <c r="AW339" s="105">
        <v>45580</v>
      </c>
      <c r="AX339" s="104">
        <v>5.96</v>
      </c>
      <c r="AY339" s="106">
        <v>45609</v>
      </c>
      <c r="AZ339" s="102" t="s">
        <v>968</v>
      </c>
      <c r="BA339" s="103" t="s">
        <v>2214</v>
      </c>
      <c r="BB339" s="104">
        <v>0</v>
      </c>
      <c r="BC339" s="106">
        <v>45580</v>
      </c>
      <c r="BD339" s="104">
        <v>4.95</v>
      </c>
      <c r="BE339" s="106">
        <v>45609</v>
      </c>
      <c r="BF339" s="102"/>
      <c r="BG339" s="103" t="s">
        <v>1356</v>
      </c>
      <c r="BH339" s="104"/>
      <c r="BI339" s="106"/>
      <c r="BJ339" s="104"/>
      <c r="BK339" s="106"/>
      <c r="BL339" s="102"/>
      <c r="BM339" s="103" t="s">
        <v>1356</v>
      </c>
      <c r="BN339" s="104"/>
      <c r="BO339" s="106"/>
      <c r="BP339" s="104"/>
      <c r="BQ339" s="106"/>
      <c r="BR339" s="102"/>
      <c r="BS339" s="103" t="s">
        <v>1356</v>
      </c>
      <c r="BT339" s="104"/>
      <c r="BU339" s="106"/>
      <c r="BV339" s="104"/>
      <c r="BW339" s="106"/>
      <c r="BX339" s="121"/>
      <c r="BY339" s="122" t="s">
        <v>1356</v>
      </c>
      <c r="BZ339" s="123"/>
      <c r="CA339" s="124"/>
      <c r="CB339" s="123"/>
      <c r="CC339" s="124"/>
      <c r="CD339" s="121"/>
      <c r="CE339" s="122" t="s">
        <v>1356</v>
      </c>
      <c r="CF339" s="123"/>
      <c r="CG339" s="124"/>
      <c r="CH339" s="123"/>
      <c r="CI339" s="124"/>
      <c r="CJ339" s="121"/>
      <c r="CK339" s="122" t="s">
        <v>1356</v>
      </c>
      <c r="CL339" s="123"/>
      <c r="CM339" s="124"/>
      <c r="CN339" s="123"/>
      <c r="CO339" s="124"/>
      <c r="CP339" s="121"/>
      <c r="CQ339" s="122" t="s">
        <v>1356</v>
      </c>
      <c r="CR339" s="123"/>
      <c r="CS339" s="124"/>
      <c r="CT339" s="123"/>
      <c r="CU339" s="124"/>
      <c r="CV339" s="121"/>
      <c r="CW339" s="122" t="s">
        <v>1356</v>
      </c>
      <c r="CX339" s="123"/>
      <c r="CY339" s="124"/>
      <c r="CZ339" s="123"/>
      <c r="DA339" s="124"/>
      <c r="DB339" s="129" t="s">
        <v>6962</v>
      </c>
      <c r="DC339" s="129" t="s">
        <v>105</v>
      </c>
    </row>
    <row r="340" spans="1:107" s="40" customFormat="1" ht="14.55" customHeight="1" x14ac:dyDescent="0.3">
      <c r="A340" s="66" t="s">
        <v>3500</v>
      </c>
      <c r="B340" s="66" t="s">
        <v>3671</v>
      </c>
      <c r="C340" s="66" t="s">
        <v>3672</v>
      </c>
      <c r="D340" s="66" t="s">
        <v>976</v>
      </c>
      <c r="E340" s="66" t="s">
        <v>977</v>
      </c>
      <c r="F340" s="66" t="s">
        <v>836</v>
      </c>
      <c r="G340" s="68" t="s">
        <v>72</v>
      </c>
      <c r="H340" s="43" t="s">
        <v>251</v>
      </c>
      <c r="I340" s="68">
        <v>1705</v>
      </c>
      <c r="J340" s="68">
        <v>170550</v>
      </c>
      <c r="K340" s="69">
        <v>4</v>
      </c>
      <c r="L340" s="66" t="s">
        <v>978</v>
      </c>
      <c r="M340" s="66"/>
      <c r="N340" s="66" t="s">
        <v>244</v>
      </c>
      <c r="O340" s="66" t="s">
        <v>979</v>
      </c>
      <c r="P340" s="66"/>
      <c r="Q340" s="66"/>
      <c r="R340" s="66" t="s">
        <v>60</v>
      </c>
      <c r="S340" s="66"/>
      <c r="T340" s="66"/>
      <c r="U340" s="66" t="s">
        <v>980</v>
      </c>
      <c r="V340" s="66"/>
      <c r="W340" s="66" t="s">
        <v>981</v>
      </c>
      <c r="X340" s="66" t="s">
        <v>982</v>
      </c>
      <c r="Y340" s="66" t="s">
        <v>983</v>
      </c>
      <c r="Z340" s="66"/>
      <c r="AA340" s="66"/>
      <c r="AB340" s="66">
        <v>170550015</v>
      </c>
      <c r="AC340" s="66">
        <v>170550015008</v>
      </c>
      <c r="AD340" s="66">
        <v>170550015008006</v>
      </c>
      <c r="AE340" s="69">
        <v>5</v>
      </c>
      <c r="AF340" s="69" t="s">
        <v>772</v>
      </c>
      <c r="AG340" s="46" t="s">
        <v>66</v>
      </c>
      <c r="AH340" s="70" t="s">
        <v>984</v>
      </c>
      <c r="AI340" s="71" t="s">
        <v>66</v>
      </c>
      <c r="AJ340" s="49" t="s">
        <v>6938</v>
      </c>
      <c r="AK340" s="50" t="s">
        <v>67</v>
      </c>
      <c r="AL340" s="58">
        <v>45580</v>
      </c>
      <c r="AM340" s="52" t="s">
        <v>66</v>
      </c>
      <c r="AN340" s="52"/>
      <c r="AO340" s="52"/>
      <c r="AP340" s="52"/>
      <c r="AQ340" s="53">
        <f t="shared" si="18"/>
        <v>5</v>
      </c>
      <c r="AR340" s="54">
        <f t="shared" si="19"/>
        <v>0</v>
      </c>
      <c r="AS340" s="55">
        <f t="shared" si="20"/>
        <v>5</v>
      </c>
      <c r="AT340" s="102" t="s">
        <v>985</v>
      </c>
      <c r="AU340" s="103" t="s">
        <v>6708</v>
      </c>
      <c r="AV340" s="104">
        <v>28.8</v>
      </c>
      <c r="AW340" s="105">
        <v>45580</v>
      </c>
      <c r="AX340" s="104">
        <v>28.8</v>
      </c>
      <c r="AY340" s="106">
        <v>45609</v>
      </c>
      <c r="AZ340" s="102" t="s">
        <v>986</v>
      </c>
      <c r="BA340" s="103" t="s">
        <v>6709</v>
      </c>
      <c r="BB340" s="104">
        <v>0.57999999999999996</v>
      </c>
      <c r="BC340" s="106">
        <v>45580</v>
      </c>
      <c r="BD340" s="104">
        <v>0.57999999999999996</v>
      </c>
      <c r="BE340" s="106">
        <v>45609</v>
      </c>
      <c r="BF340" s="102" t="s">
        <v>844</v>
      </c>
      <c r="BG340" s="103" t="s">
        <v>6698</v>
      </c>
      <c r="BH340" s="104">
        <v>31.5</v>
      </c>
      <c r="BI340" s="106">
        <v>45580</v>
      </c>
      <c r="BJ340" s="104">
        <v>31.5</v>
      </c>
      <c r="BK340" s="106">
        <v>45609</v>
      </c>
      <c r="BL340" s="102" t="s">
        <v>792</v>
      </c>
      <c r="BM340" s="103" t="s">
        <v>6693</v>
      </c>
      <c r="BN340" s="104">
        <v>16.53</v>
      </c>
      <c r="BO340" s="106">
        <v>45580</v>
      </c>
      <c r="BP340" s="104">
        <v>16.53</v>
      </c>
      <c r="BQ340" s="106">
        <v>45609</v>
      </c>
      <c r="BR340" s="102" t="s">
        <v>793</v>
      </c>
      <c r="BS340" s="103" t="s">
        <v>6694</v>
      </c>
      <c r="BT340" s="104">
        <v>23.67</v>
      </c>
      <c r="BU340" s="106">
        <v>45580</v>
      </c>
      <c r="BV340" s="104">
        <v>23.67</v>
      </c>
      <c r="BW340" s="106">
        <v>45609</v>
      </c>
      <c r="BX340" s="121"/>
      <c r="BY340" s="122" t="s">
        <v>1356</v>
      </c>
      <c r="BZ340" s="123"/>
      <c r="CA340" s="124"/>
      <c r="CB340" s="123"/>
      <c r="CC340" s="124"/>
      <c r="CD340" s="121"/>
      <c r="CE340" s="122" t="s">
        <v>1356</v>
      </c>
      <c r="CF340" s="123"/>
      <c r="CG340" s="124"/>
      <c r="CH340" s="123"/>
      <c r="CI340" s="124"/>
      <c r="CJ340" s="121"/>
      <c r="CK340" s="122" t="s">
        <v>1356</v>
      </c>
      <c r="CL340" s="123"/>
      <c r="CM340" s="124"/>
      <c r="CN340" s="123"/>
      <c r="CO340" s="124"/>
      <c r="CP340" s="121"/>
      <c r="CQ340" s="122" t="s">
        <v>1356</v>
      </c>
      <c r="CR340" s="123"/>
      <c r="CS340" s="124"/>
      <c r="CT340" s="123"/>
      <c r="CU340" s="124"/>
      <c r="CV340" s="121"/>
      <c r="CW340" s="122" t="s">
        <v>1356</v>
      </c>
      <c r="CX340" s="123"/>
      <c r="CY340" s="124"/>
      <c r="CZ340" s="123"/>
      <c r="DA340" s="124"/>
      <c r="DB340" s="129" t="s">
        <v>6962</v>
      </c>
      <c r="DC340" s="129" t="s">
        <v>105</v>
      </c>
    </row>
    <row r="341" spans="1:107" s="40" customFormat="1" ht="14.55" customHeight="1" x14ac:dyDescent="0.3">
      <c r="A341" s="35" t="s">
        <v>4108</v>
      </c>
      <c r="B341" s="35" t="s">
        <v>4115</v>
      </c>
      <c r="C341" s="35" t="s">
        <v>4116</v>
      </c>
      <c r="D341" s="35" t="s">
        <v>3308</v>
      </c>
      <c r="E341" s="35" t="s">
        <v>70</v>
      </c>
      <c r="F341" s="35" t="s">
        <v>142</v>
      </c>
      <c r="G341" s="35" t="s">
        <v>404</v>
      </c>
      <c r="H341" s="27" t="s">
        <v>6930</v>
      </c>
      <c r="I341" s="62">
        <v>101</v>
      </c>
      <c r="J341" s="62">
        <v>10150</v>
      </c>
      <c r="K341" s="63">
        <v>4</v>
      </c>
      <c r="L341" s="35" t="s">
        <v>3309</v>
      </c>
      <c r="M341" s="35"/>
      <c r="N341" s="35" t="s">
        <v>3310</v>
      </c>
      <c r="O341" s="35"/>
      <c r="P341" s="35"/>
      <c r="Q341" s="35"/>
      <c r="R341" s="35"/>
      <c r="S341" s="35"/>
      <c r="T341" s="35"/>
      <c r="U341" s="35"/>
      <c r="V341" s="35"/>
      <c r="W341" s="35"/>
      <c r="X341" s="35" t="s">
        <v>3311</v>
      </c>
      <c r="Y341" s="35"/>
      <c r="Z341" s="35"/>
      <c r="AA341" s="35"/>
      <c r="AB341" s="35"/>
      <c r="AC341" s="35"/>
      <c r="AD341" s="35"/>
      <c r="AE341" s="63">
        <v>2</v>
      </c>
      <c r="AF341" s="63" t="s">
        <v>64</v>
      </c>
      <c r="AG341" s="29" t="s">
        <v>65</v>
      </c>
      <c r="AH341" s="75"/>
      <c r="AI341" s="65" t="s">
        <v>66</v>
      </c>
      <c r="AJ341" s="32" t="s">
        <v>6938</v>
      </c>
      <c r="AK341" s="33" t="s">
        <v>67</v>
      </c>
      <c r="AL341" s="76">
        <v>45573</v>
      </c>
      <c r="AM341" s="35" t="s">
        <v>66</v>
      </c>
      <c r="AN341" s="35"/>
      <c r="AO341" s="35"/>
      <c r="AP341" s="35"/>
      <c r="AQ341" s="37">
        <f t="shared" si="18"/>
        <v>0</v>
      </c>
      <c r="AR341" s="38">
        <f t="shared" si="19"/>
        <v>0</v>
      </c>
      <c r="AS341" s="39">
        <f t="shared" si="20"/>
        <v>0</v>
      </c>
      <c r="AT341" s="99"/>
      <c r="AU341" s="99" t="s">
        <v>1356</v>
      </c>
      <c r="AV341" s="99"/>
      <c r="AW341" s="100"/>
      <c r="AX341" s="99"/>
      <c r="AY341" s="101"/>
      <c r="AZ341" s="99"/>
      <c r="BA341" s="99" t="s">
        <v>1356</v>
      </c>
      <c r="BB341" s="99"/>
      <c r="BC341" s="101"/>
      <c r="BD341" s="99"/>
      <c r="BE341" s="101"/>
      <c r="BF341" s="99"/>
      <c r="BG341" s="99" t="s">
        <v>1356</v>
      </c>
      <c r="BH341" s="99"/>
      <c r="BI341" s="101"/>
      <c r="BJ341" s="99"/>
      <c r="BK341" s="101"/>
      <c r="BL341" s="99"/>
      <c r="BM341" s="99" t="s">
        <v>1356</v>
      </c>
      <c r="BN341" s="99"/>
      <c r="BO341" s="101"/>
      <c r="BP341" s="99"/>
      <c r="BQ341" s="101"/>
      <c r="BR341" s="99"/>
      <c r="BS341" s="99" t="s">
        <v>1356</v>
      </c>
      <c r="BT341" s="99"/>
      <c r="BU341" s="101"/>
      <c r="BV341" s="99"/>
      <c r="BW341" s="101"/>
      <c r="BX341" s="119"/>
      <c r="BY341" s="119" t="s">
        <v>1356</v>
      </c>
      <c r="BZ341" s="119"/>
      <c r="CA341" s="120"/>
      <c r="CB341" s="119"/>
      <c r="CC341" s="120"/>
      <c r="CD341" s="119"/>
      <c r="CE341" s="119" t="s">
        <v>1356</v>
      </c>
      <c r="CF341" s="119"/>
      <c r="CG341" s="120"/>
      <c r="CH341" s="119"/>
      <c r="CI341" s="120"/>
      <c r="CJ341" s="119"/>
      <c r="CK341" s="119" t="s">
        <v>1356</v>
      </c>
      <c r="CL341" s="119"/>
      <c r="CM341" s="120"/>
      <c r="CN341" s="119"/>
      <c r="CO341" s="120"/>
      <c r="CP341" s="119"/>
      <c r="CQ341" s="119" t="s">
        <v>1356</v>
      </c>
      <c r="CR341" s="119"/>
      <c r="CS341" s="120"/>
      <c r="CT341" s="119"/>
      <c r="CU341" s="120"/>
      <c r="CV341" s="119"/>
      <c r="CW341" s="119" t="s">
        <v>1356</v>
      </c>
      <c r="CX341" s="119"/>
      <c r="CY341" s="120"/>
      <c r="CZ341" s="119"/>
      <c r="DA341" s="120"/>
      <c r="DB341" s="128" t="s">
        <v>7085</v>
      </c>
      <c r="DC341" s="131" t="s">
        <v>105</v>
      </c>
    </row>
    <row r="342" spans="1:107" s="40" customFormat="1" ht="14.55" customHeight="1" x14ac:dyDescent="0.3">
      <c r="A342" s="35" t="s">
        <v>4108</v>
      </c>
      <c r="B342" s="35" t="s">
        <v>4117</v>
      </c>
      <c r="C342" s="35" t="s">
        <v>4118</v>
      </c>
      <c r="D342" s="35" t="s">
        <v>3312</v>
      </c>
      <c r="E342" s="35" t="s">
        <v>3313</v>
      </c>
      <c r="F342" s="35" t="s">
        <v>210</v>
      </c>
      <c r="G342" s="35" t="s">
        <v>404</v>
      </c>
      <c r="H342" s="27" t="s">
        <v>6930</v>
      </c>
      <c r="I342" s="62">
        <v>101</v>
      </c>
      <c r="J342" s="62">
        <v>10150</v>
      </c>
      <c r="K342" s="63">
        <v>3</v>
      </c>
      <c r="L342" s="35" t="s">
        <v>3314</v>
      </c>
      <c r="M342" s="35"/>
      <c r="N342" s="35" t="s">
        <v>3315</v>
      </c>
      <c r="O342" s="35"/>
      <c r="P342" s="35"/>
      <c r="Q342" s="35" t="s">
        <v>3316</v>
      </c>
      <c r="R342" s="35"/>
      <c r="S342" s="35" t="s">
        <v>3317</v>
      </c>
      <c r="T342" s="35"/>
      <c r="U342" s="35"/>
      <c r="V342" s="35"/>
      <c r="W342" s="35" t="s">
        <v>3318</v>
      </c>
      <c r="X342" s="35"/>
      <c r="Y342" s="35" t="s">
        <v>3319</v>
      </c>
      <c r="Z342" s="35"/>
      <c r="AA342" s="35"/>
      <c r="AB342" s="35"/>
      <c r="AC342" s="35"/>
      <c r="AD342" s="35"/>
      <c r="AE342" s="63">
        <v>2</v>
      </c>
      <c r="AF342" s="63" t="s">
        <v>64</v>
      </c>
      <c r="AG342" s="29" t="s">
        <v>65</v>
      </c>
      <c r="AH342" s="75"/>
      <c r="AI342" s="65" t="s">
        <v>66</v>
      </c>
      <c r="AJ342" s="32" t="s">
        <v>6938</v>
      </c>
      <c r="AK342" s="33" t="s">
        <v>67</v>
      </c>
      <c r="AL342" s="76">
        <v>45590</v>
      </c>
      <c r="AM342" s="35" t="s">
        <v>66</v>
      </c>
      <c r="AN342" s="35"/>
      <c r="AO342" s="35"/>
      <c r="AP342" s="35"/>
      <c r="AQ342" s="37">
        <f t="shared" si="18"/>
        <v>0</v>
      </c>
      <c r="AR342" s="38">
        <f t="shared" si="19"/>
        <v>0</v>
      </c>
      <c r="AS342" s="39">
        <f t="shared" si="20"/>
        <v>0</v>
      </c>
      <c r="AT342" s="99"/>
      <c r="AU342" s="99" t="s">
        <v>1356</v>
      </c>
      <c r="AV342" s="99"/>
      <c r="AW342" s="100"/>
      <c r="AX342" s="99"/>
      <c r="AY342" s="101"/>
      <c r="AZ342" s="99"/>
      <c r="BA342" s="99" t="s">
        <v>1356</v>
      </c>
      <c r="BB342" s="99"/>
      <c r="BC342" s="101"/>
      <c r="BD342" s="99"/>
      <c r="BE342" s="101"/>
      <c r="BF342" s="99"/>
      <c r="BG342" s="99" t="s">
        <v>1356</v>
      </c>
      <c r="BH342" s="99"/>
      <c r="BI342" s="101"/>
      <c r="BJ342" s="99"/>
      <c r="BK342" s="101"/>
      <c r="BL342" s="99"/>
      <c r="BM342" s="99" t="s">
        <v>1356</v>
      </c>
      <c r="BN342" s="99"/>
      <c r="BO342" s="101"/>
      <c r="BP342" s="99"/>
      <c r="BQ342" s="101"/>
      <c r="BR342" s="99"/>
      <c r="BS342" s="99" t="s">
        <v>1356</v>
      </c>
      <c r="BT342" s="99"/>
      <c r="BU342" s="101"/>
      <c r="BV342" s="99"/>
      <c r="BW342" s="101"/>
      <c r="BX342" s="119"/>
      <c r="BY342" s="119" t="s">
        <v>1356</v>
      </c>
      <c r="BZ342" s="119"/>
      <c r="CA342" s="120"/>
      <c r="CB342" s="119"/>
      <c r="CC342" s="120"/>
      <c r="CD342" s="119"/>
      <c r="CE342" s="119" t="s">
        <v>1356</v>
      </c>
      <c r="CF342" s="119"/>
      <c r="CG342" s="120"/>
      <c r="CH342" s="119"/>
      <c r="CI342" s="120"/>
      <c r="CJ342" s="119"/>
      <c r="CK342" s="119" t="s">
        <v>1356</v>
      </c>
      <c r="CL342" s="119"/>
      <c r="CM342" s="120"/>
      <c r="CN342" s="119"/>
      <c r="CO342" s="120"/>
      <c r="CP342" s="119"/>
      <c r="CQ342" s="119" t="s">
        <v>1356</v>
      </c>
      <c r="CR342" s="119"/>
      <c r="CS342" s="120"/>
      <c r="CT342" s="119"/>
      <c r="CU342" s="120"/>
      <c r="CV342" s="119"/>
      <c r="CW342" s="119" t="s">
        <v>1356</v>
      </c>
      <c r="CX342" s="119"/>
      <c r="CY342" s="120"/>
      <c r="CZ342" s="119"/>
      <c r="DA342" s="120"/>
      <c r="DB342" s="128" t="s">
        <v>7085</v>
      </c>
      <c r="DC342" s="131" t="s">
        <v>105</v>
      </c>
    </row>
    <row r="343" spans="1:107" s="40" customFormat="1" ht="14.55" customHeight="1" x14ac:dyDescent="0.3">
      <c r="A343" s="35" t="s">
        <v>4108</v>
      </c>
      <c r="B343" s="35" t="s">
        <v>4119</v>
      </c>
      <c r="C343" s="35" t="s">
        <v>4120</v>
      </c>
      <c r="D343" s="35" t="s">
        <v>3320</v>
      </c>
      <c r="E343" s="35" t="s">
        <v>70</v>
      </c>
      <c r="F343" s="35" t="s">
        <v>1329</v>
      </c>
      <c r="G343" s="35" t="s">
        <v>1688</v>
      </c>
      <c r="H343" s="27" t="s">
        <v>6931</v>
      </c>
      <c r="I343" s="62">
        <v>1114</v>
      </c>
      <c r="J343" s="62">
        <v>111450</v>
      </c>
      <c r="K343" s="63">
        <v>3</v>
      </c>
      <c r="L343" s="35" t="s">
        <v>3321</v>
      </c>
      <c r="M343" s="35" t="s">
        <v>810</v>
      </c>
      <c r="N343" s="35" t="s">
        <v>3322</v>
      </c>
      <c r="O343" s="35"/>
      <c r="P343" s="35"/>
      <c r="Q343" s="35"/>
      <c r="R343" s="35"/>
      <c r="S343" s="35"/>
      <c r="T343" s="35"/>
      <c r="U343" s="35"/>
      <c r="V343" s="35"/>
      <c r="W343" s="35" t="s">
        <v>3323</v>
      </c>
      <c r="X343" s="35"/>
      <c r="Y343" s="35" t="s">
        <v>3324</v>
      </c>
      <c r="Z343" s="35"/>
      <c r="AA343" s="35"/>
      <c r="AB343" s="35"/>
      <c r="AC343" s="35"/>
      <c r="AD343" s="35"/>
      <c r="AE343" s="63">
        <v>2</v>
      </c>
      <c r="AF343" s="63" t="s">
        <v>64</v>
      </c>
      <c r="AG343" s="29" t="s">
        <v>65</v>
      </c>
      <c r="AH343" s="75"/>
      <c r="AI343" s="65" t="s">
        <v>66</v>
      </c>
      <c r="AJ343" s="32" t="s">
        <v>6938</v>
      </c>
      <c r="AK343" s="33" t="s">
        <v>67</v>
      </c>
      <c r="AL343" s="76">
        <v>45582</v>
      </c>
      <c r="AM343" s="35" t="s">
        <v>66</v>
      </c>
      <c r="AN343" s="35"/>
      <c r="AO343" s="35"/>
      <c r="AP343" s="35"/>
      <c r="AQ343" s="37">
        <f t="shared" si="18"/>
        <v>0</v>
      </c>
      <c r="AR343" s="38">
        <f t="shared" si="19"/>
        <v>0</v>
      </c>
      <c r="AS343" s="39">
        <f t="shared" si="20"/>
        <v>0</v>
      </c>
      <c r="AT343" s="99"/>
      <c r="AU343" s="99" t="s">
        <v>1356</v>
      </c>
      <c r="AV343" s="99"/>
      <c r="AW343" s="100"/>
      <c r="AX343" s="99"/>
      <c r="AY343" s="101"/>
      <c r="AZ343" s="99"/>
      <c r="BA343" s="99" t="s">
        <v>1356</v>
      </c>
      <c r="BB343" s="99"/>
      <c r="BC343" s="101"/>
      <c r="BD343" s="99"/>
      <c r="BE343" s="101"/>
      <c r="BF343" s="99"/>
      <c r="BG343" s="99" t="s">
        <v>1356</v>
      </c>
      <c r="BH343" s="99"/>
      <c r="BI343" s="101"/>
      <c r="BJ343" s="99"/>
      <c r="BK343" s="101"/>
      <c r="BL343" s="99"/>
      <c r="BM343" s="99" t="s">
        <v>1356</v>
      </c>
      <c r="BN343" s="99"/>
      <c r="BO343" s="101"/>
      <c r="BP343" s="99"/>
      <c r="BQ343" s="101"/>
      <c r="BR343" s="99"/>
      <c r="BS343" s="99" t="s">
        <v>1356</v>
      </c>
      <c r="BT343" s="99"/>
      <c r="BU343" s="101"/>
      <c r="BV343" s="99"/>
      <c r="BW343" s="101"/>
      <c r="BX343" s="119"/>
      <c r="BY343" s="119" t="s">
        <v>1356</v>
      </c>
      <c r="BZ343" s="119"/>
      <c r="CA343" s="120"/>
      <c r="CB343" s="119"/>
      <c r="CC343" s="120"/>
      <c r="CD343" s="119"/>
      <c r="CE343" s="119" t="s">
        <v>1356</v>
      </c>
      <c r="CF343" s="119"/>
      <c r="CG343" s="120"/>
      <c r="CH343" s="119"/>
      <c r="CI343" s="120"/>
      <c r="CJ343" s="119"/>
      <c r="CK343" s="119" t="s">
        <v>1356</v>
      </c>
      <c r="CL343" s="119"/>
      <c r="CM343" s="120"/>
      <c r="CN343" s="119"/>
      <c r="CO343" s="120"/>
      <c r="CP343" s="119"/>
      <c r="CQ343" s="119" t="s">
        <v>1356</v>
      </c>
      <c r="CR343" s="119"/>
      <c r="CS343" s="120"/>
      <c r="CT343" s="119"/>
      <c r="CU343" s="120"/>
      <c r="CV343" s="119"/>
      <c r="CW343" s="119" t="s">
        <v>1356</v>
      </c>
      <c r="CX343" s="119"/>
      <c r="CY343" s="120"/>
      <c r="CZ343" s="119"/>
      <c r="DA343" s="120"/>
      <c r="DB343" s="128" t="s">
        <v>7085</v>
      </c>
      <c r="DC343" s="131" t="s">
        <v>105</v>
      </c>
    </row>
    <row r="344" spans="1:107" s="40" customFormat="1" ht="14.55" customHeight="1" x14ac:dyDescent="0.3">
      <c r="A344" s="35" t="s">
        <v>4108</v>
      </c>
      <c r="B344" s="35" t="s">
        <v>4121</v>
      </c>
      <c r="C344" s="35" t="s">
        <v>4122</v>
      </c>
      <c r="D344" s="35" t="s">
        <v>3325</v>
      </c>
      <c r="E344" s="35" t="s">
        <v>70</v>
      </c>
      <c r="F344" s="35" t="s">
        <v>1329</v>
      </c>
      <c r="G344" s="35" t="s">
        <v>2928</v>
      </c>
      <c r="H344" s="27" t="s">
        <v>6929</v>
      </c>
      <c r="I344" s="62">
        <v>701</v>
      </c>
      <c r="J344" s="62">
        <v>70150</v>
      </c>
      <c r="K344" s="63">
        <v>4</v>
      </c>
      <c r="L344" s="35" t="s">
        <v>3326</v>
      </c>
      <c r="M344" s="35" t="s">
        <v>3327</v>
      </c>
      <c r="N344" s="35"/>
      <c r="O344" s="35" t="s">
        <v>60</v>
      </c>
      <c r="P344" s="35"/>
      <c r="Q344" s="35"/>
      <c r="R344" s="35"/>
      <c r="S344" s="35"/>
      <c r="T344" s="35" t="s">
        <v>3328</v>
      </c>
      <c r="U344" s="35"/>
      <c r="V344" s="35" t="s">
        <v>260</v>
      </c>
      <c r="W344" s="35" t="s">
        <v>3329</v>
      </c>
      <c r="X344" s="35"/>
      <c r="Y344" s="35" t="s">
        <v>3330</v>
      </c>
      <c r="Z344" s="35"/>
      <c r="AA344" s="35"/>
      <c r="AB344" s="35"/>
      <c r="AC344" s="35"/>
      <c r="AD344" s="35"/>
      <c r="AE344" s="63">
        <v>2</v>
      </c>
      <c r="AF344" s="63" t="s">
        <v>64</v>
      </c>
      <c r="AG344" s="29" t="s">
        <v>65</v>
      </c>
      <c r="AH344" s="75"/>
      <c r="AI344" s="65" t="s">
        <v>65</v>
      </c>
      <c r="AJ344" s="32" t="s">
        <v>6938</v>
      </c>
      <c r="AK344" s="33" t="s">
        <v>92</v>
      </c>
      <c r="AL344" s="76">
        <v>45589</v>
      </c>
      <c r="AM344" s="35"/>
      <c r="AN344" s="35"/>
      <c r="AO344" s="35"/>
      <c r="AP344" s="35"/>
      <c r="AQ344" s="37">
        <f t="shared" si="18"/>
        <v>0</v>
      </c>
      <c r="AR344" s="38">
        <f t="shared" si="19"/>
        <v>0</v>
      </c>
      <c r="AS344" s="39">
        <f t="shared" si="20"/>
        <v>0</v>
      </c>
      <c r="AT344" s="99"/>
      <c r="AU344" s="99" t="s">
        <v>1356</v>
      </c>
      <c r="AV344" s="99"/>
      <c r="AW344" s="100"/>
      <c r="AX344" s="99"/>
      <c r="AY344" s="101"/>
      <c r="AZ344" s="99"/>
      <c r="BA344" s="99" t="s">
        <v>1356</v>
      </c>
      <c r="BB344" s="99"/>
      <c r="BC344" s="101"/>
      <c r="BD344" s="99"/>
      <c r="BE344" s="101"/>
      <c r="BF344" s="99"/>
      <c r="BG344" s="99" t="s">
        <v>1356</v>
      </c>
      <c r="BH344" s="99"/>
      <c r="BI344" s="101"/>
      <c r="BJ344" s="99"/>
      <c r="BK344" s="101"/>
      <c r="BL344" s="99"/>
      <c r="BM344" s="99" t="s">
        <v>1356</v>
      </c>
      <c r="BN344" s="99"/>
      <c r="BO344" s="101"/>
      <c r="BP344" s="99"/>
      <c r="BQ344" s="101"/>
      <c r="BR344" s="99"/>
      <c r="BS344" s="99" t="s">
        <v>1356</v>
      </c>
      <c r="BT344" s="99"/>
      <c r="BU344" s="101"/>
      <c r="BV344" s="99"/>
      <c r="BW344" s="101"/>
      <c r="BX344" s="119"/>
      <c r="BY344" s="119" t="s">
        <v>1356</v>
      </c>
      <c r="BZ344" s="119"/>
      <c r="CA344" s="120"/>
      <c r="CB344" s="119"/>
      <c r="CC344" s="120"/>
      <c r="CD344" s="119"/>
      <c r="CE344" s="119" t="s">
        <v>1356</v>
      </c>
      <c r="CF344" s="119"/>
      <c r="CG344" s="120"/>
      <c r="CH344" s="119"/>
      <c r="CI344" s="120"/>
      <c r="CJ344" s="119"/>
      <c r="CK344" s="119" t="s">
        <v>1356</v>
      </c>
      <c r="CL344" s="119"/>
      <c r="CM344" s="120"/>
      <c r="CN344" s="119"/>
      <c r="CO344" s="120"/>
      <c r="CP344" s="119"/>
      <c r="CQ344" s="119" t="s">
        <v>1356</v>
      </c>
      <c r="CR344" s="119"/>
      <c r="CS344" s="120"/>
      <c r="CT344" s="119"/>
      <c r="CU344" s="120"/>
      <c r="CV344" s="119"/>
      <c r="CW344" s="119" t="s">
        <v>1356</v>
      </c>
      <c r="CX344" s="119"/>
      <c r="CY344" s="120"/>
      <c r="CZ344" s="119"/>
      <c r="DA344" s="120"/>
      <c r="DB344" s="128" t="s">
        <v>7085</v>
      </c>
      <c r="DC344" s="131" t="s">
        <v>6751</v>
      </c>
    </row>
    <row r="345" spans="1:107" s="40" customFormat="1" ht="14.55" customHeight="1" x14ac:dyDescent="0.3">
      <c r="A345" s="35" t="s">
        <v>4108</v>
      </c>
      <c r="B345" s="35" t="s">
        <v>4123</v>
      </c>
      <c r="C345" s="35" t="s">
        <v>4124</v>
      </c>
      <c r="D345" s="35" t="s">
        <v>3331</v>
      </c>
      <c r="E345" s="35" t="s">
        <v>3332</v>
      </c>
      <c r="F345" s="35" t="s">
        <v>220</v>
      </c>
      <c r="G345" s="35" t="s">
        <v>404</v>
      </c>
      <c r="H345" s="27" t="s">
        <v>6930</v>
      </c>
      <c r="I345" s="62">
        <v>101</v>
      </c>
      <c r="J345" s="62">
        <v>10150</v>
      </c>
      <c r="K345" s="63">
        <v>3</v>
      </c>
      <c r="L345" s="35" t="s">
        <v>3223</v>
      </c>
      <c r="M345" s="35"/>
      <c r="N345" s="35" t="s">
        <v>3333</v>
      </c>
      <c r="O345" s="35"/>
      <c r="P345" s="35" t="s">
        <v>2236</v>
      </c>
      <c r="Q345" s="35"/>
      <c r="R345" s="35"/>
      <c r="S345" s="35"/>
      <c r="T345" s="35"/>
      <c r="U345" s="35"/>
      <c r="V345" s="35"/>
      <c r="W345" s="35" t="s">
        <v>3334</v>
      </c>
      <c r="X345" s="35"/>
      <c r="Y345" s="35"/>
      <c r="Z345" s="35"/>
      <c r="AA345" s="35"/>
      <c r="AB345" s="35"/>
      <c r="AC345" s="35"/>
      <c r="AD345" s="35"/>
      <c r="AE345" s="63">
        <v>2</v>
      </c>
      <c r="AF345" s="63" t="s">
        <v>64</v>
      </c>
      <c r="AG345" s="29" t="s">
        <v>65</v>
      </c>
      <c r="AH345" s="75"/>
      <c r="AI345" s="65" t="s">
        <v>66</v>
      </c>
      <c r="AJ345" s="32" t="s">
        <v>6938</v>
      </c>
      <c r="AK345" s="33" t="s">
        <v>67</v>
      </c>
      <c r="AL345" s="76">
        <v>45588</v>
      </c>
      <c r="AM345" s="35" t="s">
        <v>66</v>
      </c>
      <c r="AN345" s="35"/>
      <c r="AO345" s="35"/>
      <c r="AP345" s="35"/>
      <c r="AQ345" s="37">
        <f t="shared" si="18"/>
        <v>0</v>
      </c>
      <c r="AR345" s="38">
        <f t="shared" si="19"/>
        <v>0</v>
      </c>
      <c r="AS345" s="39">
        <f t="shared" si="20"/>
        <v>0</v>
      </c>
      <c r="AT345" s="99"/>
      <c r="AU345" s="99" t="s">
        <v>1356</v>
      </c>
      <c r="AV345" s="99"/>
      <c r="AW345" s="100"/>
      <c r="AX345" s="99"/>
      <c r="AY345" s="101"/>
      <c r="AZ345" s="99"/>
      <c r="BA345" s="99" t="s">
        <v>1356</v>
      </c>
      <c r="BB345" s="99"/>
      <c r="BC345" s="101"/>
      <c r="BD345" s="99"/>
      <c r="BE345" s="101"/>
      <c r="BF345" s="99"/>
      <c r="BG345" s="99" t="s">
        <v>1356</v>
      </c>
      <c r="BH345" s="99"/>
      <c r="BI345" s="101"/>
      <c r="BJ345" s="99"/>
      <c r="BK345" s="101"/>
      <c r="BL345" s="99"/>
      <c r="BM345" s="99" t="s">
        <v>1356</v>
      </c>
      <c r="BN345" s="99"/>
      <c r="BO345" s="101"/>
      <c r="BP345" s="99"/>
      <c r="BQ345" s="101"/>
      <c r="BR345" s="99"/>
      <c r="BS345" s="99" t="s">
        <v>1356</v>
      </c>
      <c r="BT345" s="99"/>
      <c r="BU345" s="101"/>
      <c r="BV345" s="99"/>
      <c r="BW345" s="101"/>
      <c r="BX345" s="119"/>
      <c r="BY345" s="119" t="s">
        <v>1356</v>
      </c>
      <c r="BZ345" s="119"/>
      <c r="CA345" s="120"/>
      <c r="CB345" s="119"/>
      <c r="CC345" s="120"/>
      <c r="CD345" s="119"/>
      <c r="CE345" s="119" t="s">
        <v>1356</v>
      </c>
      <c r="CF345" s="119"/>
      <c r="CG345" s="120"/>
      <c r="CH345" s="119"/>
      <c r="CI345" s="120"/>
      <c r="CJ345" s="119"/>
      <c r="CK345" s="119" t="s">
        <v>1356</v>
      </c>
      <c r="CL345" s="119"/>
      <c r="CM345" s="120"/>
      <c r="CN345" s="119"/>
      <c r="CO345" s="120"/>
      <c r="CP345" s="119"/>
      <c r="CQ345" s="119" t="s">
        <v>1356</v>
      </c>
      <c r="CR345" s="119"/>
      <c r="CS345" s="120"/>
      <c r="CT345" s="119"/>
      <c r="CU345" s="120"/>
      <c r="CV345" s="119"/>
      <c r="CW345" s="119" t="s">
        <v>1356</v>
      </c>
      <c r="CX345" s="119"/>
      <c r="CY345" s="120"/>
      <c r="CZ345" s="119"/>
      <c r="DA345" s="120"/>
      <c r="DB345" s="128" t="s">
        <v>7085</v>
      </c>
      <c r="DC345" s="131" t="s">
        <v>105</v>
      </c>
    </row>
    <row r="346" spans="1:107" s="40" customFormat="1" ht="14.55" customHeight="1" x14ac:dyDescent="0.3">
      <c r="A346" s="66" t="s">
        <v>3500</v>
      </c>
      <c r="B346" s="66" t="s">
        <v>3673</v>
      </c>
      <c r="C346" s="66" t="s">
        <v>3674</v>
      </c>
      <c r="D346" s="66" t="s">
        <v>987</v>
      </c>
      <c r="E346" s="66" t="s">
        <v>988</v>
      </c>
      <c r="F346" s="66" t="s">
        <v>243</v>
      </c>
      <c r="G346" s="68" t="s">
        <v>72</v>
      </c>
      <c r="H346" s="43" t="s">
        <v>251</v>
      </c>
      <c r="I346" s="68">
        <v>1701</v>
      </c>
      <c r="J346" s="68">
        <v>170150</v>
      </c>
      <c r="K346" s="69">
        <v>4</v>
      </c>
      <c r="L346" s="66" t="s">
        <v>859</v>
      </c>
      <c r="M346" s="66" t="s">
        <v>989</v>
      </c>
      <c r="N346" s="66" t="s">
        <v>990</v>
      </c>
      <c r="O346" s="66"/>
      <c r="P346" s="66"/>
      <c r="Q346" s="66"/>
      <c r="R346" s="66" t="s">
        <v>60</v>
      </c>
      <c r="S346" s="66"/>
      <c r="T346" s="66"/>
      <c r="U346" s="66" t="s">
        <v>851</v>
      </c>
      <c r="V346" s="66"/>
      <c r="W346" s="66" t="s">
        <v>991</v>
      </c>
      <c r="X346" s="66" t="s">
        <v>992</v>
      </c>
      <c r="Y346" s="66" t="s">
        <v>993</v>
      </c>
      <c r="Z346" s="66"/>
      <c r="AA346" s="66"/>
      <c r="AB346" s="66">
        <v>170150341</v>
      </c>
      <c r="AC346" s="66">
        <v>170150341001</v>
      </c>
      <c r="AD346" s="66">
        <v>170150341001003</v>
      </c>
      <c r="AE346" s="69">
        <v>5</v>
      </c>
      <c r="AF346" s="69" t="s">
        <v>772</v>
      </c>
      <c r="AG346" s="46" t="s">
        <v>66</v>
      </c>
      <c r="AH346" s="70" t="s">
        <v>994</v>
      </c>
      <c r="AI346" s="71" t="s">
        <v>66</v>
      </c>
      <c r="AJ346" s="49" t="s">
        <v>6938</v>
      </c>
      <c r="AK346" s="50" t="s">
        <v>67</v>
      </c>
      <c r="AL346" s="58">
        <v>45580</v>
      </c>
      <c r="AM346" s="52" t="s">
        <v>66</v>
      </c>
      <c r="AN346" s="52"/>
      <c r="AO346" s="52"/>
      <c r="AP346" s="52"/>
      <c r="AQ346" s="53">
        <f t="shared" si="18"/>
        <v>3</v>
      </c>
      <c r="AR346" s="54">
        <f t="shared" si="19"/>
        <v>0</v>
      </c>
      <c r="AS346" s="55">
        <f t="shared" si="20"/>
        <v>3</v>
      </c>
      <c r="AT346" s="102" t="s">
        <v>995</v>
      </c>
      <c r="AU346" s="103" t="s">
        <v>6710</v>
      </c>
      <c r="AV346" s="104">
        <v>41.39</v>
      </c>
      <c r="AW346" s="105">
        <v>45580</v>
      </c>
      <c r="AX346" s="104">
        <v>41.39</v>
      </c>
      <c r="AY346" s="106">
        <v>45609</v>
      </c>
      <c r="AZ346" s="102" t="s">
        <v>995</v>
      </c>
      <c r="BA346" s="103" t="s">
        <v>6710</v>
      </c>
      <c r="BB346" s="104">
        <v>45</v>
      </c>
      <c r="BC346" s="106">
        <v>45580</v>
      </c>
      <c r="BD346" s="104">
        <v>45</v>
      </c>
      <c r="BE346" s="106">
        <v>45609</v>
      </c>
      <c r="BF346" s="102" t="s">
        <v>995</v>
      </c>
      <c r="BG346" s="103" t="s">
        <v>6710</v>
      </c>
      <c r="BH346" s="104">
        <v>41.39</v>
      </c>
      <c r="BI346" s="106">
        <v>45580</v>
      </c>
      <c r="BJ346" s="104">
        <v>41.39</v>
      </c>
      <c r="BK346" s="106">
        <v>45609</v>
      </c>
      <c r="BL346" s="102"/>
      <c r="BM346" s="103" t="s">
        <v>1356</v>
      </c>
      <c r="BN346" s="104"/>
      <c r="BO346" s="106"/>
      <c r="BP346" s="104"/>
      <c r="BQ346" s="106"/>
      <c r="BR346" s="102"/>
      <c r="BS346" s="103" t="s">
        <v>1356</v>
      </c>
      <c r="BT346" s="104"/>
      <c r="BU346" s="106"/>
      <c r="BV346" s="104"/>
      <c r="BW346" s="106"/>
      <c r="BX346" s="121"/>
      <c r="BY346" s="122" t="s">
        <v>1356</v>
      </c>
      <c r="BZ346" s="123"/>
      <c r="CA346" s="124"/>
      <c r="CB346" s="123"/>
      <c r="CC346" s="124"/>
      <c r="CD346" s="121"/>
      <c r="CE346" s="122" t="s">
        <v>1356</v>
      </c>
      <c r="CF346" s="123"/>
      <c r="CG346" s="124"/>
      <c r="CH346" s="123"/>
      <c r="CI346" s="124"/>
      <c r="CJ346" s="121"/>
      <c r="CK346" s="122" t="s">
        <v>1356</v>
      </c>
      <c r="CL346" s="123"/>
      <c r="CM346" s="124"/>
      <c r="CN346" s="123"/>
      <c r="CO346" s="124"/>
      <c r="CP346" s="121"/>
      <c r="CQ346" s="122" t="s">
        <v>1356</v>
      </c>
      <c r="CR346" s="123"/>
      <c r="CS346" s="124"/>
      <c r="CT346" s="123"/>
      <c r="CU346" s="124"/>
      <c r="CV346" s="121"/>
      <c r="CW346" s="122" t="s">
        <v>1356</v>
      </c>
      <c r="CX346" s="123"/>
      <c r="CY346" s="124"/>
      <c r="CZ346" s="123"/>
      <c r="DA346" s="124"/>
      <c r="DB346" s="129" t="s">
        <v>6962</v>
      </c>
      <c r="DC346" s="129" t="s">
        <v>105</v>
      </c>
    </row>
    <row r="347" spans="1:107" s="40" customFormat="1" ht="14.55" customHeight="1" x14ac:dyDescent="0.3">
      <c r="A347" s="35" t="s">
        <v>4108</v>
      </c>
      <c r="B347" s="35" t="s">
        <v>4126</v>
      </c>
      <c r="C347" s="35" t="s">
        <v>4127</v>
      </c>
      <c r="D347" s="35" t="s">
        <v>2903</v>
      </c>
      <c r="E347" s="35"/>
      <c r="F347" s="35" t="s">
        <v>651</v>
      </c>
      <c r="G347" s="35" t="s">
        <v>404</v>
      </c>
      <c r="H347" s="27" t="s">
        <v>6930</v>
      </c>
      <c r="I347" s="62">
        <v>101</v>
      </c>
      <c r="J347" s="62">
        <v>10162</v>
      </c>
      <c r="K347" s="63">
        <v>4</v>
      </c>
      <c r="L347" s="35" t="s">
        <v>2904</v>
      </c>
      <c r="M347" s="35"/>
      <c r="N347" s="35" t="s">
        <v>2905</v>
      </c>
      <c r="O347" s="35"/>
      <c r="P347" s="35"/>
      <c r="Q347" s="35"/>
      <c r="R347" s="35" t="s">
        <v>60</v>
      </c>
      <c r="S347" s="35"/>
      <c r="T347" s="35"/>
      <c r="U347" s="35" t="s">
        <v>2906</v>
      </c>
      <c r="V347" s="35"/>
      <c r="W347" s="35" t="s">
        <v>2907</v>
      </c>
      <c r="X347" s="35" t="s">
        <v>2908</v>
      </c>
      <c r="Y347" s="35" t="s">
        <v>2909</v>
      </c>
      <c r="Z347" s="35">
        <v>-78.967045694589615</v>
      </c>
      <c r="AA347" s="35">
        <v>-2.864542250456235</v>
      </c>
      <c r="AB347" s="35">
        <v>10162003</v>
      </c>
      <c r="AC347" s="35">
        <v>10162003006</v>
      </c>
      <c r="AD347" s="35">
        <v>10162003006004</v>
      </c>
      <c r="AE347" s="63">
        <v>2</v>
      </c>
      <c r="AF347" s="63" t="s">
        <v>64</v>
      </c>
      <c r="AG347" s="29" t="s">
        <v>65</v>
      </c>
      <c r="AH347" s="75"/>
      <c r="AI347" s="65" t="s">
        <v>66</v>
      </c>
      <c r="AJ347" s="32" t="s">
        <v>6938</v>
      </c>
      <c r="AK347" s="33" t="s">
        <v>67</v>
      </c>
      <c r="AL347" s="76">
        <v>45574</v>
      </c>
      <c r="AM347" s="35" t="s">
        <v>66</v>
      </c>
      <c r="AN347" s="35"/>
      <c r="AO347" s="35"/>
      <c r="AP347" s="35"/>
      <c r="AQ347" s="37">
        <f t="shared" si="18"/>
        <v>0</v>
      </c>
      <c r="AR347" s="38">
        <f t="shared" si="19"/>
        <v>0</v>
      </c>
      <c r="AS347" s="39">
        <f t="shared" si="20"/>
        <v>0</v>
      </c>
      <c r="AT347" s="99"/>
      <c r="AU347" s="99" t="s">
        <v>1356</v>
      </c>
      <c r="AV347" s="99"/>
      <c r="AW347" s="100"/>
      <c r="AX347" s="99"/>
      <c r="AY347" s="101"/>
      <c r="AZ347" s="99"/>
      <c r="BA347" s="99" t="s">
        <v>1356</v>
      </c>
      <c r="BB347" s="99"/>
      <c r="BC347" s="101"/>
      <c r="BD347" s="99"/>
      <c r="BE347" s="101"/>
      <c r="BF347" s="99"/>
      <c r="BG347" s="99" t="s">
        <v>1356</v>
      </c>
      <c r="BH347" s="99"/>
      <c r="BI347" s="101"/>
      <c r="BJ347" s="99"/>
      <c r="BK347" s="101"/>
      <c r="BL347" s="99"/>
      <c r="BM347" s="99" t="s">
        <v>1356</v>
      </c>
      <c r="BN347" s="99"/>
      <c r="BO347" s="101"/>
      <c r="BP347" s="99"/>
      <c r="BQ347" s="101"/>
      <c r="BR347" s="99"/>
      <c r="BS347" s="99" t="s">
        <v>1356</v>
      </c>
      <c r="BT347" s="99"/>
      <c r="BU347" s="101"/>
      <c r="BV347" s="99"/>
      <c r="BW347" s="101"/>
      <c r="BX347" s="119"/>
      <c r="BY347" s="119" t="s">
        <v>1356</v>
      </c>
      <c r="BZ347" s="119"/>
      <c r="CA347" s="120"/>
      <c r="CB347" s="119"/>
      <c r="CC347" s="120"/>
      <c r="CD347" s="119"/>
      <c r="CE347" s="119" t="s">
        <v>1356</v>
      </c>
      <c r="CF347" s="119"/>
      <c r="CG347" s="120"/>
      <c r="CH347" s="119"/>
      <c r="CI347" s="120"/>
      <c r="CJ347" s="119"/>
      <c r="CK347" s="119" t="s">
        <v>1356</v>
      </c>
      <c r="CL347" s="119"/>
      <c r="CM347" s="120"/>
      <c r="CN347" s="119"/>
      <c r="CO347" s="120"/>
      <c r="CP347" s="119"/>
      <c r="CQ347" s="119" t="s">
        <v>1356</v>
      </c>
      <c r="CR347" s="119"/>
      <c r="CS347" s="120"/>
      <c r="CT347" s="119"/>
      <c r="CU347" s="120"/>
      <c r="CV347" s="119"/>
      <c r="CW347" s="119" t="s">
        <v>1356</v>
      </c>
      <c r="CX347" s="119"/>
      <c r="CY347" s="120"/>
      <c r="CZ347" s="119"/>
      <c r="DA347" s="120"/>
      <c r="DB347" s="128" t="s">
        <v>7085</v>
      </c>
      <c r="DC347" s="131" t="s">
        <v>105</v>
      </c>
    </row>
    <row r="348" spans="1:107" s="40" customFormat="1" ht="14.55" customHeight="1" x14ac:dyDescent="0.3">
      <c r="A348" s="66" t="s">
        <v>3500</v>
      </c>
      <c r="B348" s="66" t="s">
        <v>3675</v>
      </c>
      <c r="C348" s="66" t="s">
        <v>3676</v>
      </c>
      <c r="D348" s="66" t="s">
        <v>996</v>
      </c>
      <c r="E348" s="66" t="s">
        <v>997</v>
      </c>
      <c r="F348" s="66" t="s">
        <v>265</v>
      </c>
      <c r="G348" s="68" t="s">
        <v>72</v>
      </c>
      <c r="H348" s="43" t="s">
        <v>251</v>
      </c>
      <c r="I348" s="68">
        <v>1701</v>
      </c>
      <c r="J348" s="68">
        <v>170150</v>
      </c>
      <c r="K348" s="69">
        <v>4</v>
      </c>
      <c r="L348" s="66" t="s">
        <v>998</v>
      </c>
      <c r="M348" s="66" t="s">
        <v>999</v>
      </c>
      <c r="N348" s="66" t="s">
        <v>1000</v>
      </c>
      <c r="O348" s="66"/>
      <c r="P348" s="66"/>
      <c r="Q348" s="66"/>
      <c r="R348" s="66" t="s">
        <v>60</v>
      </c>
      <c r="S348" s="66"/>
      <c r="T348" s="66"/>
      <c r="U348" s="66" t="s">
        <v>1001</v>
      </c>
      <c r="V348" s="66"/>
      <c r="W348" s="66" t="s">
        <v>1002</v>
      </c>
      <c r="X348" s="66" t="s">
        <v>1003</v>
      </c>
      <c r="Y348" s="66" t="s">
        <v>1004</v>
      </c>
      <c r="Z348" s="66"/>
      <c r="AA348" s="66"/>
      <c r="AB348" s="66">
        <v>170150497</v>
      </c>
      <c r="AC348" s="66">
        <v>170150497008</v>
      </c>
      <c r="AD348" s="66">
        <v>170150497008003</v>
      </c>
      <c r="AE348" s="69">
        <v>5</v>
      </c>
      <c r="AF348" s="69" t="s">
        <v>772</v>
      </c>
      <c r="AG348" s="46" t="s">
        <v>66</v>
      </c>
      <c r="AH348" s="70" t="s">
        <v>1005</v>
      </c>
      <c r="AI348" s="71" t="s">
        <v>66</v>
      </c>
      <c r="AJ348" s="49" t="s">
        <v>6938</v>
      </c>
      <c r="AK348" s="50" t="s">
        <v>67</v>
      </c>
      <c r="AL348" s="58">
        <v>45580</v>
      </c>
      <c r="AM348" s="52" t="s">
        <v>66</v>
      </c>
      <c r="AN348" s="52"/>
      <c r="AO348" s="52"/>
      <c r="AP348" s="52"/>
      <c r="AQ348" s="53">
        <f t="shared" si="18"/>
        <v>3</v>
      </c>
      <c r="AR348" s="54">
        <f t="shared" si="19"/>
        <v>0</v>
      </c>
      <c r="AS348" s="55">
        <f t="shared" si="20"/>
        <v>3</v>
      </c>
      <c r="AT348" s="102" t="s">
        <v>1006</v>
      </c>
      <c r="AU348" s="103" t="s">
        <v>1798</v>
      </c>
      <c r="AV348" s="104">
        <v>311.22000000000003</v>
      </c>
      <c r="AW348" s="105">
        <v>45580</v>
      </c>
      <c r="AX348" s="104">
        <v>311.22000000000003</v>
      </c>
      <c r="AY348" s="106">
        <v>45609</v>
      </c>
      <c r="AZ348" s="102" t="s">
        <v>1006</v>
      </c>
      <c r="BA348" s="103" t="s">
        <v>1798</v>
      </c>
      <c r="BB348" s="104">
        <v>288.39999999999998</v>
      </c>
      <c r="BC348" s="106">
        <v>45580</v>
      </c>
      <c r="BD348" s="104">
        <v>288.39999999999998</v>
      </c>
      <c r="BE348" s="106">
        <v>45609</v>
      </c>
      <c r="BF348" s="102" t="s">
        <v>1006</v>
      </c>
      <c r="BG348" s="103" t="s">
        <v>1798</v>
      </c>
      <c r="BH348" s="104">
        <v>314.88</v>
      </c>
      <c r="BI348" s="106">
        <v>45580</v>
      </c>
      <c r="BJ348" s="104">
        <v>314.88</v>
      </c>
      <c r="BK348" s="106">
        <v>45609</v>
      </c>
      <c r="BL348" s="102"/>
      <c r="BM348" s="103" t="s">
        <v>1356</v>
      </c>
      <c r="BN348" s="104"/>
      <c r="BO348" s="106"/>
      <c r="BP348" s="104"/>
      <c r="BQ348" s="106"/>
      <c r="BR348" s="102"/>
      <c r="BS348" s="103" t="s">
        <v>1356</v>
      </c>
      <c r="BT348" s="104"/>
      <c r="BU348" s="106"/>
      <c r="BV348" s="104"/>
      <c r="BW348" s="106"/>
      <c r="BX348" s="121"/>
      <c r="BY348" s="122" t="s">
        <v>1356</v>
      </c>
      <c r="BZ348" s="123"/>
      <c r="CA348" s="124"/>
      <c r="CB348" s="123"/>
      <c r="CC348" s="124"/>
      <c r="CD348" s="121"/>
      <c r="CE348" s="122" t="s">
        <v>1356</v>
      </c>
      <c r="CF348" s="123"/>
      <c r="CG348" s="124"/>
      <c r="CH348" s="123"/>
      <c r="CI348" s="124"/>
      <c r="CJ348" s="121"/>
      <c r="CK348" s="122" t="s">
        <v>1356</v>
      </c>
      <c r="CL348" s="123"/>
      <c r="CM348" s="124"/>
      <c r="CN348" s="123"/>
      <c r="CO348" s="124"/>
      <c r="CP348" s="121"/>
      <c r="CQ348" s="122" t="s">
        <v>1356</v>
      </c>
      <c r="CR348" s="123"/>
      <c r="CS348" s="124"/>
      <c r="CT348" s="123"/>
      <c r="CU348" s="124"/>
      <c r="CV348" s="121"/>
      <c r="CW348" s="122" t="s">
        <v>1356</v>
      </c>
      <c r="CX348" s="123"/>
      <c r="CY348" s="124"/>
      <c r="CZ348" s="123"/>
      <c r="DA348" s="124"/>
      <c r="DB348" s="129" t="s">
        <v>6962</v>
      </c>
      <c r="DC348" s="129" t="s">
        <v>105</v>
      </c>
    </row>
    <row r="349" spans="1:107" s="40" customFormat="1" ht="14.55" customHeight="1" x14ac:dyDescent="0.3">
      <c r="A349" s="35" t="s">
        <v>4108</v>
      </c>
      <c r="B349" s="35" t="s">
        <v>4130</v>
      </c>
      <c r="C349" s="35" t="s">
        <v>4131</v>
      </c>
      <c r="D349" s="35" t="s">
        <v>2918</v>
      </c>
      <c r="E349" s="35" t="s">
        <v>70</v>
      </c>
      <c r="F349" s="35" t="s">
        <v>439</v>
      </c>
      <c r="G349" s="35" t="s">
        <v>404</v>
      </c>
      <c r="H349" s="27" t="s">
        <v>6930</v>
      </c>
      <c r="I349" s="62">
        <v>101</v>
      </c>
      <c r="J349" s="62">
        <v>10150</v>
      </c>
      <c r="K349" s="63">
        <v>4</v>
      </c>
      <c r="L349" s="35" t="s">
        <v>2919</v>
      </c>
      <c r="M349" s="35" t="s">
        <v>258</v>
      </c>
      <c r="N349" s="35" t="s">
        <v>2920</v>
      </c>
      <c r="O349" s="35"/>
      <c r="P349" s="35"/>
      <c r="Q349" s="35"/>
      <c r="R349" s="35"/>
      <c r="S349" s="35"/>
      <c r="T349" s="35"/>
      <c r="U349" s="35"/>
      <c r="V349" s="35"/>
      <c r="W349" s="35" t="s">
        <v>2921</v>
      </c>
      <c r="X349" s="35"/>
      <c r="Y349" s="35" t="s">
        <v>2922</v>
      </c>
      <c r="Z349" s="35"/>
      <c r="AA349" s="35"/>
      <c r="AB349" s="35"/>
      <c r="AC349" s="35"/>
      <c r="AD349" s="35"/>
      <c r="AE349" s="63">
        <v>2</v>
      </c>
      <c r="AF349" s="63" t="s">
        <v>64</v>
      </c>
      <c r="AG349" s="29" t="s">
        <v>65</v>
      </c>
      <c r="AH349" s="75"/>
      <c r="AI349" s="65" t="s">
        <v>65</v>
      </c>
      <c r="AJ349" s="32" t="s">
        <v>6938</v>
      </c>
      <c r="AK349" s="33" t="s">
        <v>92</v>
      </c>
      <c r="AL349" s="76">
        <v>45573</v>
      </c>
      <c r="AM349" s="35"/>
      <c r="AN349" s="35"/>
      <c r="AO349" s="35"/>
      <c r="AP349" s="35"/>
      <c r="AQ349" s="37">
        <f t="shared" si="18"/>
        <v>0</v>
      </c>
      <c r="AR349" s="38">
        <f t="shared" si="19"/>
        <v>0</v>
      </c>
      <c r="AS349" s="39">
        <f t="shared" si="20"/>
        <v>0</v>
      </c>
      <c r="AT349" s="99"/>
      <c r="AU349" s="99" t="s">
        <v>1356</v>
      </c>
      <c r="AV349" s="99"/>
      <c r="AW349" s="100"/>
      <c r="AX349" s="99"/>
      <c r="AY349" s="101"/>
      <c r="AZ349" s="99"/>
      <c r="BA349" s="99" t="s">
        <v>1356</v>
      </c>
      <c r="BB349" s="99"/>
      <c r="BC349" s="101"/>
      <c r="BD349" s="99"/>
      <c r="BE349" s="101"/>
      <c r="BF349" s="99"/>
      <c r="BG349" s="99" t="s">
        <v>1356</v>
      </c>
      <c r="BH349" s="99"/>
      <c r="BI349" s="101"/>
      <c r="BJ349" s="99"/>
      <c r="BK349" s="101"/>
      <c r="BL349" s="99"/>
      <c r="BM349" s="99" t="s">
        <v>1356</v>
      </c>
      <c r="BN349" s="99"/>
      <c r="BO349" s="101"/>
      <c r="BP349" s="99"/>
      <c r="BQ349" s="101"/>
      <c r="BR349" s="99"/>
      <c r="BS349" s="99" t="s">
        <v>1356</v>
      </c>
      <c r="BT349" s="99"/>
      <c r="BU349" s="101"/>
      <c r="BV349" s="99"/>
      <c r="BW349" s="101"/>
      <c r="BX349" s="119"/>
      <c r="BY349" s="119" t="s">
        <v>1356</v>
      </c>
      <c r="BZ349" s="119"/>
      <c r="CA349" s="120"/>
      <c r="CB349" s="119"/>
      <c r="CC349" s="120"/>
      <c r="CD349" s="119"/>
      <c r="CE349" s="119" t="s">
        <v>1356</v>
      </c>
      <c r="CF349" s="119"/>
      <c r="CG349" s="120"/>
      <c r="CH349" s="119"/>
      <c r="CI349" s="120"/>
      <c r="CJ349" s="119"/>
      <c r="CK349" s="119" t="s">
        <v>1356</v>
      </c>
      <c r="CL349" s="119"/>
      <c r="CM349" s="120"/>
      <c r="CN349" s="119"/>
      <c r="CO349" s="120"/>
      <c r="CP349" s="119"/>
      <c r="CQ349" s="119" t="s">
        <v>1356</v>
      </c>
      <c r="CR349" s="119"/>
      <c r="CS349" s="120"/>
      <c r="CT349" s="119"/>
      <c r="CU349" s="120"/>
      <c r="CV349" s="119"/>
      <c r="CW349" s="119" t="s">
        <v>1356</v>
      </c>
      <c r="CX349" s="119"/>
      <c r="CY349" s="120"/>
      <c r="CZ349" s="119"/>
      <c r="DA349" s="120"/>
      <c r="DB349" s="128" t="s">
        <v>7085</v>
      </c>
      <c r="DC349" s="131" t="s">
        <v>92</v>
      </c>
    </row>
    <row r="350" spans="1:107" s="40" customFormat="1" ht="14.55" customHeight="1" x14ac:dyDescent="0.3">
      <c r="A350" s="66" t="s">
        <v>3500</v>
      </c>
      <c r="B350" s="66" t="s">
        <v>3679</v>
      </c>
      <c r="C350" s="66" t="s">
        <v>3680</v>
      </c>
      <c r="D350" s="66" t="s">
        <v>1015</v>
      </c>
      <c r="E350" s="66" t="s">
        <v>1016</v>
      </c>
      <c r="F350" s="66" t="s">
        <v>327</v>
      </c>
      <c r="G350" s="68" t="s">
        <v>72</v>
      </c>
      <c r="H350" s="43" t="s">
        <v>251</v>
      </c>
      <c r="I350" s="68">
        <v>1701</v>
      </c>
      <c r="J350" s="68">
        <v>170155</v>
      </c>
      <c r="K350" s="69">
        <v>4</v>
      </c>
      <c r="L350" s="66" t="s">
        <v>1017</v>
      </c>
      <c r="M350" s="66" t="s">
        <v>1018</v>
      </c>
      <c r="N350" s="66" t="s">
        <v>1019</v>
      </c>
      <c r="O350" s="66"/>
      <c r="P350" s="66"/>
      <c r="Q350" s="66" t="s">
        <v>1016</v>
      </c>
      <c r="R350" s="66" t="s">
        <v>60</v>
      </c>
      <c r="S350" s="66"/>
      <c r="T350" s="66"/>
      <c r="U350" s="66" t="s">
        <v>1020</v>
      </c>
      <c r="V350" s="66"/>
      <c r="W350" s="66" t="s">
        <v>1021</v>
      </c>
      <c r="X350" s="66" t="s">
        <v>1022</v>
      </c>
      <c r="Y350" s="66" t="s">
        <v>1023</v>
      </c>
      <c r="Z350" s="66"/>
      <c r="AA350" s="66"/>
      <c r="AB350" s="66">
        <v>170155044</v>
      </c>
      <c r="AC350" s="66">
        <v>170155044007</v>
      </c>
      <c r="AD350" s="66">
        <v>170155044007004</v>
      </c>
      <c r="AE350" s="69">
        <v>5</v>
      </c>
      <c r="AF350" s="69" t="s">
        <v>772</v>
      </c>
      <c r="AG350" s="46" t="s">
        <v>66</v>
      </c>
      <c r="AH350" s="70" t="s">
        <v>1024</v>
      </c>
      <c r="AI350" s="71" t="s">
        <v>66</v>
      </c>
      <c r="AJ350" s="49" t="s">
        <v>6938</v>
      </c>
      <c r="AK350" s="50" t="s">
        <v>67</v>
      </c>
      <c r="AL350" s="58">
        <v>45580</v>
      </c>
      <c r="AM350" s="52" t="s">
        <v>66</v>
      </c>
      <c r="AN350" s="52"/>
      <c r="AO350" s="52"/>
      <c r="AP350" s="52"/>
      <c r="AQ350" s="53">
        <f t="shared" si="18"/>
        <v>2</v>
      </c>
      <c r="AR350" s="54">
        <f t="shared" si="19"/>
        <v>0</v>
      </c>
      <c r="AS350" s="55">
        <f t="shared" si="20"/>
        <v>2</v>
      </c>
      <c r="AT350" s="102" t="s">
        <v>1025</v>
      </c>
      <c r="AU350" s="103" t="s">
        <v>6711</v>
      </c>
      <c r="AV350" s="104">
        <v>612.96</v>
      </c>
      <c r="AW350" s="105">
        <v>45580</v>
      </c>
      <c r="AX350" s="104">
        <v>612.96</v>
      </c>
      <c r="AY350" s="106">
        <v>45609</v>
      </c>
      <c r="AZ350" s="102" t="s">
        <v>949</v>
      </c>
      <c r="BA350" s="103" t="s">
        <v>6707</v>
      </c>
      <c r="BB350" s="104">
        <v>20.89</v>
      </c>
      <c r="BC350" s="106">
        <v>45580</v>
      </c>
      <c r="BD350" s="104">
        <v>20.89</v>
      </c>
      <c r="BE350" s="106">
        <v>45609</v>
      </c>
      <c r="BF350" s="102"/>
      <c r="BG350" s="103" t="s">
        <v>1356</v>
      </c>
      <c r="BH350" s="104"/>
      <c r="BI350" s="106"/>
      <c r="BJ350" s="104"/>
      <c r="BK350" s="106"/>
      <c r="BL350" s="102"/>
      <c r="BM350" s="103" t="s">
        <v>1356</v>
      </c>
      <c r="BN350" s="104"/>
      <c r="BO350" s="106"/>
      <c r="BP350" s="104"/>
      <c r="BQ350" s="106"/>
      <c r="BR350" s="102"/>
      <c r="BS350" s="103" t="s">
        <v>1356</v>
      </c>
      <c r="BT350" s="104"/>
      <c r="BU350" s="106"/>
      <c r="BV350" s="104"/>
      <c r="BW350" s="106"/>
      <c r="BX350" s="121"/>
      <c r="BY350" s="122" t="s">
        <v>1356</v>
      </c>
      <c r="BZ350" s="123"/>
      <c r="CA350" s="124"/>
      <c r="CB350" s="123"/>
      <c r="CC350" s="124"/>
      <c r="CD350" s="121"/>
      <c r="CE350" s="122" t="s">
        <v>1356</v>
      </c>
      <c r="CF350" s="123"/>
      <c r="CG350" s="124"/>
      <c r="CH350" s="123"/>
      <c r="CI350" s="124"/>
      <c r="CJ350" s="121"/>
      <c r="CK350" s="122" t="s">
        <v>1356</v>
      </c>
      <c r="CL350" s="123"/>
      <c r="CM350" s="124"/>
      <c r="CN350" s="123"/>
      <c r="CO350" s="124"/>
      <c r="CP350" s="121"/>
      <c r="CQ350" s="122" t="s">
        <v>1356</v>
      </c>
      <c r="CR350" s="123"/>
      <c r="CS350" s="124"/>
      <c r="CT350" s="123"/>
      <c r="CU350" s="124"/>
      <c r="CV350" s="121"/>
      <c r="CW350" s="122" t="s">
        <v>1356</v>
      </c>
      <c r="CX350" s="123"/>
      <c r="CY350" s="124"/>
      <c r="CZ350" s="123"/>
      <c r="DA350" s="124"/>
      <c r="DB350" s="129" t="s">
        <v>6962</v>
      </c>
      <c r="DC350" s="129" t="s">
        <v>105</v>
      </c>
    </row>
    <row r="351" spans="1:107" s="40" customFormat="1" ht="14.55" customHeight="1" x14ac:dyDescent="0.3">
      <c r="A351" s="35" t="s">
        <v>4108</v>
      </c>
      <c r="B351" s="35" t="s">
        <v>4133</v>
      </c>
      <c r="C351" s="35" t="s">
        <v>4134</v>
      </c>
      <c r="D351" s="35" t="s">
        <v>2927</v>
      </c>
      <c r="E351" s="35" t="s">
        <v>70</v>
      </c>
      <c r="F351" s="35" t="s">
        <v>243</v>
      </c>
      <c r="G351" s="35" t="s">
        <v>2928</v>
      </c>
      <c r="H351" s="27" t="s">
        <v>6929</v>
      </c>
      <c r="I351" s="62">
        <v>701</v>
      </c>
      <c r="J351" s="62">
        <v>70150</v>
      </c>
      <c r="K351" s="63">
        <v>4</v>
      </c>
      <c r="L351" s="35" t="s">
        <v>2929</v>
      </c>
      <c r="M351" s="35" t="s">
        <v>2930</v>
      </c>
      <c r="N351" s="35" t="s">
        <v>2931</v>
      </c>
      <c r="O351" s="35"/>
      <c r="P351" s="35"/>
      <c r="Q351" s="35" t="s">
        <v>2932</v>
      </c>
      <c r="R351" s="35" t="s">
        <v>60</v>
      </c>
      <c r="S351" s="35" t="s">
        <v>2930</v>
      </c>
      <c r="T351" s="35"/>
      <c r="U351" s="35"/>
      <c r="V351" s="35"/>
      <c r="W351" s="35" t="s">
        <v>2933</v>
      </c>
      <c r="X351" s="35"/>
      <c r="Y351" s="35" t="s">
        <v>2934</v>
      </c>
      <c r="Z351" s="35"/>
      <c r="AA351" s="35"/>
      <c r="AB351" s="35"/>
      <c r="AC351" s="35"/>
      <c r="AD351" s="35"/>
      <c r="AE351" s="63">
        <v>2</v>
      </c>
      <c r="AF351" s="63" t="s">
        <v>64</v>
      </c>
      <c r="AG351" s="29" t="s">
        <v>65</v>
      </c>
      <c r="AH351" s="75"/>
      <c r="AI351" s="65" t="s">
        <v>66</v>
      </c>
      <c r="AJ351" s="32" t="s">
        <v>6938</v>
      </c>
      <c r="AK351" s="33" t="s">
        <v>67</v>
      </c>
      <c r="AL351" s="76">
        <v>45588</v>
      </c>
      <c r="AM351" s="35" t="s">
        <v>66</v>
      </c>
      <c r="AN351" s="35"/>
      <c r="AO351" s="35"/>
      <c r="AP351" s="35"/>
      <c r="AQ351" s="37">
        <f t="shared" si="18"/>
        <v>0</v>
      </c>
      <c r="AR351" s="38">
        <f t="shared" si="19"/>
        <v>0</v>
      </c>
      <c r="AS351" s="39">
        <f t="shared" si="20"/>
        <v>0</v>
      </c>
      <c r="AT351" s="99"/>
      <c r="AU351" s="99" t="s">
        <v>1356</v>
      </c>
      <c r="AV351" s="99"/>
      <c r="AW351" s="100"/>
      <c r="AX351" s="99"/>
      <c r="AY351" s="101"/>
      <c r="AZ351" s="99"/>
      <c r="BA351" s="99" t="s">
        <v>1356</v>
      </c>
      <c r="BB351" s="99"/>
      <c r="BC351" s="101"/>
      <c r="BD351" s="99"/>
      <c r="BE351" s="101"/>
      <c r="BF351" s="99"/>
      <c r="BG351" s="99" t="s">
        <v>1356</v>
      </c>
      <c r="BH351" s="99"/>
      <c r="BI351" s="101"/>
      <c r="BJ351" s="99"/>
      <c r="BK351" s="101"/>
      <c r="BL351" s="99"/>
      <c r="BM351" s="99" t="s">
        <v>1356</v>
      </c>
      <c r="BN351" s="99"/>
      <c r="BO351" s="101"/>
      <c r="BP351" s="99"/>
      <c r="BQ351" s="101"/>
      <c r="BR351" s="99"/>
      <c r="BS351" s="99" t="s">
        <v>1356</v>
      </c>
      <c r="BT351" s="99"/>
      <c r="BU351" s="101"/>
      <c r="BV351" s="99"/>
      <c r="BW351" s="101"/>
      <c r="BX351" s="119"/>
      <c r="BY351" s="119" t="s">
        <v>1356</v>
      </c>
      <c r="BZ351" s="119"/>
      <c r="CA351" s="120"/>
      <c r="CB351" s="119"/>
      <c r="CC351" s="120"/>
      <c r="CD351" s="119"/>
      <c r="CE351" s="119" t="s">
        <v>1356</v>
      </c>
      <c r="CF351" s="119"/>
      <c r="CG351" s="120"/>
      <c r="CH351" s="119"/>
      <c r="CI351" s="120"/>
      <c r="CJ351" s="119"/>
      <c r="CK351" s="119" t="s">
        <v>1356</v>
      </c>
      <c r="CL351" s="119"/>
      <c r="CM351" s="120"/>
      <c r="CN351" s="119"/>
      <c r="CO351" s="120"/>
      <c r="CP351" s="119"/>
      <c r="CQ351" s="119" t="s">
        <v>1356</v>
      </c>
      <c r="CR351" s="119"/>
      <c r="CS351" s="120"/>
      <c r="CT351" s="119"/>
      <c r="CU351" s="120"/>
      <c r="CV351" s="119"/>
      <c r="CW351" s="119" t="s">
        <v>1356</v>
      </c>
      <c r="CX351" s="119"/>
      <c r="CY351" s="120"/>
      <c r="CZ351" s="119"/>
      <c r="DA351" s="120"/>
      <c r="DB351" s="128" t="s">
        <v>7085</v>
      </c>
      <c r="DC351" s="131" t="s">
        <v>2935</v>
      </c>
    </row>
    <row r="352" spans="1:107" s="40" customFormat="1" ht="14.55" customHeight="1" x14ac:dyDescent="0.3">
      <c r="A352" s="66" t="s">
        <v>3500</v>
      </c>
      <c r="B352" s="66" t="s">
        <v>3681</v>
      </c>
      <c r="C352" s="66" t="s">
        <v>3682</v>
      </c>
      <c r="D352" s="66" t="s">
        <v>1026</v>
      </c>
      <c r="E352" s="66" t="s">
        <v>1027</v>
      </c>
      <c r="F352" s="66" t="s">
        <v>1028</v>
      </c>
      <c r="G352" s="68" t="s">
        <v>72</v>
      </c>
      <c r="H352" s="43" t="s">
        <v>251</v>
      </c>
      <c r="I352" s="68">
        <v>1701</v>
      </c>
      <c r="J352" s="68">
        <v>170150</v>
      </c>
      <c r="K352" s="69">
        <v>4</v>
      </c>
      <c r="L352" s="66" t="s">
        <v>1029</v>
      </c>
      <c r="M352" s="66" t="s">
        <v>1030</v>
      </c>
      <c r="N352" s="66" t="s">
        <v>859</v>
      </c>
      <c r="O352" s="66"/>
      <c r="P352" s="66"/>
      <c r="Q352" s="66" t="s">
        <v>1031</v>
      </c>
      <c r="R352" s="66" t="s">
        <v>403</v>
      </c>
      <c r="S352" s="66"/>
      <c r="T352" s="66"/>
      <c r="U352" s="66" t="s">
        <v>1032</v>
      </c>
      <c r="V352" s="66"/>
      <c r="W352" s="66" t="s">
        <v>1033</v>
      </c>
      <c r="X352" s="66" t="s">
        <v>1034</v>
      </c>
      <c r="Y352" s="66" t="s">
        <v>1035</v>
      </c>
      <c r="Z352" s="66"/>
      <c r="AA352" s="66"/>
      <c r="AB352" s="66">
        <v>170150254</v>
      </c>
      <c r="AC352" s="66">
        <v>170150254001</v>
      </c>
      <c r="AD352" s="66">
        <v>170150254001002</v>
      </c>
      <c r="AE352" s="69">
        <v>5</v>
      </c>
      <c r="AF352" s="69" t="s">
        <v>772</v>
      </c>
      <c r="AG352" s="46" t="s">
        <v>66</v>
      </c>
      <c r="AH352" s="70" t="s">
        <v>1036</v>
      </c>
      <c r="AI352" s="71" t="s">
        <v>66</v>
      </c>
      <c r="AJ352" s="49" t="s">
        <v>6938</v>
      </c>
      <c r="AK352" s="50" t="s">
        <v>67</v>
      </c>
      <c r="AL352" s="58">
        <v>45580</v>
      </c>
      <c r="AM352" s="52" t="s">
        <v>66</v>
      </c>
      <c r="AN352" s="52"/>
      <c r="AO352" s="52"/>
      <c r="AP352" s="52"/>
      <c r="AQ352" s="53">
        <f t="shared" si="18"/>
        <v>2</v>
      </c>
      <c r="AR352" s="54">
        <f t="shared" si="19"/>
        <v>0</v>
      </c>
      <c r="AS352" s="55">
        <f t="shared" si="20"/>
        <v>2</v>
      </c>
      <c r="AT352" s="102" t="s">
        <v>1037</v>
      </c>
      <c r="AU352" s="103" t="s">
        <v>1959</v>
      </c>
      <c r="AV352" s="104">
        <v>33.08</v>
      </c>
      <c r="AW352" s="105">
        <v>45580</v>
      </c>
      <c r="AX352" s="104">
        <v>33.08</v>
      </c>
      <c r="AY352" s="106">
        <v>45609</v>
      </c>
      <c r="AZ352" s="102" t="s">
        <v>1038</v>
      </c>
      <c r="BA352" s="103" t="s">
        <v>3351</v>
      </c>
      <c r="BB352" s="104">
        <v>56.45</v>
      </c>
      <c r="BC352" s="106">
        <v>45580</v>
      </c>
      <c r="BD352" s="104">
        <v>56.45</v>
      </c>
      <c r="BE352" s="106">
        <v>45609</v>
      </c>
      <c r="BF352" s="102"/>
      <c r="BG352" s="103" t="s">
        <v>1356</v>
      </c>
      <c r="BH352" s="104"/>
      <c r="BI352" s="106"/>
      <c r="BJ352" s="104"/>
      <c r="BK352" s="106"/>
      <c r="BL352" s="102"/>
      <c r="BM352" s="103" t="s">
        <v>1356</v>
      </c>
      <c r="BN352" s="104"/>
      <c r="BO352" s="106"/>
      <c r="BP352" s="104"/>
      <c r="BQ352" s="106"/>
      <c r="BR352" s="102"/>
      <c r="BS352" s="103" t="s">
        <v>1356</v>
      </c>
      <c r="BT352" s="104"/>
      <c r="BU352" s="106"/>
      <c r="BV352" s="104"/>
      <c r="BW352" s="106"/>
      <c r="BX352" s="121"/>
      <c r="BY352" s="122" t="s">
        <v>1356</v>
      </c>
      <c r="BZ352" s="123"/>
      <c r="CA352" s="124"/>
      <c r="CB352" s="123"/>
      <c r="CC352" s="124"/>
      <c r="CD352" s="121"/>
      <c r="CE352" s="122" t="s">
        <v>1356</v>
      </c>
      <c r="CF352" s="123"/>
      <c r="CG352" s="124"/>
      <c r="CH352" s="123"/>
      <c r="CI352" s="124"/>
      <c r="CJ352" s="121"/>
      <c r="CK352" s="122" t="s">
        <v>1356</v>
      </c>
      <c r="CL352" s="123"/>
      <c r="CM352" s="124"/>
      <c r="CN352" s="123"/>
      <c r="CO352" s="124"/>
      <c r="CP352" s="121"/>
      <c r="CQ352" s="122" t="s">
        <v>1356</v>
      </c>
      <c r="CR352" s="123"/>
      <c r="CS352" s="124"/>
      <c r="CT352" s="123"/>
      <c r="CU352" s="124"/>
      <c r="CV352" s="121"/>
      <c r="CW352" s="122" t="s">
        <v>1356</v>
      </c>
      <c r="CX352" s="123"/>
      <c r="CY352" s="124"/>
      <c r="CZ352" s="123"/>
      <c r="DA352" s="124"/>
      <c r="DB352" s="129" t="s">
        <v>6962</v>
      </c>
      <c r="DC352" s="129" t="s">
        <v>105</v>
      </c>
    </row>
    <row r="353" spans="1:107" s="40" customFormat="1" ht="14.55" customHeight="1" x14ac:dyDescent="0.3">
      <c r="A353" s="35" t="s">
        <v>4108</v>
      </c>
      <c r="B353" s="35" t="s">
        <v>4137</v>
      </c>
      <c r="C353" s="35" t="s">
        <v>4138</v>
      </c>
      <c r="D353" s="35" t="s">
        <v>2948</v>
      </c>
      <c r="E353" s="35" t="s">
        <v>70</v>
      </c>
      <c r="F353" s="35" t="s">
        <v>1028</v>
      </c>
      <c r="G353" s="35" t="s">
        <v>404</v>
      </c>
      <c r="H353" s="27" t="s">
        <v>6930</v>
      </c>
      <c r="I353" s="62">
        <v>101</v>
      </c>
      <c r="J353" s="62">
        <v>10150</v>
      </c>
      <c r="K353" s="63">
        <v>3</v>
      </c>
      <c r="L353" s="35" t="s">
        <v>2949</v>
      </c>
      <c r="M353" s="35"/>
      <c r="N353" s="35" t="s">
        <v>2950</v>
      </c>
      <c r="O353" s="35"/>
      <c r="P353" s="35"/>
      <c r="Q353" s="35"/>
      <c r="R353" s="35"/>
      <c r="S353" s="35"/>
      <c r="T353" s="35"/>
      <c r="U353" s="35"/>
      <c r="V353" s="35"/>
      <c r="W353" s="35" t="s">
        <v>2951</v>
      </c>
      <c r="X353" s="35" t="s">
        <v>2952</v>
      </c>
      <c r="Y353" s="35"/>
      <c r="Z353" s="35"/>
      <c r="AA353" s="35"/>
      <c r="AB353" s="35"/>
      <c r="AC353" s="35"/>
      <c r="AD353" s="35"/>
      <c r="AE353" s="63">
        <v>2</v>
      </c>
      <c r="AF353" s="63" t="s">
        <v>64</v>
      </c>
      <c r="AG353" s="29" t="s">
        <v>65</v>
      </c>
      <c r="AH353" s="75"/>
      <c r="AI353" s="65" t="s">
        <v>66</v>
      </c>
      <c r="AJ353" s="32" t="s">
        <v>6938</v>
      </c>
      <c r="AK353" s="33" t="s">
        <v>67</v>
      </c>
      <c r="AL353" s="76">
        <v>45573</v>
      </c>
      <c r="AM353" s="35" t="s">
        <v>66</v>
      </c>
      <c r="AN353" s="35"/>
      <c r="AO353" s="35"/>
      <c r="AP353" s="35"/>
      <c r="AQ353" s="37">
        <f t="shared" si="18"/>
        <v>0</v>
      </c>
      <c r="AR353" s="38">
        <f t="shared" si="19"/>
        <v>0</v>
      </c>
      <c r="AS353" s="39">
        <f t="shared" si="20"/>
        <v>0</v>
      </c>
      <c r="AT353" s="99"/>
      <c r="AU353" s="99" t="s">
        <v>1356</v>
      </c>
      <c r="AV353" s="99"/>
      <c r="AW353" s="100"/>
      <c r="AX353" s="99"/>
      <c r="AY353" s="101"/>
      <c r="AZ353" s="99"/>
      <c r="BA353" s="99" t="s">
        <v>1356</v>
      </c>
      <c r="BB353" s="99"/>
      <c r="BC353" s="101"/>
      <c r="BD353" s="99"/>
      <c r="BE353" s="101"/>
      <c r="BF353" s="99"/>
      <c r="BG353" s="99" t="s">
        <v>1356</v>
      </c>
      <c r="BH353" s="99"/>
      <c r="BI353" s="101"/>
      <c r="BJ353" s="99"/>
      <c r="BK353" s="101"/>
      <c r="BL353" s="99"/>
      <c r="BM353" s="99" t="s">
        <v>1356</v>
      </c>
      <c r="BN353" s="99"/>
      <c r="BO353" s="101"/>
      <c r="BP353" s="99"/>
      <c r="BQ353" s="101"/>
      <c r="BR353" s="99"/>
      <c r="BS353" s="99" t="s">
        <v>1356</v>
      </c>
      <c r="BT353" s="99"/>
      <c r="BU353" s="101"/>
      <c r="BV353" s="99"/>
      <c r="BW353" s="101"/>
      <c r="BX353" s="119"/>
      <c r="BY353" s="119" t="s">
        <v>1356</v>
      </c>
      <c r="BZ353" s="119"/>
      <c r="CA353" s="120"/>
      <c r="CB353" s="119"/>
      <c r="CC353" s="120"/>
      <c r="CD353" s="119"/>
      <c r="CE353" s="119" t="s">
        <v>1356</v>
      </c>
      <c r="CF353" s="119"/>
      <c r="CG353" s="120"/>
      <c r="CH353" s="119"/>
      <c r="CI353" s="120"/>
      <c r="CJ353" s="119"/>
      <c r="CK353" s="119" t="s">
        <v>1356</v>
      </c>
      <c r="CL353" s="119"/>
      <c r="CM353" s="120"/>
      <c r="CN353" s="119"/>
      <c r="CO353" s="120"/>
      <c r="CP353" s="119"/>
      <c r="CQ353" s="119" t="s">
        <v>1356</v>
      </c>
      <c r="CR353" s="119"/>
      <c r="CS353" s="120"/>
      <c r="CT353" s="119"/>
      <c r="CU353" s="120"/>
      <c r="CV353" s="119"/>
      <c r="CW353" s="119" t="s">
        <v>1356</v>
      </c>
      <c r="CX353" s="119"/>
      <c r="CY353" s="120"/>
      <c r="CZ353" s="119"/>
      <c r="DA353" s="120"/>
      <c r="DB353" s="128" t="s">
        <v>7085</v>
      </c>
      <c r="DC353" s="131" t="s">
        <v>87</v>
      </c>
    </row>
    <row r="354" spans="1:107" s="40" customFormat="1" ht="14.55" customHeight="1" x14ac:dyDescent="0.3">
      <c r="A354" s="35" t="s">
        <v>4108</v>
      </c>
      <c r="B354" s="35" t="s">
        <v>4139</v>
      </c>
      <c r="C354" s="35" t="s">
        <v>4140</v>
      </c>
      <c r="D354" s="35" t="s">
        <v>2953</v>
      </c>
      <c r="E354" s="35" t="s">
        <v>2954</v>
      </c>
      <c r="F354" s="35" t="s">
        <v>1950</v>
      </c>
      <c r="G354" s="35" t="s">
        <v>404</v>
      </c>
      <c r="H354" s="27" t="s">
        <v>6930</v>
      </c>
      <c r="I354" s="62">
        <v>101</v>
      </c>
      <c r="J354" s="62">
        <v>10169</v>
      </c>
      <c r="K354" s="63">
        <v>4</v>
      </c>
      <c r="L354" s="35" t="s">
        <v>2955</v>
      </c>
      <c r="M354" s="35" t="s">
        <v>258</v>
      </c>
      <c r="N354" s="35" t="s">
        <v>2956</v>
      </c>
      <c r="O354" s="35"/>
      <c r="P354" s="35"/>
      <c r="Q354" s="35"/>
      <c r="R354" s="35"/>
      <c r="S354" s="35"/>
      <c r="T354" s="35"/>
      <c r="U354" s="35"/>
      <c r="V354" s="35"/>
      <c r="W354" s="35" t="s">
        <v>2957</v>
      </c>
      <c r="X354" s="35" t="s">
        <v>2958</v>
      </c>
      <c r="Y354" s="35" t="s">
        <v>2959</v>
      </c>
      <c r="Z354" s="35"/>
      <c r="AA354" s="35"/>
      <c r="AB354" s="35"/>
      <c r="AC354" s="35"/>
      <c r="AD354" s="35"/>
      <c r="AE354" s="63">
        <v>2</v>
      </c>
      <c r="AF354" s="63" t="s">
        <v>64</v>
      </c>
      <c r="AG354" s="29" t="s">
        <v>65</v>
      </c>
      <c r="AH354" s="75"/>
      <c r="AI354" s="65" t="s">
        <v>66</v>
      </c>
      <c r="AJ354" s="32" t="s">
        <v>6938</v>
      </c>
      <c r="AK354" s="33" t="s">
        <v>67</v>
      </c>
      <c r="AL354" s="76">
        <v>45568</v>
      </c>
      <c r="AM354" s="35" t="s">
        <v>66</v>
      </c>
      <c r="AN354" s="35"/>
      <c r="AO354" s="35"/>
      <c r="AP354" s="35"/>
      <c r="AQ354" s="37">
        <f t="shared" si="18"/>
        <v>0</v>
      </c>
      <c r="AR354" s="38">
        <f t="shared" si="19"/>
        <v>0</v>
      </c>
      <c r="AS354" s="39">
        <f t="shared" si="20"/>
        <v>0</v>
      </c>
      <c r="AT354" s="99"/>
      <c r="AU354" s="99" t="s">
        <v>1356</v>
      </c>
      <c r="AV354" s="99"/>
      <c r="AW354" s="100"/>
      <c r="AX354" s="99"/>
      <c r="AY354" s="101"/>
      <c r="AZ354" s="99"/>
      <c r="BA354" s="99" t="s">
        <v>1356</v>
      </c>
      <c r="BB354" s="99"/>
      <c r="BC354" s="101"/>
      <c r="BD354" s="99"/>
      <c r="BE354" s="101"/>
      <c r="BF354" s="99"/>
      <c r="BG354" s="99" t="s">
        <v>1356</v>
      </c>
      <c r="BH354" s="99"/>
      <c r="BI354" s="101"/>
      <c r="BJ354" s="99"/>
      <c r="BK354" s="101"/>
      <c r="BL354" s="99"/>
      <c r="BM354" s="99" t="s">
        <v>1356</v>
      </c>
      <c r="BN354" s="99"/>
      <c r="BO354" s="101"/>
      <c r="BP354" s="99"/>
      <c r="BQ354" s="101"/>
      <c r="BR354" s="99"/>
      <c r="BS354" s="99" t="s">
        <v>1356</v>
      </c>
      <c r="BT354" s="99"/>
      <c r="BU354" s="101"/>
      <c r="BV354" s="99"/>
      <c r="BW354" s="101"/>
      <c r="BX354" s="119"/>
      <c r="BY354" s="119" t="s">
        <v>1356</v>
      </c>
      <c r="BZ354" s="119"/>
      <c r="CA354" s="120"/>
      <c r="CB354" s="119"/>
      <c r="CC354" s="120"/>
      <c r="CD354" s="119"/>
      <c r="CE354" s="119" t="s">
        <v>1356</v>
      </c>
      <c r="CF354" s="119"/>
      <c r="CG354" s="120"/>
      <c r="CH354" s="119"/>
      <c r="CI354" s="120"/>
      <c r="CJ354" s="119"/>
      <c r="CK354" s="119" t="s">
        <v>1356</v>
      </c>
      <c r="CL354" s="119"/>
      <c r="CM354" s="120"/>
      <c r="CN354" s="119"/>
      <c r="CO354" s="120"/>
      <c r="CP354" s="119"/>
      <c r="CQ354" s="119" t="s">
        <v>1356</v>
      </c>
      <c r="CR354" s="119"/>
      <c r="CS354" s="120"/>
      <c r="CT354" s="119"/>
      <c r="CU354" s="120"/>
      <c r="CV354" s="119"/>
      <c r="CW354" s="119" t="s">
        <v>1356</v>
      </c>
      <c r="CX354" s="119"/>
      <c r="CY354" s="120"/>
      <c r="CZ354" s="119"/>
      <c r="DA354" s="120"/>
      <c r="DB354" s="128" t="s">
        <v>7085</v>
      </c>
      <c r="DC354" s="131" t="s">
        <v>105</v>
      </c>
    </row>
    <row r="355" spans="1:107" s="40" customFormat="1" ht="14.55" customHeight="1" x14ac:dyDescent="0.3">
      <c r="A355" s="42" t="s">
        <v>3456</v>
      </c>
      <c r="B355" s="42" t="s">
        <v>4027</v>
      </c>
      <c r="C355" s="42" t="s">
        <v>2446</v>
      </c>
      <c r="D355" s="42" t="s">
        <v>2447</v>
      </c>
      <c r="E355" s="42" t="s">
        <v>70</v>
      </c>
      <c r="F355" s="42" t="s">
        <v>567</v>
      </c>
      <c r="G355" s="42" t="s">
        <v>2448</v>
      </c>
      <c r="H355" s="43" t="s">
        <v>6926</v>
      </c>
      <c r="I355" s="44">
        <v>1601</v>
      </c>
      <c r="J355" s="44">
        <v>160150</v>
      </c>
      <c r="K355" s="45">
        <v>8</v>
      </c>
      <c r="L355" s="42" t="s">
        <v>2449</v>
      </c>
      <c r="M355" s="42" t="s">
        <v>2450</v>
      </c>
      <c r="N355" s="42" t="s">
        <v>2451</v>
      </c>
      <c r="O355" s="42"/>
      <c r="P355" s="42"/>
      <c r="Q355" s="42"/>
      <c r="R355" s="42"/>
      <c r="S355" s="42"/>
      <c r="T355" s="42"/>
      <c r="U355" s="42"/>
      <c r="V355" s="42"/>
      <c r="W355" s="42" t="s">
        <v>2452</v>
      </c>
      <c r="X355" s="42"/>
      <c r="Y355" s="42"/>
      <c r="Z355" s="42"/>
      <c r="AA355" s="42"/>
      <c r="AB355" s="42"/>
      <c r="AC355" s="42"/>
      <c r="AD355" s="42"/>
      <c r="AE355" s="45">
        <v>2</v>
      </c>
      <c r="AF355" s="45" t="s">
        <v>64</v>
      </c>
      <c r="AG355" s="46" t="s">
        <v>66</v>
      </c>
      <c r="AH355" s="47">
        <v>30745</v>
      </c>
      <c r="AI355" s="48" t="s">
        <v>66</v>
      </c>
      <c r="AJ355" s="49" t="s">
        <v>6938</v>
      </c>
      <c r="AK355" s="50" t="s">
        <v>67</v>
      </c>
      <c r="AL355" s="51">
        <v>45580</v>
      </c>
      <c r="AM355" s="52" t="s">
        <v>66</v>
      </c>
      <c r="AN355" s="42"/>
      <c r="AO355" s="42"/>
      <c r="AP355" s="42"/>
      <c r="AQ355" s="53">
        <f t="shared" si="18"/>
        <v>0</v>
      </c>
      <c r="AR355" s="54">
        <f t="shared" si="19"/>
        <v>3</v>
      </c>
      <c r="AS355" s="55">
        <f t="shared" si="20"/>
        <v>3</v>
      </c>
      <c r="AT355" s="96"/>
      <c r="AU355" s="96" t="s">
        <v>1356</v>
      </c>
      <c r="AV355" s="96"/>
      <c r="AW355" s="97"/>
      <c r="AX355" s="96"/>
      <c r="AY355" s="98"/>
      <c r="AZ355" s="96"/>
      <c r="BA355" s="96" t="s">
        <v>1356</v>
      </c>
      <c r="BB355" s="96"/>
      <c r="BC355" s="98"/>
      <c r="BD355" s="96"/>
      <c r="BE355" s="98"/>
      <c r="BF355" s="96"/>
      <c r="BG355" s="96" t="s">
        <v>1356</v>
      </c>
      <c r="BH355" s="96"/>
      <c r="BI355" s="98"/>
      <c r="BJ355" s="96"/>
      <c r="BK355" s="98"/>
      <c r="BL355" s="96"/>
      <c r="BM355" s="96" t="s">
        <v>1356</v>
      </c>
      <c r="BN355" s="96"/>
      <c r="BO355" s="98"/>
      <c r="BP355" s="96"/>
      <c r="BQ355" s="98"/>
      <c r="BR355" s="96"/>
      <c r="BS355" s="96" t="s">
        <v>1356</v>
      </c>
      <c r="BT355" s="96"/>
      <c r="BU355" s="98"/>
      <c r="BV355" s="96"/>
      <c r="BW355" s="98"/>
      <c r="BX355" s="117" t="s">
        <v>2453</v>
      </c>
      <c r="BY355" s="117" t="s">
        <v>2454</v>
      </c>
      <c r="BZ355" s="117">
        <v>15.65</v>
      </c>
      <c r="CA355" s="118">
        <v>45580</v>
      </c>
      <c r="CB355" s="117"/>
      <c r="CC355" s="118"/>
      <c r="CD355" s="117" t="s">
        <v>2455</v>
      </c>
      <c r="CE355" s="117" t="s">
        <v>2456</v>
      </c>
      <c r="CF355" s="117">
        <v>15.65</v>
      </c>
      <c r="CG355" s="118">
        <v>45580</v>
      </c>
      <c r="CH355" s="117"/>
      <c r="CI355" s="118"/>
      <c r="CJ355" s="117" t="s">
        <v>2457</v>
      </c>
      <c r="CK355" s="117" t="s">
        <v>2458</v>
      </c>
      <c r="CL355" s="117">
        <v>5.22</v>
      </c>
      <c r="CM355" s="118">
        <v>45580</v>
      </c>
      <c r="CN355" s="117"/>
      <c r="CO355" s="118"/>
      <c r="CP355" s="117"/>
      <c r="CQ355" s="117" t="s">
        <v>1356</v>
      </c>
      <c r="CR355" s="117"/>
      <c r="CS355" s="118"/>
      <c r="CT355" s="117"/>
      <c r="CU355" s="118"/>
      <c r="CV355" s="117"/>
      <c r="CW355" s="117" t="s">
        <v>1356</v>
      </c>
      <c r="CX355" s="117"/>
      <c r="CY355" s="118"/>
      <c r="CZ355" s="117"/>
      <c r="DA355" s="118"/>
      <c r="DB355" s="129" t="s">
        <v>6962</v>
      </c>
      <c r="DC355" s="130" t="s">
        <v>105</v>
      </c>
    </row>
    <row r="356" spans="1:107" s="40" customFormat="1" ht="14.55" customHeight="1" x14ac:dyDescent="0.3">
      <c r="A356" s="35" t="s">
        <v>4108</v>
      </c>
      <c r="B356" s="35" t="s">
        <v>4143</v>
      </c>
      <c r="C356" s="35">
        <v>190313654001</v>
      </c>
      <c r="D356" s="35" t="s">
        <v>2965</v>
      </c>
      <c r="E356" s="35" t="s">
        <v>2966</v>
      </c>
      <c r="F356" s="35" t="s">
        <v>1585</v>
      </c>
      <c r="G356" s="35" t="s">
        <v>404</v>
      </c>
      <c r="H356" s="27" t="s">
        <v>6930</v>
      </c>
      <c r="I356" s="62">
        <v>101</v>
      </c>
      <c r="J356" s="62">
        <v>10150</v>
      </c>
      <c r="K356" s="63">
        <v>4</v>
      </c>
      <c r="L356" s="35" t="s">
        <v>2967</v>
      </c>
      <c r="M356" s="35" t="s">
        <v>2968</v>
      </c>
      <c r="N356" s="35" t="s">
        <v>2969</v>
      </c>
      <c r="O356" s="35"/>
      <c r="P356" s="35"/>
      <c r="Q356" s="35" t="s">
        <v>2970</v>
      </c>
      <c r="R356" s="35" t="s">
        <v>113</v>
      </c>
      <c r="S356" s="35"/>
      <c r="T356" s="35"/>
      <c r="U356" s="35" t="s">
        <v>2971</v>
      </c>
      <c r="V356" s="35"/>
      <c r="W356" s="35" t="s">
        <v>2236</v>
      </c>
      <c r="X356" s="35" t="s">
        <v>2972</v>
      </c>
      <c r="Y356" s="35" t="s">
        <v>2973</v>
      </c>
      <c r="Z356" s="35">
        <v>-78.97384911775589</v>
      </c>
      <c r="AA356" s="35">
        <v>-2.8781005377703659</v>
      </c>
      <c r="AB356" s="35">
        <v>10150026</v>
      </c>
      <c r="AC356" s="35">
        <v>10150026008</v>
      </c>
      <c r="AD356" s="35">
        <v>10150026008010</v>
      </c>
      <c r="AE356" s="63">
        <v>2</v>
      </c>
      <c r="AF356" s="63" t="s">
        <v>64</v>
      </c>
      <c r="AG356" s="29" t="s">
        <v>65</v>
      </c>
      <c r="AH356" s="75"/>
      <c r="AI356" s="65" t="s">
        <v>66</v>
      </c>
      <c r="AJ356" s="32" t="s">
        <v>6938</v>
      </c>
      <c r="AK356" s="33" t="s">
        <v>67</v>
      </c>
      <c r="AL356" s="76">
        <v>45588</v>
      </c>
      <c r="AM356" s="35" t="s">
        <v>66</v>
      </c>
      <c r="AN356" s="35"/>
      <c r="AO356" s="35"/>
      <c r="AP356" s="35"/>
      <c r="AQ356" s="37">
        <f t="shared" si="18"/>
        <v>0</v>
      </c>
      <c r="AR356" s="38">
        <f t="shared" si="19"/>
        <v>0</v>
      </c>
      <c r="AS356" s="39">
        <f t="shared" si="20"/>
        <v>0</v>
      </c>
      <c r="AT356" s="99"/>
      <c r="AU356" s="99" t="s">
        <v>1356</v>
      </c>
      <c r="AV356" s="99"/>
      <c r="AW356" s="100"/>
      <c r="AX356" s="99"/>
      <c r="AY356" s="101"/>
      <c r="AZ356" s="99"/>
      <c r="BA356" s="99" t="s">
        <v>1356</v>
      </c>
      <c r="BB356" s="99"/>
      <c r="BC356" s="101"/>
      <c r="BD356" s="99"/>
      <c r="BE356" s="101"/>
      <c r="BF356" s="99"/>
      <c r="BG356" s="99" t="s">
        <v>1356</v>
      </c>
      <c r="BH356" s="99"/>
      <c r="BI356" s="101"/>
      <c r="BJ356" s="99"/>
      <c r="BK356" s="101"/>
      <c r="BL356" s="99"/>
      <c r="BM356" s="99" t="s">
        <v>1356</v>
      </c>
      <c r="BN356" s="99"/>
      <c r="BO356" s="101"/>
      <c r="BP356" s="99"/>
      <c r="BQ356" s="101"/>
      <c r="BR356" s="99"/>
      <c r="BS356" s="99" t="s">
        <v>1356</v>
      </c>
      <c r="BT356" s="99"/>
      <c r="BU356" s="101"/>
      <c r="BV356" s="99"/>
      <c r="BW356" s="101"/>
      <c r="BX356" s="119"/>
      <c r="BY356" s="119"/>
      <c r="BZ356" s="119"/>
      <c r="CA356" s="120"/>
      <c r="CB356" s="119"/>
      <c r="CC356" s="120"/>
      <c r="CD356" s="119"/>
      <c r="CE356" s="119"/>
      <c r="CF356" s="119"/>
      <c r="CG356" s="120"/>
      <c r="CH356" s="119"/>
      <c r="CI356" s="120"/>
      <c r="CJ356" s="119"/>
      <c r="CK356" s="119"/>
      <c r="CL356" s="119"/>
      <c r="CM356" s="120"/>
      <c r="CN356" s="119"/>
      <c r="CO356" s="120"/>
      <c r="CP356" s="119"/>
      <c r="CQ356" s="119"/>
      <c r="CR356" s="119"/>
      <c r="CS356" s="120"/>
      <c r="CT356" s="119"/>
      <c r="CU356" s="120"/>
      <c r="CV356" s="119"/>
      <c r="CW356" s="119"/>
      <c r="CX356" s="119"/>
      <c r="CY356" s="120"/>
      <c r="CZ356" s="119"/>
      <c r="DA356" s="120"/>
      <c r="DB356" s="128" t="s">
        <v>7085</v>
      </c>
      <c r="DC356" s="131" t="s">
        <v>105</v>
      </c>
    </row>
    <row r="357" spans="1:107" s="40" customFormat="1" ht="14.55" customHeight="1" x14ac:dyDescent="0.3">
      <c r="A357" s="42" t="s">
        <v>3456</v>
      </c>
      <c r="B357" s="42" t="s">
        <v>4061</v>
      </c>
      <c r="C357" s="42" t="s">
        <v>2617</v>
      </c>
      <c r="D357" s="42" t="s">
        <v>2618</v>
      </c>
      <c r="E357" s="42" t="s">
        <v>2619</v>
      </c>
      <c r="F357" s="42" t="s">
        <v>134</v>
      </c>
      <c r="G357" s="42" t="s">
        <v>1059</v>
      </c>
      <c r="H357" s="43" t="s">
        <v>6924</v>
      </c>
      <c r="I357" s="44">
        <v>1801</v>
      </c>
      <c r="J357" s="44">
        <v>180156</v>
      </c>
      <c r="K357" s="45">
        <v>4</v>
      </c>
      <c r="L357" s="42" t="s">
        <v>1485</v>
      </c>
      <c r="M357" s="42" t="s">
        <v>2620</v>
      </c>
      <c r="N357" s="42" t="s">
        <v>2621</v>
      </c>
      <c r="O357" s="42"/>
      <c r="P357" s="42"/>
      <c r="Q357" s="42" t="s">
        <v>2622</v>
      </c>
      <c r="R357" s="42" t="s">
        <v>113</v>
      </c>
      <c r="S357" s="42"/>
      <c r="T357" s="42" t="s">
        <v>2236</v>
      </c>
      <c r="U357" s="42"/>
      <c r="V357" s="42"/>
      <c r="W357" s="42" t="s">
        <v>2623</v>
      </c>
      <c r="X357" s="42" t="s">
        <v>2624</v>
      </c>
      <c r="Y357" s="42" t="s">
        <v>2625</v>
      </c>
      <c r="Z357" s="42">
        <v>-78.585242629051208</v>
      </c>
      <c r="AA357" s="42">
        <v>-1.2014235693849911</v>
      </c>
      <c r="AB357" s="42">
        <v>180156999</v>
      </c>
      <c r="AC357" s="42">
        <v>180156999009</v>
      </c>
      <c r="AD357" s="42">
        <v>180156999009002</v>
      </c>
      <c r="AE357" s="45">
        <v>3</v>
      </c>
      <c r="AF357" s="45" t="s">
        <v>377</v>
      </c>
      <c r="AG357" s="46" t="s">
        <v>66</v>
      </c>
      <c r="AH357" s="47">
        <v>30742</v>
      </c>
      <c r="AI357" s="48" t="s">
        <v>66</v>
      </c>
      <c r="AJ357" s="49" t="s">
        <v>6938</v>
      </c>
      <c r="AK357" s="50" t="s">
        <v>67</v>
      </c>
      <c r="AL357" s="51">
        <v>45580</v>
      </c>
      <c r="AM357" s="52" t="s">
        <v>66</v>
      </c>
      <c r="AN357" s="42"/>
      <c r="AO357" s="42"/>
      <c r="AP357" s="42"/>
      <c r="AQ357" s="53">
        <f t="shared" si="18"/>
        <v>0</v>
      </c>
      <c r="AR357" s="54">
        <f t="shared" si="19"/>
        <v>1</v>
      </c>
      <c r="AS357" s="55">
        <f t="shared" si="20"/>
        <v>1</v>
      </c>
      <c r="AT357" s="96"/>
      <c r="AU357" s="96" t="s">
        <v>1356</v>
      </c>
      <c r="AV357" s="96"/>
      <c r="AW357" s="97"/>
      <c r="AX357" s="96"/>
      <c r="AY357" s="98"/>
      <c r="AZ357" s="96"/>
      <c r="BA357" s="96" t="s">
        <v>1356</v>
      </c>
      <c r="BB357" s="96"/>
      <c r="BC357" s="98"/>
      <c r="BD357" s="96"/>
      <c r="BE357" s="98"/>
      <c r="BF357" s="96"/>
      <c r="BG357" s="96" t="s">
        <v>1356</v>
      </c>
      <c r="BH357" s="96"/>
      <c r="BI357" s="98"/>
      <c r="BJ357" s="96"/>
      <c r="BK357" s="98"/>
      <c r="BL357" s="96"/>
      <c r="BM357" s="96" t="s">
        <v>1356</v>
      </c>
      <c r="BN357" s="96"/>
      <c r="BO357" s="98"/>
      <c r="BP357" s="96"/>
      <c r="BQ357" s="98"/>
      <c r="BR357" s="96"/>
      <c r="BS357" s="96" t="s">
        <v>1356</v>
      </c>
      <c r="BT357" s="96"/>
      <c r="BU357" s="98"/>
      <c r="BV357" s="96"/>
      <c r="BW357" s="98"/>
      <c r="BX357" s="117" t="s">
        <v>1304</v>
      </c>
      <c r="BY357" s="117" t="s">
        <v>2626</v>
      </c>
      <c r="BZ357" s="117">
        <v>27.5</v>
      </c>
      <c r="CA357" s="118">
        <v>45580</v>
      </c>
      <c r="CB357" s="117"/>
      <c r="CC357" s="118"/>
      <c r="CD357" s="117"/>
      <c r="CE357" s="117" t="s">
        <v>1356</v>
      </c>
      <c r="CF357" s="117"/>
      <c r="CG357" s="118"/>
      <c r="CH357" s="117"/>
      <c r="CI357" s="118"/>
      <c r="CJ357" s="117"/>
      <c r="CK357" s="117" t="s">
        <v>1356</v>
      </c>
      <c r="CL357" s="117"/>
      <c r="CM357" s="118"/>
      <c r="CN357" s="117"/>
      <c r="CO357" s="118"/>
      <c r="CP357" s="117"/>
      <c r="CQ357" s="117" t="s">
        <v>1356</v>
      </c>
      <c r="CR357" s="117"/>
      <c r="CS357" s="118"/>
      <c r="CT357" s="117"/>
      <c r="CU357" s="118"/>
      <c r="CV357" s="117"/>
      <c r="CW357" s="117" t="s">
        <v>1356</v>
      </c>
      <c r="CX357" s="117"/>
      <c r="CY357" s="118"/>
      <c r="CZ357" s="117"/>
      <c r="DA357" s="118"/>
      <c r="DB357" s="129" t="s">
        <v>6962</v>
      </c>
      <c r="DC357" s="130" t="s">
        <v>105</v>
      </c>
    </row>
    <row r="358" spans="1:107" s="40" customFormat="1" ht="14.55" customHeight="1" x14ac:dyDescent="0.3">
      <c r="A358" s="42" t="s">
        <v>3456</v>
      </c>
      <c r="B358" s="42" t="s">
        <v>4076</v>
      </c>
      <c r="C358" s="42" t="s">
        <v>2685</v>
      </c>
      <c r="D358" s="42" t="s">
        <v>2686</v>
      </c>
      <c r="E358" s="42" t="s">
        <v>2686</v>
      </c>
      <c r="F358" s="42" t="s">
        <v>596</v>
      </c>
      <c r="G358" s="42" t="s">
        <v>1059</v>
      </c>
      <c r="H358" s="43" t="s">
        <v>6924</v>
      </c>
      <c r="I358" s="44">
        <v>1801</v>
      </c>
      <c r="J358" s="44">
        <v>180165</v>
      </c>
      <c r="K358" s="45">
        <v>4</v>
      </c>
      <c r="L358" s="42" t="s">
        <v>2687</v>
      </c>
      <c r="M358" s="42" t="s">
        <v>258</v>
      </c>
      <c r="N358" s="42" t="s">
        <v>2688</v>
      </c>
      <c r="O358" s="42"/>
      <c r="P358" s="42"/>
      <c r="Q358" s="42"/>
      <c r="R358" s="42" t="s">
        <v>391</v>
      </c>
      <c r="S358" s="42"/>
      <c r="T358" s="42"/>
      <c r="U358" s="42" t="s">
        <v>2689</v>
      </c>
      <c r="V358" s="42"/>
      <c r="W358" s="42" t="s">
        <v>2690</v>
      </c>
      <c r="X358" s="42" t="s">
        <v>2691</v>
      </c>
      <c r="Y358" s="42" t="s">
        <v>2692</v>
      </c>
      <c r="Z358" s="42">
        <v>-78.665293157100677</v>
      </c>
      <c r="AA358" s="42">
        <v>-1.279495095914662</v>
      </c>
      <c r="AB358" s="42">
        <v>180165004</v>
      </c>
      <c r="AC358" s="42">
        <v>180165004004</v>
      </c>
      <c r="AD358" s="42">
        <v>180165004004003</v>
      </c>
      <c r="AE358" s="45">
        <v>3</v>
      </c>
      <c r="AF358" s="45" t="s">
        <v>377</v>
      </c>
      <c r="AG358" s="46" t="s">
        <v>66</v>
      </c>
      <c r="AH358" s="47">
        <v>30740</v>
      </c>
      <c r="AI358" s="48" t="s">
        <v>66</v>
      </c>
      <c r="AJ358" s="49" t="s">
        <v>6938</v>
      </c>
      <c r="AK358" s="50" t="s">
        <v>67</v>
      </c>
      <c r="AL358" s="51">
        <v>45580</v>
      </c>
      <c r="AM358" s="52" t="s">
        <v>66</v>
      </c>
      <c r="AN358" s="42"/>
      <c r="AO358" s="42"/>
      <c r="AP358" s="42"/>
      <c r="AQ358" s="53">
        <f t="shared" si="18"/>
        <v>0</v>
      </c>
      <c r="AR358" s="54">
        <f t="shared" si="19"/>
        <v>1</v>
      </c>
      <c r="AS358" s="55">
        <f t="shared" si="20"/>
        <v>1</v>
      </c>
      <c r="AT358" s="96"/>
      <c r="AU358" s="96" t="s">
        <v>1356</v>
      </c>
      <c r="AV358" s="96"/>
      <c r="AW358" s="97"/>
      <c r="AX358" s="96"/>
      <c r="AY358" s="98"/>
      <c r="AZ358" s="96"/>
      <c r="BA358" s="96" t="s">
        <v>1356</v>
      </c>
      <c r="BB358" s="96"/>
      <c r="BC358" s="98"/>
      <c r="BD358" s="96"/>
      <c r="BE358" s="98"/>
      <c r="BF358" s="96"/>
      <c r="BG358" s="96" t="s">
        <v>1356</v>
      </c>
      <c r="BH358" s="96"/>
      <c r="BI358" s="98"/>
      <c r="BJ358" s="96"/>
      <c r="BK358" s="98"/>
      <c r="BL358" s="96"/>
      <c r="BM358" s="96" t="s">
        <v>1356</v>
      </c>
      <c r="BN358" s="96"/>
      <c r="BO358" s="98"/>
      <c r="BP358" s="96"/>
      <c r="BQ358" s="98"/>
      <c r="BR358" s="96"/>
      <c r="BS358" s="96" t="s">
        <v>1356</v>
      </c>
      <c r="BT358" s="96"/>
      <c r="BU358" s="98"/>
      <c r="BV358" s="96"/>
      <c r="BW358" s="98"/>
      <c r="BX358" s="117" t="s">
        <v>2693</v>
      </c>
      <c r="BY358" s="117" t="s">
        <v>2694</v>
      </c>
      <c r="BZ358" s="117">
        <v>18</v>
      </c>
      <c r="CA358" s="118">
        <v>45580</v>
      </c>
      <c r="CB358" s="117"/>
      <c r="CC358" s="118"/>
      <c r="CD358" s="117"/>
      <c r="CE358" s="117" t="s">
        <v>1356</v>
      </c>
      <c r="CF358" s="117"/>
      <c r="CG358" s="118"/>
      <c r="CH358" s="117"/>
      <c r="CI358" s="118"/>
      <c r="CJ358" s="117"/>
      <c r="CK358" s="117" t="s">
        <v>1356</v>
      </c>
      <c r="CL358" s="117"/>
      <c r="CM358" s="118"/>
      <c r="CN358" s="117"/>
      <c r="CO358" s="118"/>
      <c r="CP358" s="117"/>
      <c r="CQ358" s="117" t="s">
        <v>1356</v>
      </c>
      <c r="CR358" s="117"/>
      <c r="CS358" s="118"/>
      <c r="CT358" s="117"/>
      <c r="CU358" s="118"/>
      <c r="CV358" s="117"/>
      <c r="CW358" s="117" t="s">
        <v>1356</v>
      </c>
      <c r="CX358" s="117"/>
      <c r="CY358" s="118"/>
      <c r="CZ358" s="117"/>
      <c r="DA358" s="118"/>
      <c r="DB358" s="129" t="s">
        <v>6962</v>
      </c>
      <c r="DC358" s="130" t="s">
        <v>105</v>
      </c>
    </row>
    <row r="359" spans="1:107" s="40" customFormat="1" ht="14.55" customHeight="1" x14ac:dyDescent="0.3">
      <c r="A359" s="42" t="s">
        <v>4108</v>
      </c>
      <c r="B359" s="42" t="s">
        <v>4155</v>
      </c>
      <c r="C359" s="42" t="s">
        <v>4156</v>
      </c>
      <c r="D359" s="42" t="s">
        <v>3028</v>
      </c>
      <c r="E359" s="42" t="s">
        <v>3029</v>
      </c>
      <c r="F359" s="42" t="s">
        <v>1585</v>
      </c>
      <c r="G359" s="42" t="s">
        <v>404</v>
      </c>
      <c r="H359" s="43" t="s">
        <v>6930</v>
      </c>
      <c r="I359" s="44">
        <v>101</v>
      </c>
      <c r="J359" s="44">
        <v>10150</v>
      </c>
      <c r="K359" s="45">
        <v>3</v>
      </c>
      <c r="L359" s="42" t="s">
        <v>3030</v>
      </c>
      <c r="M359" s="42"/>
      <c r="N359" s="42" t="s">
        <v>3031</v>
      </c>
      <c r="O359" s="42"/>
      <c r="P359" s="42"/>
      <c r="Q359" s="42"/>
      <c r="R359" s="42"/>
      <c r="S359" s="42"/>
      <c r="T359" s="42"/>
      <c r="U359" s="42"/>
      <c r="V359" s="42"/>
      <c r="W359" s="42"/>
      <c r="X359" s="42" t="s">
        <v>3032</v>
      </c>
      <c r="Y359" s="42" t="s">
        <v>3033</v>
      </c>
      <c r="Z359" s="42">
        <v>-78.985758000000004</v>
      </c>
      <c r="AA359" s="42">
        <v>-2.8603830000000001</v>
      </c>
      <c r="AB359" s="42">
        <v>10150025</v>
      </c>
      <c r="AC359" s="42">
        <v>10150025001</v>
      </c>
      <c r="AD359" s="42">
        <v>10150025001004</v>
      </c>
      <c r="AE359" s="45">
        <v>3</v>
      </c>
      <c r="AF359" s="45" t="s">
        <v>377</v>
      </c>
      <c r="AG359" s="46" t="s">
        <v>66</v>
      </c>
      <c r="AH359" s="47">
        <v>60031</v>
      </c>
      <c r="AI359" s="48" t="s">
        <v>66</v>
      </c>
      <c r="AJ359" s="49" t="s">
        <v>6938</v>
      </c>
      <c r="AK359" s="50" t="s">
        <v>67</v>
      </c>
      <c r="AL359" s="51">
        <v>45580</v>
      </c>
      <c r="AM359" s="52" t="s">
        <v>66</v>
      </c>
      <c r="AN359" s="42"/>
      <c r="AO359" s="42"/>
      <c r="AP359" s="42"/>
      <c r="AQ359" s="53">
        <f t="shared" si="18"/>
        <v>2</v>
      </c>
      <c r="AR359" s="54">
        <f t="shared" si="19"/>
        <v>0</v>
      </c>
      <c r="AS359" s="55">
        <f t="shared" si="20"/>
        <v>2</v>
      </c>
      <c r="AT359" s="96" t="s">
        <v>1960</v>
      </c>
      <c r="AU359" s="96" t="s">
        <v>1961</v>
      </c>
      <c r="AV359" s="96">
        <v>808.7</v>
      </c>
      <c r="AW359" s="97">
        <v>45580</v>
      </c>
      <c r="AX359" s="96">
        <v>808.7</v>
      </c>
      <c r="AY359" s="98">
        <v>45611</v>
      </c>
      <c r="AZ359" s="96" t="s">
        <v>1960</v>
      </c>
      <c r="BA359" s="96" t="s">
        <v>1961</v>
      </c>
      <c r="BB359" s="96">
        <v>634.78</v>
      </c>
      <c r="BC359" s="98">
        <v>45580</v>
      </c>
      <c r="BD359" s="96">
        <v>634.78</v>
      </c>
      <c r="BE359" s="98">
        <v>45611</v>
      </c>
      <c r="BF359" s="96"/>
      <c r="BG359" s="96" t="s">
        <v>1356</v>
      </c>
      <c r="BH359" s="96"/>
      <c r="BI359" s="98"/>
      <c r="BJ359" s="96"/>
      <c r="BK359" s="98"/>
      <c r="BL359" s="96"/>
      <c r="BM359" s="96" t="s">
        <v>1356</v>
      </c>
      <c r="BN359" s="96"/>
      <c r="BO359" s="98"/>
      <c r="BP359" s="96"/>
      <c r="BQ359" s="98"/>
      <c r="BR359" s="96"/>
      <c r="BS359" s="96" t="s">
        <v>1356</v>
      </c>
      <c r="BT359" s="96"/>
      <c r="BU359" s="98"/>
      <c r="BV359" s="96"/>
      <c r="BW359" s="98"/>
      <c r="BX359" s="117"/>
      <c r="BY359" s="117" t="s">
        <v>1356</v>
      </c>
      <c r="BZ359" s="117"/>
      <c r="CA359" s="118"/>
      <c r="CB359" s="117"/>
      <c r="CC359" s="118"/>
      <c r="CD359" s="117"/>
      <c r="CE359" s="117" t="s">
        <v>1356</v>
      </c>
      <c r="CF359" s="117"/>
      <c r="CG359" s="118"/>
      <c r="CH359" s="117"/>
      <c r="CI359" s="118"/>
      <c r="CJ359" s="117"/>
      <c r="CK359" s="117" t="s">
        <v>1356</v>
      </c>
      <c r="CL359" s="117"/>
      <c r="CM359" s="118"/>
      <c r="CN359" s="117"/>
      <c r="CO359" s="118"/>
      <c r="CP359" s="117"/>
      <c r="CQ359" s="117" t="s">
        <v>1356</v>
      </c>
      <c r="CR359" s="117"/>
      <c r="CS359" s="118"/>
      <c r="CT359" s="117"/>
      <c r="CU359" s="118"/>
      <c r="CV359" s="117"/>
      <c r="CW359" s="117" t="s">
        <v>1356</v>
      </c>
      <c r="CX359" s="117"/>
      <c r="CY359" s="118"/>
      <c r="CZ359" s="117"/>
      <c r="DA359" s="118"/>
      <c r="DB359" s="129" t="s">
        <v>6962</v>
      </c>
      <c r="DC359" s="130" t="s">
        <v>105</v>
      </c>
    </row>
    <row r="360" spans="1:107" s="40" customFormat="1" ht="14.55" customHeight="1" x14ac:dyDescent="0.3">
      <c r="A360" s="35" t="s">
        <v>4108</v>
      </c>
      <c r="B360" s="35" t="s">
        <v>4149</v>
      </c>
      <c r="C360" s="35">
        <v>101413300001</v>
      </c>
      <c r="D360" s="35" t="s">
        <v>2999</v>
      </c>
      <c r="E360" s="35" t="s">
        <v>3000</v>
      </c>
      <c r="F360" s="35" t="s">
        <v>596</v>
      </c>
      <c r="G360" s="35" t="s">
        <v>404</v>
      </c>
      <c r="H360" s="27" t="s">
        <v>6930</v>
      </c>
      <c r="I360" s="62">
        <v>101</v>
      </c>
      <c r="J360" s="62">
        <v>10150</v>
      </c>
      <c r="K360" s="63">
        <v>3</v>
      </c>
      <c r="L360" s="35" t="s">
        <v>3001</v>
      </c>
      <c r="M360" s="35" t="s">
        <v>3002</v>
      </c>
      <c r="N360" s="35" t="s">
        <v>3003</v>
      </c>
      <c r="O360" s="35"/>
      <c r="P360" s="35"/>
      <c r="Q360" s="35"/>
      <c r="R360" s="35" t="s">
        <v>3004</v>
      </c>
      <c r="S360" s="35"/>
      <c r="T360" s="35"/>
      <c r="U360" s="35" t="s">
        <v>3005</v>
      </c>
      <c r="V360" s="35"/>
      <c r="W360" s="35" t="s">
        <v>3006</v>
      </c>
      <c r="X360" s="35" t="s">
        <v>3007</v>
      </c>
      <c r="Y360" s="35" t="s">
        <v>3008</v>
      </c>
      <c r="Z360" s="35">
        <v>-79.007536321878433</v>
      </c>
      <c r="AA360" s="35">
        <v>-2.8972202278139441</v>
      </c>
      <c r="AB360" s="35">
        <v>10150065</v>
      </c>
      <c r="AC360" s="35">
        <v>10150065004</v>
      </c>
      <c r="AD360" s="35">
        <v>10150065004002</v>
      </c>
      <c r="AE360" s="63">
        <v>3</v>
      </c>
      <c r="AF360" s="63" t="s">
        <v>377</v>
      </c>
      <c r="AG360" s="29" t="s">
        <v>65</v>
      </c>
      <c r="AH360" s="75"/>
      <c r="AI360" s="65" t="s">
        <v>66</v>
      </c>
      <c r="AJ360" s="32" t="s">
        <v>6938</v>
      </c>
      <c r="AK360" s="33" t="s">
        <v>67</v>
      </c>
      <c r="AL360" s="76">
        <v>45590</v>
      </c>
      <c r="AM360" s="35" t="s">
        <v>66</v>
      </c>
      <c r="AN360" s="35"/>
      <c r="AO360" s="35"/>
      <c r="AP360" s="35"/>
      <c r="AQ360" s="37">
        <f t="shared" si="18"/>
        <v>0</v>
      </c>
      <c r="AR360" s="38">
        <f t="shared" si="19"/>
        <v>0</v>
      </c>
      <c r="AS360" s="39">
        <f t="shared" si="20"/>
        <v>0</v>
      </c>
      <c r="AT360" s="99"/>
      <c r="AU360" s="99" t="s">
        <v>1356</v>
      </c>
      <c r="AV360" s="99"/>
      <c r="AW360" s="100"/>
      <c r="AX360" s="99"/>
      <c r="AY360" s="101"/>
      <c r="AZ360" s="99"/>
      <c r="BA360" s="99" t="s">
        <v>1356</v>
      </c>
      <c r="BB360" s="99"/>
      <c r="BC360" s="101"/>
      <c r="BD360" s="99"/>
      <c r="BE360" s="101"/>
      <c r="BF360" s="99"/>
      <c r="BG360" s="99" t="s">
        <v>1356</v>
      </c>
      <c r="BH360" s="99"/>
      <c r="BI360" s="101"/>
      <c r="BJ360" s="99"/>
      <c r="BK360" s="101"/>
      <c r="BL360" s="99"/>
      <c r="BM360" s="99" t="s">
        <v>1356</v>
      </c>
      <c r="BN360" s="99"/>
      <c r="BO360" s="101"/>
      <c r="BP360" s="99"/>
      <c r="BQ360" s="101"/>
      <c r="BR360" s="99"/>
      <c r="BS360" s="99" t="s">
        <v>1356</v>
      </c>
      <c r="BT360" s="99"/>
      <c r="BU360" s="101"/>
      <c r="BV360" s="99"/>
      <c r="BW360" s="101"/>
      <c r="BX360" s="119"/>
      <c r="BY360" s="119" t="s">
        <v>1356</v>
      </c>
      <c r="BZ360" s="119"/>
      <c r="CA360" s="120"/>
      <c r="CB360" s="119"/>
      <c r="CC360" s="120"/>
      <c r="CD360" s="119"/>
      <c r="CE360" s="119" t="s">
        <v>1356</v>
      </c>
      <c r="CF360" s="119"/>
      <c r="CG360" s="120"/>
      <c r="CH360" s="119"/>
      <c r="CI360" s="120"/>
      <c r="CJ360" s="119"/>
      <c r="CK360" s="119" t="s">
        <v>1356</v>
      </c>
      <c r="CL360" s="119"/>
      <c r="CM360" s="120"/>
      <c r="CN360" s="119"/>
      <c r="CO360" s="120"/>
      <c r="CP360" s="119"/>
      <c r="CQ360" s="119" t="s">
        <v>1356</v>
      </c>
      <c r="CR360" s="119"/>
      <c r="CS360" s="120"/>
      <c r="CT360" s="119"/>
      <c r="CU360" s="120"/>
      <c r="CV360" s="119"/>
      <c r="CW360" s="119" t="s">
        <v>1356</v>
      </c>
      <c r="CX360" s="119"/>
      <c r="CY360" s="120"/>
      <c r="CZ360" s="119"/>
      <c r="DA360" s="120"/>
      <c r="DB360" s="128" t="s">
        <v>7085</v>
      </c>
      <c r="DC360" s="131" t="s">
        <v>6751</v>
      </c>
    </row>
    <row r="361" spans="1:107" s="40" customFormat="1" ht="14.55" customHeight="1" x14ac:dyDescent="0.3">
      <c r="A361" s="35" t="s">
        <v>4108</v>
      </c>
      <c r="B361" s="35" t="s">
        <v>4150</v>
      </c>
      <c r="C361" s="35" t="s">
        <v>4151</v>
      </c>
      <c r="D361" s="35" t="s">
        <v>3009</v>
      </c>
      <c r="E361" s="35" t="s">
        <v>3010</v>
      </c>
      <c r="F361" s="35" t="s">
        <v>825</v>
      </c>
      <c r="G361" s="35" t="s">
        <v>404</v>
      </c>
      <c r="H361" s="27" t="s">
        <v>6930</v>
      </c>
      <c r="I361" s="62">
        <v>101</v>
      </c>
      <c r="J361" s="62">
        <v>10162</v>
      </c>
      <c r="K361" s="63">
        <v>3</v>
      </c>
      <c r="L361" s="35" t="s">
        <v>3011</v>
      </c>
      <c r="M361" s="35" t="s">
        <v>258</v>
      </c>
      <c r="N361" s="35"/>
      <c r="O361" s="35"/>
      <c r="P361" s="35"/>
      <c r="Q361" s="35"/>
      <c r="R361" s="35"/>
      <c r="S361" s="35"/>
      <c r="T361" s="35"/>
      <c r="U361" s="35"/>
      <c r="V361" s="35"/>
      <c r="W361" s="35" t="s">
        <v>3012</v>
      </c>
      <c r="X361" s="35" t="s">
        <v>3013</v>
      </c>
      <c r="Y361" s="35" t="s">
        <v>3014</v>
      </c>
      <c r="Z361" s="35">
        <v>-78.968546569347382</v>
      </c>
      <c r="AA361" s="35">
        <v>-2.8564384579658499</v>
      </c>
      <c r="AB361" s="35">
        <v>10162001</v>
      </c>
      <c r="AC361" s="35">
        <v>10162001001</v>
      </c>
      <c r="AD361" s="35">
        <v>10162001001001</v>
      </c>
      <c r="AE361" s="63">
        <v>3</v>
      </c>
      <c r="AF361" s="63" t="s">
        <v>377</v>
      </c>
      <c r="AG361" s="29" t="s">
        <v>65</v>
      </c>
      <c r="AH361" s="75"/>
      <c r="AI361" s="65" t="s">
        <v>66</v>
      </c>
      <c r="AJ361" s="32" t="s">
        <v>6938</v>
      </c>
      <c r="AK361" s="33" t="s">
        <v>67</v>
      </c>
      <c r="AL361" s="76">
        <v>45574</v>
      </c>
      <c r="AM361" s="35" t="s">
        <v>66</v>
      </c>
      <c r="AN361" s="35"/>
      <c r="AO361" s="35"/>
      <c r="AP361" s="35"/>
      <c r="AQ361" s="37">
        <f t="shared" si="18"/>
        <v>0</v>
      </c>
      <c r="AR361" s="38">
        <f t="shared" si="19"/>
        <v>0</v>
      </c>
      <c r="AS361" s="39">
        <f t="shared" si="20"/>
        <v>0</v>
      </c>
      <c r="AT361" s="99"/>
      <c r="AU361" s="99" t="s">
        <v>1356</v>
      </c>
      <c r="AV361" s="99"/>
      <c r="AW361" s="100"/>
      <c r="AX361" s="99"/>
      <c r="AY361" s="101"/>
      <c r="AZ361" s="99"/>
      <c r="BA361" s="99" t="s">
        <v>1356</v>
      </c>
      <c r="BB361" s="99"/>
      <c r="BC361" s="101"/>
      <c r="BD361" s="99"/>
      <c r="BE361" s="101"/>
      <c r="BF361" s="99"/>
      <c r="BG361" s="99" t="s">
        <v>1356</v>
      </c>
      <c r="BH361" s="99"/>
      <c r="BI361" s="101"/>
      <c r="BJ361" s="99"/>
      <c r="BK361" s="101"/>
      <c r="BL361" s="99"/>
      <c r="BM361" s="99" t="s">
        <v>1356</v>
      </c>
      <c r="BN361" s="99"/>
      <c r="BO361" s="101"/>
      <c r="BP361" s="99"/>
      <c r="BQ361" s="101"/>
      <c r="BR361" s="99"/>
      <c r="BS361" s="99" t="s">
        <v>1356</v>
      </c>
      <c r="BT361" s="99"/>
      <c r="BU361" s="101"/>
      <c r="BV361" s="99"/>
      <c r="BW361" s="101"/>
      <c r="BX361" s="119"/>
      <c r="BY361" s="119" t="s">
        <v>1356</v>
      </c>
      <c r="BZ361" s="119"/>
      <c r="CA361" s="120"/>
      <c r="CB361" s="119"/>
      <c r="CC361" s="120"/>
      <c r="CD361" s="119"/>
      <c r="CE361" s="119" t="s">
        <v>1356</v>
      </c>
      <c r="CF361" s="119"/>
      <c r="CG361" s="120"/>
      <c r="CH361" s="119"/>
      <c r="CI361" s="120"/>
      <c r="CJ361" s="119"/>
      <c r="CK361" s="119" t="s">
        <v>1356</v>
      </c>
      <c r="CL361" s="119"/>
      <c r="CM361" s="120"/>
      <c r="CN361" s="119"/>
      <c r="CO361" s="120"/>
      <c r="CP361" s="119"/>
      <c r="CQ361" s="119" t="s">
        <v>1356</v>
      </c>
      <c r="CR361" s="119"/>
      <c r="CS361" s="120"/>
      <c r="CT361" s="119"/>
      <c r="CU361" s="120"/>
      <c r="CV361" s="119"/>
      <c r="CW361" s="119" t="s">
        <v>1356</v>
      </c>
      <c r="CX361" s="119"/>
      <c r="CY361" s="120"/>
      <c r="CZ361" s="119"/>
      <c r="DA361" s="120"/>
      <c r="DB361" s="128" t="s">
        <v>7085</v>
      </c>
      <c r="DC361" s="131" t="s">
        <v>105</v>
      </c>
    </row>
    <row r="362" spans="1:107" s="40" customFormat="1" ht="14.55" customHeight="1" x14ac:dyDescent="0.3">
      <c r="A362" s="42" t="s">
        <v>4219</v>
      </c>
      <c r="B362" s="42" t="s">
        <v>4959</v>
      </c>
      <c r="C362" s="42" t="s">
        <v>4960</v>
      </c>
      <c r="D362" s="42" t="s">
        <v>4961</v>
      </c>
      <c r="E362" s="42" t="s">
        <v>4962</v>
      </c>
      <c r="F362" s="42" t="s">
        <v>439</v>
      </c>
      <c r="G362" s="42" t="s">
        <v>4237</v>
      </c>
      <c r="H362" s="43" t="s">
        <v>686</v>
      </c>
      <c r="I362" s="44">
        <v>901</v>
      </c>
      <c r="J362" s="44">
        <v>90150</v>
      </c>
      <c r="K362" s="45">
        <v>4</v>
      </c>
      <c r="L362" s="42" t="s">
        <v>4446</v>
      </c>
      <c r="M362" s="42" t="s">
        <v>4963</v>
      </c>
      <c r="N362" s="42"/>
      <c r="O362" s="42" t="s">
        <v>4964</v>
      </c>
      <c r="P362" s="42"/>
      <c r="Q362" s="42"/>
      <c r="R362" s="42"/>
      <c r="S362" s="42"/>
      <c r="T362" s="42" t="s">
        <v>4965</v>
      </c>
      <c r="U362" s="42"/>
      <c r="V362" s="42" t="s">
        <v>4966</v>
      </c>
      <c r="W362" s="42" t="s">
        <v>4967</v>
      </c>
      <c r="X362" s="42" t="s">
        <v>4968</v>
      </c>
      <c r="Y362" s="42" t="s">
        <v>4969</v>
      </c>
      <c r="Z362" s="42"/>
      <c r="AA362" s="42"/>
      <c r="AB362" s="42">
        <v>90150308</v>
      </c>
      <c r="AC362" s="42">
        <v>90150308007</v>
      </c>
      <c r="AD362" s="42">
        <v>90150308007001</v>
      </c>
      <c r="AE362" s="45">
        <v>3</v>
      </c>
      <c r="AF362" s="45" t="s">
        <v>377</v>
      </c>
      <c r="AG362" s="46" t="s">
        <v>66</v>
      </c>
      <c r="AH362" s="47" t="s">
        <v>6954</v>
      </c>
      <c r="AI362" s="48" t="s">
        <v>66</v>
      </c>
      <c r="AJ362" s="49" t="s">
        <v>6938</v>
      </c>
      <c r="AK362" s="50" t="s">
        <v>67</v>
      </c>
      <c r="AL362" s="34">
        <v>45580</v>
      </c>
      <c r="AM362" s="52" t="s">
        <v>66</v>
      </c>
      <c r="AN362" s="42"/>
      <c r="AO362" s="42"/>
      <c r="AP362" s="42"/>
      <c r="AQ362" s="53">
        <f t="shared" si="18"/>
        <v>0</v>
      </c>
      <c r="AR362" s="54">
        <f t="shared" si="19"/>
        <v>3</v>
      </c>
      <c r="AS362" s="55">
        <f t="shared" si="20"/>
        <v>3</v>
      </c>
      <c r="AT362" s="96"/>
      <c r="AU362" s="96" t="s">
        <v>1356</v>
      </c>
      <c r="AV362" s="96"/>
      <c r="AW362" s="97"/>
      <c r="AX362" s="96"/>
      <c r="AY362" s="98"/>
      <c r="AZ362" s="96"/>
      <c r="BA362" s="96" t="s">
        <v>1356</v>
      </c>
      <c r="BB362" s="96"/>
      <c r="BC362" s="98"/>
      <c r="BD362" s="96"/>
      <c r="BE362" s="98"/>
      <c r="BF362" s="96"/>
      <c r="BG362" s="96" t="s">
        <v>1356</v>
      </c>
      <c r="BH362" s="96"/>
      <c r="BI362" s="98"/>
      <c r="BJ362" s="96"/>
      <c r="BK362" s="98"/>
      <c r="BL362" s="96"/>
      <c r="BM362" s="96" t="s">
        <v>1356</v>
      </c>
      <c r="BN362" s="96"/>
      <c r="BO362" s="98"/>
      <c r="BP362" s="96"/>
      <c r="BQ362" s="98"/>
      <c r="BR362" s="96"/>
      <c r="BS362" s="96" t="s">
        <v>1356</v>
      </c>
      <c r="BT362" s="96"/>
      <c r="BU362" s="98"/>
      <c r="BV362" s="96"/>
      <c r="BW362" s="98"/>
      <c r="BX362" s="117" t="s">
        <v>2248</v>
      </c>
      <c r="BY362" s="117" t="s">
        <v>2249</v>
      </c>
      <c r="BZ362" s="117">
        <v>2.8</v>
      </c>
      <c r="CA362" s="118">
        <v>45603</v>
      </c>
      <c r="CB362" s="117"/>
      <c r="CC362" s="118"/>
      <c r="CD362" s="117" t="s">
        <v>2248</v>
      </c>
      <c r="CE362" s="117" t="s">
        <v>2249</v>
      </c>
      <c r="CF362" s="117">
        <v>10.8</v>
      </c>
      <c r="CG362" s="118">
        <v>45603</v>
      </c>
      <c r="CH362" s="117"/>
      <c r="CI362" s="118"/>
      <c r="CJ362" s="117" t="s">
        <v>2248</v>
      </c>
      <c r="CK362" s="117" t="s">
        <v>2249</v>
      </c>
      <c r="CL362" s="117">
        <v>49.4</v>
      </c>
      <c r="CM362" s="118">
        <v>45603</v>
      </c>
      <c r="CN362" s="117"/>
      <c r="CO362" s="118"/>
      <c r="CP362" s="117"/>
      <c r="CQ362" s="117" t="s">
        <v>1356</v>
      </c>
      <c r="CR362" s="117"/>
      <c r="CS362" s="118"/>
      <c r="CT362" s="117"/>
      <c r="CU362" s="118"/>
      <c r="CV362" s="117"/>
      <c r="CW362" s="117" t="s">
        <v>1356</v>
      </c>
      <c r="CX362" s="117"/>
      <c r="CY362" s="118"/>
      <c r="CZ362" s="117"/>
      <c r="DA362" s="118"/>
      <c r="DB362" s="129" t="s">
        <v>6962</v>
      </c>
      <c r="DC362" s="130" t="s">
        <v>105</v>
      </c>
    </row>
    <row r="363" spans="1:107" s="40" customFormat="1" ht="14.55" customHeight="1" x14ac:dyDescent="0.3">
      <c r="A363" s="35" t="s">
        <v>4108</v>
      </c>
      <c r="B363" s="35" t="s">
        <v>4154</v>
      </c>
      <c r="C363" s="35">
        <v>190451100001</v>
      </c>
      <c r="D363" s="35" t="s">
        <v>3022</v>
      </c>
      <c r="E363" s="35" t="s">
        <v>70</v>
      </c>
      <c r="F363" s="35" t="s">
        <v>327</v>
      </c>
      <c r="G363" s="35" t="s">
        <v>404</v>
      </c>
      <c r="H363" s="27" t="s">
        <v>6930</v>
      </c>
      <c r="I363" s="62">
        <v>101</v>
      </c>
      <c r="J363" s="62">
        <v>10151</v>
      </c>
      <c r="K363" s="63">
        <v>4</v>
      </c>
      <c r="L363" s="35" t="s">
        <v>2301</v>
      </c>
      <c r="M363" s="35" t="s">
        <v>258</v>
      </c>
      <c r="N363" s="35"/>
      <c r="O363" s="35" t="s">
        <v>3023</v>
      </c>
      <c r="P363" s="35"/>
      <c r="Q363" s="35" t="s">
        <v>3024</v>
      </c>
      <c r="R363" s="35" t="s">
        <v>403</v>
      </c>
      <c r="S363" s="35"/>
      <c r="T363" s="35"/>
      <c r="U363" s="35"/>
      <c r="V363" s="35"/>
      <c r="W363" s="35" t="s">
        <v>3025</v>
      </c>
      <c r="X363" s="35" t="s">
        <v>3026</v>
      </c>
      <c r="Y363" s="35" t="s">
        <v>3027</v>
      </c>
      <c r="Z363" s="35"/>
      <c r="AA363" s="35"/>
      <c r="AB363" s="35"/>
      <c r="AC363" s="35"/>
      <c r="AD363" s="35"/>
      <c r="AE363" s="63">
        <v>3</v>
      </c>
      <c r="AF363" s="63" t="s">
        <v>377</v>
      </c>
      <c r="AG363" s="29" t="s">
        <v>65</v>
      </c>
      <c r="AH363" s="75"/>
      <c r="AI363" s="65" t="s">
        <v>66</v>
      </c>
      <c r="AJ363" s="32" t="s">
        <v>6938</v>
      </c>
      <c r="AK363" s="33" t="s">
        <v>67</v>
      </c>
      <c r="AL363" s="76">
        <v>45572</v>
      </c>
      <c r="AM363" s="35" t="s">
        <v>66</v>
      </c>
      <c r="AN363" s="35"/>
      <c r="AO363" s="35"/>
      <c r="AP363" s="35"/>
      <c r="AQ363" s="37">
        <f t="shared" si="18"/>
        <v>0</v>
      </c>
      <c r="AR363" s="38">
        <f t="shared" si="19"/>
        <v>0</v>
      </c>
      <c r="AS363" s="39">
        <f t="shared" si="20"/>
        <v>0</v>
      </c>
      <c r="AT363" s="99"/>
      <c r="AU363" s="99" t="s">
        <v>1356</v>
      </c>
      <c r="AV363" s="99"/>
      <c r="AW363" s="100"/>
      <c r="AX363" s="99"/>
      <c r="AY363" s="101"/>
      <c r="AZ363" s="99"/>
      <c r="BA363" s="99" t="s">
        <v>1356</v>
      </c>
      <c r="BB363" s="99"/>
      <c r="BC363" s="101"/>
      <c r="BD363" s="99"/>
      <c r="BE363" s="101"/>
      <c r="BF363" s="99"/>
      <c r="BG363" s="99" t="s">
        <v>1356</v>
      </c>
      <c r="BH363" s="99"/>
      <c r="BI363" s="101"/>
      <c r="BJ363" s="99"/>
      <c r="BK363" s="101"/>
      <c r="BL363" s="99"/>
      <c r="BM363" s="99" t="s">
        <v>1356</v>
      </c>
      <c r="BN363" s="99"/>
      <c r="BO363" s="101"/>
      <c r="BP363" s="99"/>
      <c r="BQ363" s="101"/>
      <c r="BR363" s="99"/>
      <c r="BS363" s="99" t="s">
        <v>1356</v>
      </c>
      <c r="BT363" s="99"/>
      <c r="BU363" s="101"/>
      <c r="BV363" s="99"/>
      <c r="BW363" s="101"/>
      <c r="BX363" s="119"/>
      <c r="BY363" s="119" t="s">
        <v>1356</v>
      </c>
      <c r="BZ363" s="119"/>
      <c r="CA363" s="120"/>
      <c r="CB363" s="119"/>
      <c r="CC363" s="120"/>
      <c r="CD363" s="119"/>
      <c r="CE363" s="119" t="s">
        <v>1356</v>
      </c>
      <c r="CF363" s="119"/>
      <c r="CG363" s="120"/>
      <c r="CH363" s="119"/>
      <c r="CI363" s="120"/>
      <c r="CJ363" s="119"/>
      <c r="CK363" s="119" t="s">
        <v>1356</v>
      </c>
      <c r="CL363" s="119"/>
      <c r="CM363" s="120"/>
      <c r="CN363" s="119"/>
      <c r="CO363" s="120"/>
      <c r="CP363" s="119"/>
      <c r="CQ363" s="119" t="s">
        <v>1356</v>
      </c>
      <c r="CR363" s="119"/>
      <c r="CS363" s="120"/>
      <c r="CT363" s="119"/>
      <c r="CU363" s="120"/>
      <c r="CV363" s="119"/>
      <c r="CW363" s="119" t="s">
        <v>1356</v>
      </c>
      <c r="CX363" s="119"/>
      <c r="CY363" s="120"/>
      <c r="CZ363" s="119"/>
      <c r="DA363" s="120"/>
      <c r="DB363" s="128" t="s">
        <v>7085</v>
      </c>
      <c r="DC363" s="131" t="s">
        <v>6751</v>
      </c>
    </row>
    <row r="364" spans="1:107" s="40" customFormat="1" ht="14.55" customHeight="1" x14ac:dyDescent="0.3">
      <c r="A364" s="42" t="s">
        <v>4219</v>
      </c>
      <c r="B364" s="42" t="s">
        <v>4979</v>
      </c>
      <c r="C364" s="42" t="s">
        <v>4980</v>
      </c>
      <c r="D364" s="42" t="s">
        <v>4981</v>
      </c>
      <c r="E364" s="42" t="s">
        <v>4982</v>
      </c>
      <c r="F364" s="42" t="s">
        <v>233</v>
      </c>
      <c r="G364" s="42" t="s">
        <v>4237</v>
      </c>
      <c r="H364" s="43" t="s">
        <v>686</v>
      </c>
      <c r="I364" s="44">
        <v>901</v>
      </c>
      <c r="J364" s="44">
        <v>90150</v>
      </c>
      <c r="K364" s="45">
        <v>4</v>
      </c>
      <c r="L364" s="42" t="s">
        <v>4983</v>
      </c>
      <c r="M364" s="42"/>
      <c r="N364" s="42" t="s">
        <v>4984</v>
      </c>
      <c r="O364" s="42"/>
      <c r="P364" s="42"/>
      <c r="Q364" s="42"/>
      <c r="R364" s="42"/>
      <c r="S364" s="42"/>
      <c r="T364" s="42"/>
      <c r="U364" s="42"/>
      <c r="V364" s="42"/>
      <c r="W364" s="42" t="s">
        <v>4985</v>
      </c>
      <c r="X364" s="42" t="s">
        <v>4986</v>
      </c>
      <c r="Y364" s="42" t="s">
        <v>4987</v>
      </c>
      <c r="Z364" s="42">
        <v>-79.933374047279358</v>
      </c>
      <c r="AA364" s="42">
        <v>-2.1594167053699498</v>
      </c>
      <c r="AB364" s="42">
        <v>90150330</v>
      </c>
      <c r="AC364" s="42">
        <v>90150330004</v>
      </c>
      <c r="AD364" s="42">
        <v>90150330004001</v>
      </c>
      <c r="AE364" s="45">
        <v>3</v>
      </c>
      <c r="AF364" s="45" t="s">
        <v>377</v>
      </c>
      <c r="AG364" s="46" t="s">
        <v>66</v>
      </c>
      <c r="AH364" s="47" t="s">
        <v>4988</v>
      </c>
      <c r="AI364" s="48" t="s">
        <v>66</v>
      </c>
      <c r="AJ364" s="49" t="s">
        <v>6938</v>
      </c>
      <c r="AK364" s="50" t="s">
        <v>67</v>
      </c>
      <c r="AL364" s="34">
        <v>45580</v>
      </c>
      <c r="AM364" s="52" t="s">
        <v>66</v>
      </c>
      <c r="AN364" s="42"/>
      <c r="AO364" s="42"/>
      <c r="AP364" s="42"/>
      <c r="AQ364" s="53">
        <f t="shared" si="18"/>
        <v>1</v>
      </c>
      <c r="AR364" s="54">
        <f t="shared" si="19"/>
        <v>0</v>
      </c>
      <c r="AS364" s="55">
        <f t="shared" si="20"/>
        <v>1</v>
      </c>
      <c r="AT364" s="96" t="s">
        <v>6773</v>
      </c>
      <c r="AU364" s="96" t="s">
        <v>6774</v>
      </c>
      <c r="AV364" s="96" t="s">
        <v>6775</v>
      </c>
      <c r="AW364" s="97" t="s">
        <v>6776</v>
      </c>
      <c r="AX364" s="96" t="s">
        <v>6775</v>
      </c>
      <c r="AY364" s="98" t="s">
        <v>6776</v>
      </c>
      <c r="AZ364" s="96"/>
      <c r="BA364" s="96" t="s">
        <v>1356</v>
      </c>
      <c r="BB364" s="96"/>
      <c r="BC364" s="98"/>
      <c r="BD364" s="96"/>
      <c r="BE364" s="98"/>
      <c r="BF364" s="96"/>
      <c r="BG364" s="96" t="s">
        <v>1356</v>
      </c>
      <c r="BH364" s="96"/>
      <c r="BI364" s="98"/>
      <c r="BJ364" s="96"/>
      <c r="BK364" s="98"/>
      <c r="BL364" s="96"/>
      <c r="BM364" s="96" t="s">
        <v>1356</v>
      </c>
      <c r="BN364" s="96"/>
      <c r="BO364" s="98"/>
      <c r="BP364" s="96"/>
      <c r="BQ364" s="98"/>
      <c r="BR364" s="96"/>
      <c r="BS364" s="96" t="s">
        <v>1356</v>
      </c>
      <c r="BT364" s="96"/>
      <c r="BU364" s="98"/>
      <c r="BV364" s="96"/>
      <c r="BW364" s="98"/>
      <c r="BX364" s="117"/>
      <c r="BY364" s="117" t="s">
        <v>1356</v>
      </c>
      <c r="BZ364" s="117"/>
      <c r="CA364" s="118"/>
      <c r="CB364" s="117"/>
      <c r="CC364" s="118"/>
      <c r="CD364" s="117"/>
      <c r="CE364" s="117" t="s">
        <v>1356</v>
      </c>
      <c r="CF364" s="117"/>
      <c r="CG364" s="118"/>
      <c r="CH364" s="117"/>
      <c r="CI364" s="118"/>
      <c r="CJ364" s="117"/>
      <c r="CK364" s="117" t="s">
        <v>1356</v>
      </c>
      <c r="CL364" s="117"/>
      <c r="CM364" s="118"/>
      <c r="CN364" s="117"/>
      <c r="CO364" s="118"/>
      <c r="CP364" s="117"/>
      <c r="CQ364" s="117" t="s">
        <v>1356</v>
      </c>
      <c r="CR364" s="117"/>
      <c r="CS364" s="118"/>
      <c r="CT364" s="117"/>
      <c r="CU364" s="118"/>
      <c r="CV364" s="117"/>
      <c r="CW364" s="117" t="s">
        <v>1356</v>
      </c>
      <c r="CX364" s="117"/>
      <c r="CY364" s="118"/>
      <c r="CZ364" s="117"/>
      <c r="DA364" s="118"/>
      <c r="DB364" s="129" t="s">
        <v>6962</v>
      </c>
      <c r="DC364" s="130" t="s">
        <v>105</v>
      </c>
    </row>
    <row r="365" spans="1:107" s="40" customFormat="1" ht="14.55" customHeight="1" x14ac:dyDescent="0.3">
      <c r="A365" s="35" t="s">
        <v>4108</v>
      </c>
      <c r="B365" s="35" t="s">
        <v>4157</v>
      </c>
      <c r="C365" s="35" t="s">
        <v>4158</v>
      </c>
      <c r="D365" s="35" t="s">
        <v>3034</v>
      </c>
      <c r="E365" s="35" t="s">
        <v>3035</v>
      </c>
      <c r="F365" s="35" t="s">
        <v>3036</v>
      </c>
      <c r="G365" s="35" t="s">
        <v>2928</v>
      </c>
      <c r="H365" s="27" t="s">
        <v>6929</v>
      </c>
      <c r="I365" s="62">
        <v>701</v>
      </c>
      <c r="J365" s="62">
        <v>70150</v>
      </c>
      <c r="K365" s="63">
        <v>4</v>
      </c>
      <c r="L365" s="35" t="s">
        <v>3037</v>
      </c>
      <c r="M365" s="35" t="s">
        <v>3038</v>
      </c>
      <c r="N365" s="35" t="s">
        <v>3039</v>
      </c>
      <c r="O365" s="35"/>
      <c r="P365" s="35"/>
      <c r="Q365" s="35"/>
      <c r="R365" s="35"/>
      <c r="S365" s="35"/>
      <c r="T365" s="35"/>
      <c r="U365" s="35"/>
      <c r="V365" s="35"/>
      <c r="W365" s="35" t="s">
        <v>3040</v>
      </c>
      <c r="X365" s="35"/>
      <c r="Y365" s="35" t="s">
        <v>3041</v>
      </c>
      <c r="Z365" s="35"/>
      <c r="AA365" s="35"/>
      <c r="AB365" s="35"/>
      <c r="AC365" s="35"/>
      <c r="AD365" s="35"/>
      <c r="AE365" s="63">
        <v>4</v>
      </c>
      <c r="AF365" s="63" t="s">
        <v>499</v>
      </c>
      <c r="AG365" s="29" t="s">
        <v>65</v>
      </c>
      <c r="AH365" s="75"/>
      <c r="AI365" s="65" t="s">
        <v>65</v>
      </c>
      <c r="AJ365" s="32" t="s">
        <v>6938</v>
      </c>
      <c r="AK365" s="33" t="s">
        <v>92</v>
      </c>
      <c r="AL365" s="76">
        <v>45589</v>
      </c>
      <c r="AM365" s="35"/>
      <c r="AN365" s="35"/>
      <c r="AO365" s="35"/>
      <c r="AP365" s="35"/>
      <c r="AQ365" s="37">
        <f t="shared" si="18"/>
        <v>0</v>
      </c>
      <c r="AR365" s="38">
        <f t="shared" si="19"/>
        <v>0</v>
      </c>
      <c r="AS365" s="39">
        <f t="shared" si="20"/>
        <v>0</v>
      </c>
      <c r="AT365" s="99"/>
      <c r="AU365" s="99" t="s">
        <v>1356</v>
      </c>
      <c r="AV365" s="99"/>
      <c r="AW365" s="100"/>
      <c r="AX365" s="99"/>
      <c r="AY365" s="101"/>
      <c r="AZ365" s="99"/>
      <c r="BA365" s="99" t="s">
        <v>1356</v>
      </c>
      <c r="BB365" s="99"/>
      <c r="BC365" s="101"/>
      <c r="BD365" s="99"/>
      <c r="BE365" s="101"/>
      <c r="BF365" s="99"/>
      <c r="BG365" s="99" t="s">
        <v>1356</v>
      </c>
      <c r="BH365" s="99"/>
      <c r="BI365" s="101"/>
      <c r="BJ365" s="99"/>
      <c r="BK365" s="101"/>
      <c r="BL365" s="99"/>
      <c r="BM365" s="99" t="s">
        <v>1356</v>
      </c>
      <c r="BN365" s="99"/>
      <c r="BO365" s="101"/>
      <c r="BP365" s="99"/>
      <c r="BQ365" s="101"/>
      <c r="BR365" s="99"/>
      <c r="BS365" s="99" t="s">
        <v>1356</v>
      </c>
      <c r="BT365" s="99"/>
      <c r="BU365" s="101"/>
      <c r="BV365" s="99"/>
      <c r="BW365" s="101"/>
      <c r="BX365" s="119"/>
      <c r="BY365" s="119" t="s">
        <v>1356</v>
      </c>
      <c r="BZ365" s="119"/>
      <c r="CA365" s="120"/>
      <c r="CB365" s="119"/>
      <c r="CC365" s="120"/>
      <c r="CD365" s="119"/>
      <c r="CE365" s="119" t="s">
        <v>1356</v>
      </c>
      <c r="CF365" s="119"/>
      <c r="CG365" s="120"/>
      <c r="CH365" s="119"/>
      <c r="CI365" s="120"/>
      <c r="CJ365" s="119"/>
      <c r="CK365" s="119" t="s">
        <v>1356</v>
      </c>
      <c r="CL365" s="119"/>
      <c r="CM365" s="120"/>
      <c r="CN365" s="119"/>
      <c r="CO365" s="120"/>
      <c r="CP365" s="119"/>
      <c r="CQ365" s="119" t="s">
        <v>1356</v>
      </c>
      <c r="CR365" s="119"/>
      <c r="CS365" s="120"/>
      <c r="CT365" s="119"/>
      <c r="CU365" s="120"/>
      <c r="CV365" s="119"/>
      <c r="CW365" s="119" t="s">
        <v>1356</v>
      </c>
      <c r="CX365" s="119"/>
      <c r="CY365" s="120"/>
      <c r="CZ365" s="119"/>
      <c r="DA365" s="120"/>
      <c r="DB365" s="128" t="s">
        <v>7085</v>
      </c>
      <c r="DC365" s="131" t="s">
        <v>6751</v>
      </c>
    </row>
    <row r="366" spans="1:107" s="40" customFormat="1" ht="14.55" customHeight="1" x14ac:dyDescent="0.3">
      <c r="A366" s="35" t="s">
        <v>4219</v>
      </c>
      <c r="B366" s="35" t="s">
        <v>5989</v>
      </c>
      <c r="C366" s="35" t="s">
        <v>5990</v>
      </c>
      <c r="D366" s="35" t="s">
        <v>5991</v>
      </c>
      <c r="E366" s="35" t="s">
        <v>70</v>
      </c>
      <c r="F366" s="35" t="s">
        <v>210</v>
      </c>
      <c r="G366" s="35" t="s">
        <v>4237</v>
      </c>
      <c r="H366" s="27" t="s">
        <v>686</v>
      </c>
      <c r="I366" s="62">
        <v>907</v>
      </c>
      <c r="J366" s="62">
        <v>90750</v>
      </c>
      <c r="K366" s="63">
        <v>4</v>
      </c>
      <c r="L366" s="35" t="s">
        <v>5118</v>
      </c>
      <c r="M366" s="35" t="s">
        <v>258</v>
      </c>
      <c r="N366" s="35" t="s">
        <v>258</v>
      </c>
      <c r="O366" s="35" t="s">
        <v>2336</v>
      </c>
      <c r="P366" s="35"/>
      <c r="Q366" s="35"/>
      <c r="R366" s="35" t="s">
        <v>60</v>
      </c>
      <c r="S366" s="35"/>
      <c r="T366" s="35"/>
      <c r="U366" s="35" t="s">
        <v>4657</v>
      </c>
      <c r="V366" s="35"/>
      <c r="W366" s="35" t="s">
        <v>5992</v>
      </c>
      <c r="X366" s="35" t="s">
        <v>5993</v>
      </c>
      <c r="Y366" s="35" t="s">
        <v>5994</v>
      </c>
      <c r="Z366" s="35">
        <v>-79.830565000000007</v>
      </c>
      <c r="AA366" s="35">
        <v>-2.1811430000000001</v>
      </c>
      <c r="AB366" s="35">
        <v>90750069</v>
      </c>
      <c r="AC366" s="35">
        <v>90750069001</v>
      </c>
      <c r="AD366" s="35">
        <v>90750069001005</v>
      </c>
      <c r="AE366" s="63">
        <v>5</v>
      </c>
      <c r="AF366" s="63" t="s">
        <v>772</v>
      </c>
      <c r="AG366" s="46" t="s">
        <v>66</v>
      </c>
      <c r="AH366" s="64">
        <v>80151</v>
      </c>
      <c r="AI366" s="65" t="s">
        <v>66</v>
      </c>
      <c r="AJ366" s="32" t="s">
        <v>6938</v>
      </c>
      <c r="AK366" s="33" t="s">
        <v>67</v>
      </c>
      <c r="AL366" s="34">
        <v>45580</v>
      </c>
      <c r="AM366" s="52" t="s">
        <v>66</v>
      </c>
      <c r="AN366" s="35"/>
      <c r="AO366" s="35"/>
      <c r="AP366" s="35"/>
      <c r="AQ366" s="37">
        <f t="shared" si="18"/>
        <v>2</v>
      </c>
      <c r="AR366" s="38">
        <f t="shared" si="19"/>
        <v>0</v>
      </c>
      <c r="AS366" s="39">
        <f t="shared" si="20"/>
        <v>2</v>
      </c>
      <c r="AT366" s="99" t="s">
        <v>879</v>
      </c>
      <c r="AU366" s="99" t="s">
        <v>6702</v>
      </c>
      <c r="AV366" s="99" t="s">
        <v>7047</v>
      </c>
      <c r="AW366" s="100">
        <v>45291</v>
      </c>
      <c r="AX366" s="99"/>
      <c r="AY366" s="101"/>
      <c r="AZ366" s="99" t="s">
        <v>217</v>
      </c>
      <c r="BA366" s="99" t="s">
        <v>6703</v>
      </c>
      <c r="BB366" s="99" t="s">
        <v>7048</v>
      </c>
      <c r="BC366" s="101">
        <v>45291</v>
      </c>
      <c r="BD366" s="99"/>
      <c r="BE366" s="101"/>
      <c r="BF366" s="99"/>
      <c r="BG366" s="99" t="s">
        <v>1356</v>
      </c>
      <c r="BH366" s="99"/>
      <c r="BI366" s="101"/>
      <c r="BJ366" s="99"/>
      <c r="BK366" s="101"/>
      <c r="BL366" s="99"/>
      <c r="BM366" s="99" t="s">
        <v>1356</v>
      </c>
      <c r="BN366" s="99"/>
      <c r="BO366" s="101"/>
      <c r="BP366" s="99"/>
      <c r="BQ366" s="101"/>
      <c r="BR366" s="99"/>
      <c r="BS366" s="99" t="s">
        <v>1356</v>
      </c>
      <c r="BT366" s="99"/>
      <c r="BU366" s="101"/>
      <c r="BV366" s="99"/>
      <c r="BW366" s="101"/>
      <c r="BX366" s="119"/>
      <c r="BY366" s="119" t="s">
        <v>1356</v>
      </c>
      <c r="BZ366" s="119"/>
      <c r="CA366" s="120"/>
      <c r="CB366" s="119"/>
      <c r="CC366" s="120"/>
      <c r="CD366" s="119"/>
      <c r="CE366" s="119" t="s">
        <v>1356</v>
      </c>
      <c r="CF366" s="119"/>
      <c r="CG366" s="120"/>
      <c r="CH366" s="119"/>
      <c r="CI366" s="120"/>
      <c r="CJ366" s="119"/>
      <c r="CK366" s="119" t="s">
        <v>1356</v>
      </c>
      <c r="CL366" s="119"/>
      <c r="CM366" s="120"/>
      <c r="CN366" s="119"/>
      <c r="CO366" s="120"/>
      <c r="CP366" s="119"/>
      <c r="CQ366" s="119" t="s">
        <v>1356</v>
      </c>
      <c r="CR366" s="119"/>
      <c r="CS366" s="120"/>
      <c r="CT366" s="119"/>
      <c r="CU366" s="120"/>
      <c r="CV366" s="119"/>
      <c r="CW366" s="119" t="s">
        <v>1356</v>
      </c>
      <c r="CX366" s="119"/>
      <c r="CY366" s="120"/>
      <c r="CZ366" s="119"/>
      <c r="DA366" s="120"/>
      <c r="DB366" s="129" t="s">
        <v>6962</v>
      </c>
      <c r="DC366" s="131" t="s">
        <v>105</v>
      </c>
    </row>
    <row r="367" spans="1:107" s="40" customFormat="1" ht="14.55" customHeight="1" x14ac:dyDescent="0.3">
      <c r="A367" s="35" t="s">
        <v>4108</v>
      </c>
      <c r="B367" s="35" t="s">
        <v>4161</v>
      </c>
      <c r="C367" s="35" t="s">
        <v>4162</v>
      </c>
      <c r="D367" s="35" t="s">
        <v>3051</v>
      </c>
      <c r="E367" s="35" t="s">
        <v>70</v>
      </c>
      <c r="F367" s="35" t="s">
        <v>190</v>
      </c>
      <c r="G367" s="35" t="s">
        <v>2928</v>
      </c>
      <c r="H367" s="27" t="s">
        <v>6929</v>
      </c>
      <c r="I367" s="62">
        <v>701</v>
      </c>
      <c r="J367" s="62">
        <v>70150</v>
      </c>
      <c r="K367" s="63">
        <v>3</v>
      </c>
      <c r="L367" s="35" t="s">
        <v>3052</v>
      </c>
      <c r="M367" s="35" t="s">
        <v>267</v>
      </c>
      <c r="N367" s="35" t="s">
        <v>3053</v>
      </c>
      <c r="O367" s="35"/>
      <c r="P367" s="35"/>
      <c r="Q367" s="35" t="s">
        <v>3054</v>
      </c>
      <c r="R367" s="35" t="s">
        <v>113</v>
      </c>
      <c r="S367" s="35"/>
      <c r="T367" s="35"/>
      <c r="U367" s="35" t="s">
        <v>3055</v>
      </c>
      <c r="V367" s="35"/>
      <c r="W367" s="35" t="s">
        <v>3056</v>
      </c>
      <c r="X367" s="35" t="s">
        <v>3057</v>
      </c>
      <c r="Y367" s="35" t="s">
        <v>3058</v>
      </c>
      <c r="Z367" s="35">
        <v>-79.957886000000002</v>
      </c>
      <c r="AA367" s="35">
        <v>-3.2846340000000001</v>
      </c>
      <c r="AB367" s="35">
        <v>70150065</v>
      </c>
      <c r="AC367" s="35">
        <v>70150065001</v>
      </c>
      <c r="AD367" s="35">
        <v>70150065001007</v>
      </c>
      <c r="AE367" s="63">
        <v>4</v>
      </c>
      <c r="AF367" s="63" t="s">
        <v>499</v>
      </c>
      <c r="AG367" s="29" t="s">
        <v>65</v>
      </c>
      <c r="AH367" s="75"/>
      <c r="AI367" s="65" t="s">
        <v>66</v>
      </c>
      <c r="AJ367" s="32" t="s">
        <v>6938</v>
      </c>
      <c r="AK367" s="33" t="s">
        <v>67</v>
      </c>
      <c r="AL367" s="76">
        <v>45588</v>
      </c>
      <c r="AM367" s="35" t="s">
        <v>66</v>
      </c>
      <c r="AN367" s="35"/>
      <c r="AO367" s="35"/>
      <c r="AP367" s="35"/>
      <c r="AQ367" s="37">
        <f t="shared" si="18"/>
        <v>0</v>
      </c>
      <c r="AR367" s="38">
        <f t="shared" si="19"/>
        <v>0</v>
      </c>
      <c r="AS367" s="39">
        <f t="shared" si="20"/>
        <v>0</v>
      </c>
      <c r="AT367" s="99"/>
      <c r="AU367" s="99" t="s">
        <v>1356</v>
      </c>
      <c r="AV367" s="99"/>
      <c r="AW367" s="100"/>
      <c r="AX367" s="99"/>
      <c r="AY367" s="101"/>
      <c r="AZ367" s="99"/>
      <c r="BA367" s="99" t="s">
        <v>1356</v>
      </c>
      <c r="BB367" s="99"/>
      <c r="BC367" s="101"/>
      <c r="BD367" s="99"/>
      <c r="BE367" s="101"/>
      <c r="BF367" s="99"/>
      <c r="BG367" s="99" t="s">
        <v>1356</v>
      </c>
      <c r="BH367" s="99"/>
      <c r="BI367" s="101"/>
      <c r="BJ367" s="99"/>
      <c r="BK367" s="101"/>
      <c r="BL367" s="99"/>
      <c r="BM367" s="99" t="s">
        <v>1356</v>
      </c>
      <c r="BN367" s="99"/>
      <c r="BO367" s="101"/>
      <c r="BP367" s="99"/>
      <c r="BQ367" s="101"/>
      <c r="BR367" s="99"/>
      <c r="BS367" s="99" t="s">
        <v>1356</v>
      </c>
      <c r="BT367" s="99"/>
      <c r="BU367" s="101"/>
      <c r="BV367" s="99"/>
      <c r="BW367" s="101"/>
      <c r="BX367" s="119"/>
      <c r="BY367" s="119" t="s">
        <v>1356</v>
      </c>
      <c r="BZ367" s="119"/>
      <c r="CA367" s="120"/>
      <c r="CB367" s="119"/>
      <c r="CC367" s="120"/>
      <c r="CD367" s="119"/>
      <c r="CE367" s="119" t="s">
        <v>1356</v>
      </c>
      <c r="CF367" s="119"/>
      <c r="CG367" s="120"/>
      <c r="CH367" s="119"/>
      <c r="CI367" s="120"/>
      <c r="CJ367" s="119"/>
      <c r="CK367" s="119" t="s">
        <v>1356</v>
      </c>
      <c r="CL367" s="119"/>
      <c r="CM367" s="120"/>
      <c r="CN367" s="119"/>
      <c r="CO367" s="120"/>
      <c r="CP367" s="119"/>
      <c r="CQ367" s="119" t="s">
        <v>1356</v>
      </c>
      <c r="CR367" s="119"/>
      <c r="CS367" s="120"/>
      <c r="CT367" s="119"/>
      <c r="CU367" s="120"/>
      <c r="CV367" s="119"/>
      <c r="CW367" s="119" t="s">
        <v>1356</v>
      </c>
      <c r="CX367" s="119"/>
      <c r="CY367" s="120"/>
      <c r="CZ367" s="119"/>
      <c r="DA367" s="120"/>
      <c r="DB367" s="128" t="s">
        <v>7085</v>
      </c>
      <c r="DC367" s="131" t="s">
        <v>2935</v>
      </c>
    </row>
    <row r="368" spans="1:107" s="40" customFormat="1" ht="14.55" customHeight="1" x14ac:dyDescent="0.3">
      <c r="A368" s="35" t="s">
        <v>4219</v>
      </c>
      <c r="B368" s="35" t="s">
        <v>6509</v>
      </c>
      <c r="C368" s="35" t="s">
        <v>6510</v>
      </c>
      <c r="D368" s="35" t="s">
        <v>6511</v>
      </c>
      <c r="E368" s="35" t="s">
        <v>70</v>
      </c>
      <c r="F368" s="35" t="s">
        <v>210</v>
      </c>
      <c r="G368" s="35" t="s">
        <v>4484</v>
      </c>
      <c r="H368" s="27" t="s">
        <v>6936</v>
      </c>
      <c r="I368" s="62">
        <v>1201</v>
      </c>
      <c r="J368" s="62">
        <v>120154</v>
      </c>
      <c r="K368" s="63">
        <v>4</v>
      </c>
      <c r="L368" s="35" t="s">
        <v>6512</v>
      </c>
      <c r="M368" s="35" t="s">
        <v>258</v>
      </c>
      <c r="N368" s="35" t="s">
        <v>6513</v>
      </c>
      <c r="O368" s="35" t="s">
        <v>979</v>
      </c>
      <c r="P368" s="35"/>
      <c r="Q368" s="35" t="s">
        <v>6514</v>
      </c>
      <c r="R368" s="35" t="s">
        <v>60</v>
      </c>
      <c r="S368" s="35"/>
      <c r="T368" s="35"/>
      <c r="U368" s="35" t="s">
        <v>6515</v>
      </c>
      <c r="V368" s="35"/>
      <c r="W368" s="35" t="s">
        <v>6516</v>
      </c>
      <c r="X368" s="35" t="s">
        <v>6517</v>
      </c>
      <c r="Y368" s="35" t="s">
        <v>6518</v>
      </c>
      <c r="Z368" s="35"/>
      <c r="AA368" s="35"/>
      <c r="AB368" s="35">
        <v>120154999</v>
      </c>
      <c r="AC368" s="35">
        <v>120154999076</v>
      </c>
      <c r="AD368" s="35"/>
      <c r="AE368" s="63">
        <v>5</v>
      </c>
      <c r="AF368" s="63" t="s">
        <v>772</v>
      </c>
      <c r="AG368" s="46" t="s">
        <v>66</v>
      </c>
      <c r="AH368" s="64">
        <v>80149</v>
      </c>
      <c r="AI368" s="65" t="s">
        <v>66</v>
      </c>
      <c r="AJ368" s="32" t="s">
        <v>6938</v>
      </c>
      <c r="AK368" s="33" t="s">
        <v>67</v>
      </c>
      <c r="AL368" s="58">
        <v>45580</v>
      </c>
      <c r="AM368" s="52" t="s">
        <v>66</v>
      </c>
      <c r="AN368" s="35"/>
      <c r="AO368" s="35"/>
      <c r="AP368" s="35"/>
      <c r="AQ368" s="37">
        <f t="shared" si="18"/>
        <v>1</v>
      </c>
      <c r="AR368" s="38">
        <f t="shared" si="19"/>
        <v>0</v>
      </c>
      <c r="AS368" s="39">
        <f t="shared" si="20"/>
        <v>1</v>
      </c>
      <c r="AT368" s="99" t="s">
        <v>879</v>
      </c>
      <c r="AU368" s="99" t="s">
        <v>6979</v>
      </c>
      <c r="AV368" s="99" t="s">
        <v>6980</v>
      </c>
      <c r="AW368" s="100">
        <v>45330</v>
      </c>
      <c r="AX368" s="99"/>
      <c r="AY368" s="101"/>
      <c r="AZ368" s="99"/>
      <c r="BA368" s="99" t="s">
        <v>1356</v>
      </c>
      <c r="BB368" s="99"/>
      <c r="BC368" s="101"/>
      <c r="BD368" s="99"/>
      <c r="BE368" s="101"/>
      <c r="BF368" s="99"/>
      <c r="BG368" s="99" t="s">
        <v>1356</v>
      </c>
      <c r="BH368" s="99"/>
      <c r="BI368" s="101"/>
      <c r="BJ368" s="99"/>
      <c r="BK368" s="101"/>
      <c r="BL368" s="99"/>
      <c r="BM368" s="99" t="s">
        <v>1356</v>
      </c>
      <c r="BN368" s="99"/>
      <c r="BO368" s="101"/>
      <c r="BP368" s="99"/>
      <c r="BQ368" s="101"/>
      <c r="BR368" s="99"/>
      <c r="BS368" s="99" t="s">
        <v>1356</v>
      </c>
      <c r="BT368" s="99"/>
      <c r="BU368" s="101"/>
      <c r="BV368" s="99"/>
      <c r="BW368" s="101"/>
      <c r="BX368" s="119"/>
      <c r="BY368" s="119" t="s">
        <v>1356</v>
      </c>
      <c r="BZ368" s="119"/>
      <c r="CA368" s="120"/>
      <c r="CB368" s="119"/>
      <c r="CC368" s="120"/>
      <c r="CD368" s="119"/>
      <c r="CE368" s="119" t="s">
        <v>1356</v>
      </c>
      <c r="CF368" s="119"/>
      <c r="CG368" s="120"/>
      <c r="CH368" s="119"/>
      <c r="CI368" s="120"/>
      <c r="CJ368" s="119"/>
      <c r="CK368" s="119" t="s">
        <v>1356</v>
      </c>
      <c r="CL368" s="119"/>
      <c r="CM368" s="120"/>
      <c r="CN368" s="119"/>
      <c r="CO368" s="120"/>
      <c r="CP368" s="119"/>
      <c r="CQ368" s="119" t="s">
        <v>1356</v>
      </c>
      <c r="CR368" s="119"/>
      <c r="CS368" s="120"/>
      <c r="CT368" s="119"/>
      <c r="CU368" s="120"/>
      <c r="CV368" s="119"/>
      <c r="CW368" s="119" t="s">
        <v>1356</v>
      </c>
      <c r="CX368" s="119"/>
      <c r="CY368" s="120"/>
      <c r="CZ368" s="119"/>
      <c r="DA368" s="120"/>
      <c r="DB368" s="129" t="s">
        <v>6962</v>
      </c>
      <c r="DC368" s="131" t="s">
        <v>105</v>
      </c>
    </row>
    <row r="369" spans="1:107" s="40" customFormat="1" ht="14.55" customHeight="1" x14ac:dyDescent="0.3">
      <c r="A369" s="35" t="s">
        <v>4108</v>
      </c>
      <c r="B369" s="35" t="s">
        <v>4165</v>
      </c>
      <c r="C369" s="35" t="s">
        <v>4166</v>
      </c>
      <c r="D369" s="35" t="s">
        <v>3068</v>
      </c>
      <c r="E369" s="35" t="s">
        <v>70</v>
      </c>
      <c r="F369" s="35" t="s">
        <v>243</v>
      </c>
      <c r="G369" s="35" t="s">
        <v>2928</v>
      </c>
      <c r="H369" s="27" t="s">
        <v>6929</v>
      </c>
      <c r="I369" s="62">
        <v>701</v>
      </c>
      <c r="J369" s="62">
        <v>70150</v>
      </c>
      <c r="K369" s="63">
        <v>4</v>
      </c>
      <c r="L369" s="35" t="s">
        <v>3069</v>
      </c>
      <c r="M369" s="35"/>
      <c r="N369" s="35" t="s">
        <v>3070</v>
      </c>
      <c r="O369" s="35"/>
      <c r="P369" s="35"/>
      <c r="Q369" s="35"/>
      <c r="R369" s="35"/>
      <c r="S369" s="35"/>
      <c r="T369" s="35"/>
      <c r="U369" s="35"/>
      <c r="V369" s="35"/>
      <c r="W369" s="35" t="s">
        <v>3071</v>
      </c>
      <c r="X369" s="35"/>
      <c r="Y369" s="35" t="s">
        <v>3072</v>
      </c>
      <c r="Z369" s="35"/>
      <c r="AA369" s="35"/>
      <c r="AB369" s="35"/>
      <c r="AC369" s="35"/>
      <c r="AD369" s="35"/>
      <c r="AE369" s="63">
        <v>4</v>
      </c>
      <c r="AF369" s="63" t="s">
        <v>499</v>
      </c>
      <c r="AG369" s="29" t="s">
        <v>65</v>
      </c>
      <c r="AH369" s="75"/>
      <c r="AI369" s="65" t="s">
        <v>65</v>
      </c>
      <c r="AJ369" s="32" t="s">
        <v>6938</v>
      </c>
      <c r="AK369" s="33" t="s">
        <v>92</v>
      </c>
      <c r="AL369" s="76">
        <v>45589</v>
      </c>
      <c r="AM369" s="35"/>
      <c r="AN369" s="35"/>
      <c r="AO369" s="35"/>
      <c r="AP369" s="35"/>
      <c r="AQ369" s="37">
        <f t="shared" si="18"/>
        <v>0</v>
      </c>
      <c r="AR369" s="38">
        <f t="shared" si="19"/>
        <v>0</v>
      </c>
      <c r="AS369" s="39">
        <f t="shared" si="20"/>
        <v>0</v>
      </c>
      <c r="AT369" s="99"/>
      <c r="AU369" s="99" t="s">
        <v>1356</v>
      </c>
      <c r="AV369" s="99"/>
      <c r="AW369" s="100"/>
      <c r="AX369" s="99"/>
      <c r="AY369" s="101"/>
      <c r="AZ369" s="99"/>
      <c r="BA369" s="99" t="s">
        <v>1356</v>
      </c>
      <c r="BB369" s="99"/>
      <c r="BC369" s="101"/>
      <c r="BD369" s="99"/>
      <c r="BE369" s="101"/>
      <c r="BF369" s="99"/>
      <c r="BG369" s="99" t="s">
        <v>1356</v>
      </c>
      <c r="BH369" s="99"/>
      <c r="BI369" s="101"/>
      <c r="BJ369" s="99"/>
      <c r="BK369" s="101"/>
      <c r="BL369" s="99"/>
      <c r="BM369" s="99" t="s">
        <v>1356</v>
      </c>
      <c r="BN369" s="99"/>
      <c r="BO369" s="101"/>
      <c r="BP369" s="99"/>
      <c r="BQ369" s="101"/>
      <c r="BR369" s="99"/>
      <c r="BS369" s="99" t="s">
        <v>1356</v>
      </c>
      <c r="BT369" s="99"/>
      <c r="BU369" s="101"/>
      <c r="BV369" s="99"/>
      <c r="BW369" s="101"/>
      <c r="BX369" s="119"/>
      <c r="BY369" s="119" t="s">
        <v>1356</v>
      </c>
      <c r="BZ369" s="119"/>
      <c r="CA369" s="120"/>
      <c r="CB369" s="119"/>
      <c r="CC369" s="120"/>
      <c r="CD369" s="119"/>
      <c r="CE369" s="119" t="s">
        <v>1356</v>
      </c>
      <c r="CF369" s="119"/>
      <c r="CG369" s="120"/>
      <c r="CH369" s="119"/>
      <c r="CI369" s="120"/>
      <c r="CJ369" s="119"/>
      <c r="CK369" s="119" t="s">
        <v>1356</v>
      </c>
      <c r="CL369" s="119"/>
      <c r="CM369" s="120"/>
      <c r="CN369" s="119"/>
      <c r="CO369" s="120"/>
      <c r="CP369" s="119"/>
      <c r="CQ369" s="119" t="s">
        <v>1356</v>
      </c>
      <c r="CR369" s="119"/>
      <c r="CS369" s="120"/>
      <c r="CT369" s="119"/>
      <c r="CU369" s="120"/>
      <c r="CV369" s="119"/>
      <c r="CW369" s="119" t="s">
        <v>1356</v>
      </c>
      <c r="CX369" s="119"/>
      <c r="CY369" s="120"/>
      <c r="CZ369" s="119"/>
      <c r="DA369" s="120"/>
      <c r="DB369" s="128" t="s">
        <v>7085</v>
      </c>
      <c r="DC369" s="131" t="s">
        <v>92</v>
      </c>
    </row>
    <row r="370" spans="1:107" s="40" customFormat="1" ht="14.55" customHeight="1" x14ac:dyDescent="0.3">
      <c r="A370" s="42" t="s">
        <v>4219</v>
      </c>
      <c r="B370" s="42" t="s">
        <v>6519</v>
      </c>
      <c r="C370" s="42" t="s">
        <v>6520</v>
      </c>
      <c r="D370" s="42" t="s">
        <v>6521</v>
      </c>
      <c r="E370" s="42" t="s">
        <v>6522</v>
      </c>
      <c r="F370" s="42" t="s">
        <v>319</v>
      </c>
      <c r="G370" s="42" t="s">
        <v>4237</v>
      </c>
      <c r="H370" s="43" t="s">
        <v>686</v>
      </c>
      <c r="I370" s="44">
        <v>901</v>
      </c>
      <c r="J370" s="44">
        <v>90150</v>
      </c>
      <c r="K370" s="45">
        <v>4</v>
      </c>
      <c r="L370" s="42" t="s">
        <v>4446</v>
      </c>
      <c r="M370" s="42"/>
      <c r="N370" s="42"/>
      <c r="O370" s="42" t="s">
        <v>4655</v>
      </c>
      <c r="P370" s="42"/>
      <c r="Q370" s="42"/>
      <c r="R370" s="42"/>
      <c r="S370" s="42"/>
      <c r="T370" s="42" t="s">
        <v>6523</v>
      </c>
      <c r="U370" s="42"/>
      <c r="V370" s="42"/>
      <c r="W370" s="42" t="s">
        <v>6524</v>
      </c>
      <c r="X370" s="42" t="s">
        <v>6525</v>
      </c>
      <c r="Y370" s="42" t="s">
        <v>6526</v>
      </c>
      <c r="Z370" s="42"/>
      <c r="AA370" s="42"/>
      <c r="AB370" s="42">
        <v>90150483</v>
      </c>
      <c r="AC370" s="42">
        <v>90150483009</v>
      </c>
      <c r="AD370" s="42">
        <v>90150483009001</v>
      </c>
      <c r="AE370" s="45">
        <v>5</v>
      </c>
      <c r="AF370" s="45" t="s">
        <v>772</v>
      </c>
      <c r="AG370" s="46" t="s">
        <v>66</v>
      </c>
      <c r="AH370" s="47" t="s">
        <v>6527</v>
      </c>
      <c r="AI370" s="48" t="s">
        <v>66</v>
      </c>
      <c r="AJ370" s="49" t="s">
        <v>6938</v>
      </c>
      <c r="AK370" s="50" t="s">
        <v>67</v>
      </c>
      <c r="AL370" s="58">
        <v>45580</v>
      </c>
      <c r="AM370" s="52" t="s">
        <v>66</v>
      </c>
      <c r="AN370" s="42"/>
      <c r="AO370" s="42"/>
      <c r="AP370" s="42"/>
      <c r="AQ370" s="53">
        <f t="shared" si="18"/>
        <v>3</v>
      </c>
      <c r="AR370" s="54">
        <f t="shared" si="19"/>
        <v>0</v>
      </c>
      <c r="AS370" s="55">
        <f t="shared" si="20"/>
        <v>3</v>
      </c>
      <c r="AT370" s="96" t="s">
        <v>6886</v>
      </c>
      <c r="AU370" s="96" t="s">
        <v>6887</v>
      </c>
      <c r="AV370" s="96" t="s">
        <v>6888</v>
      </c>
      <c r="AW370" s="97" t="s">
        <v>6889</v>
      </c>
      <c r="AX370" s="96" t="s">
        <v>6888</v>
      </c>
      <c r="AY370" s="98" t="s">
        <v>6889</v>
      </c>
      <c r="AZ370" s="96" t="s">
        <v>6890</v>
      </c>
      <c r="BA370" s="96" t="s">
        <v>6891</v>
      </c>
      <c r="BB370" s="96" t="s">
        <v>6892</v>
      </c>
      <c r="BC370" s="98" t="s">
        <v>6893</v>
      </c>
      <c r="BD370" s="96" t="s">
        <v>6892</v>
      </c>
      <c r="BE370" s="98" t="s">
        <v>6893</v>
      </c>
      <c r="BF370" s="96" t="s">
        <v>6767</v>
      </c>
      <c r="BG370" s="96" t="s">
        <v>6771</v>
      </c>
      <c r="BH370" s="96" t="s">
        <v>6894</v>
      </c>
      <c r="BI370" s="98" t="s">
        <v>6895</v>
      </c>
      <c r="BJ370" s="96" t="s">
        <v>6894</v>
      </c>
      <c r="BK370" s="98" t="s">
        <v>6895</v>
      </c>
      <c r="BL370" s="96"/>
      <c r="BM370" s="96" t="s">
        <v>1356</v>
      </c>
      <c r="BN370" s="96"/>
      <c r="BO370" s="98"/>
      <c r="BP370" s="96"/>
      <c r="BQ370" s="98"/>
      <c r="BR370" s="96"/>
      <c r="BS370" s="96" t="s">
        <v>1356</v>
      </c>
      <c r="BT370" s="96"/>
      <c r="BU370" s="98"/>
      <c r="BV370" s="96"/>
      <c r="BW370" s="98"/>
      <c r="BX370" s="117"/>
      <c r="BY370" s="117" t="s">
        <v>1356</v>
      </c>
      <c r="BZ370" s="117"/>
      <c r="CA370" s="118"/>
      <c r="CB370" s="117"/>
      <c r="CC370" s="118"/>
      <c r="CD370" s="117"/>
      <c r="CE370" s="117" t="s">
        <v>1356</v>
      </c>
      <c r="CF370" s="117"/>
      <c r="CG370" s="118"/>
      <c r="CH370" s="117"/>
      <c r="CI370" s="118"/>
      <c r="CJ370" s="117"/>
      <c r="CK370" s="117" t="s">
        <v>1356</v>
      </c>
      <c r="CL370" s="117"/>
      <c r="CM370" s="118"/>
      <c r="CN370" s="117"/>
      <c r="CO370" s="118"/>
      <c r="CP370" s="117"/>
      <c r="CQ370" s="117" t="s">
        <v>1356</v>
      </c>
      <c r="CR370" s="117"/>
      <c r="CS370" s="118"/>
      <c r="CT370" s="117"/>
      <c r="CU370" s="118"/>
      <c r="CV370" s="117"/>
      <c r="CW370" s="117" t="s">
        <v>1356</v>
      </c>
      <c r="CX370" s="117"/>
      <c r="CY370" s="118"/>
      <c r="CZ370" s="117"/>
      <c r="DA370" s="118"/>
      <c r="DB370" s="129" t="s">
        <v>6962</v>
      </c>
      <c r="DC370" s="130" t="s">
        <v>105</v>
      </c>
    </row>
    <row r="371" spans="1:107" s="40" customFormat="1" ht="14.55" customHeight="1" x14ac:dyDescent="0.3">
      <c r="A371" s="42" t="s">
        <v>4219</v>
      </c>
      <c r="B371" s="42" t="s">
        <v>6528</v>
      </c>
      <c r="C371" s="42" t="s">
        <v>6529</v>
      </c>
      <c r="D371" s="42" t="s">
        <v>6530</v>
      </c>
      <c r="E371" s="42" t="s">
        <v>6531</v>
      </c>
      <c r="F371" s="42" t="s">
        <v>81</v>
      </c>
      <c r="G371" s="42" t="s">
        <v>461</v>
      </c>
      <c r="H371" s="43" t="s">
        <v>6933</v>
      </c>
      <c r="I371" s="44">
        <v>1309</v>
      </c>
      <c r="J371" s="44">
        <v>130950</v>
      </c>
      <c r="K371" s="45">
        <v>4</v>
      </c>
      <c r="L371" s="42" t="s">
        <v>6018</v>
      </c>
      <c r="M371" s="42" t="s">
        <v>258</v>
      </c>
      <c r="N371" s="42" t="s">
        <v>258</v>
      </c>
      <c r="O371" s="42" t="s">
        <v>5119</v>
      </c>
      <c r="P371" s="42" t="s">
        <v>738</v>
      </c>
      <c r="Q371" s="42" t="s">
        <v>6532</v>
      </c>
      <c r="R371" s="42" t="s">
        <v>60</v>
      </c>
      <c r="S371" s="42"/>
      <c r="T371" s="42"/>
      <c r="U371" s="42"/>
      <c r="V371" s="42"/>
      <c r="W371" s="42" t="s">
        <v>6533</v>
      </c>
      <c r="X371" s="42" t="s">
        <v>6534</v>
      </c>
      <c r="Y371" s="42" t="s">
        <v>6535</v>
      </c>
      <c r="Z371" s="42"/>
      <c r="AA371" s="42"/>
      <c r="AB371" s="42">
        <v>130950010</v>
      </c>
      <c r="AC371" s="42">
        <v>130950010004</v>
      </c>
      <c r="AD371" s="42">
        <v>130950010004012</v>
      </c>
      <c r="AE371" s="45">
        <v>5</v>
      </c>
      <c r="AF371" s="45" t="s">
        <v>772</v>
      </c>
      <c r="AG371" s="46" t="s">
        <v>66</v>
      </c>
      <c r="AH371" s="47" t="s">
        <v>6536</v>
      </c>
      <c r="AI371" s="48" t="s">
        <v>66</v>
      </c>
      <c r="AJ371" s="49" t="s">
        <v>6938</v>
      </c>
      <c r="AK371" s="50" t="s">
        <v>67</v>
      </c>
      <c r="AL371" s="58">
        <v>45580</v>
      </c>
      <c r="AM371" s="52" t="s">
        <v>66</v>
      </c>
      <c r="AN371" s="42"/>
      <c r="AO371" s="42"/>
      <c r="AP371" s="42"/>
      <c r="AQ371" s="53">
        <f t="shared" si="18"/>
        <v>5</v>
      </c>
      <c r="AR371" s="54">
        <f t="shared" si="19"/>
        <v>0</v>
      </c>
      <c r="AS371" s="55">
        <f t="shared" si="20"/>
        <v>5</v>
      </c>
      <c r="AT371" s="96" t="s">
        <v>844</v>
      </c>
      <c r="AU371" s="96" t="s">
        <v>6698</v>
      </c>
      <c r="AV371" s="96" t="s">
        <v>1495</v>
      </c>
      <c r="AW371" s="97" t="s">
        <v>6896</v>
      </c>
      <c r="AX371" s="96" t="s">
        <v>1495</v>
      </c>
      <c r="AY371" s="98" t="s">
        <v>6896</v>
      </c>
      <c r="AZ371" s="96" t="s">
        <v>6897</v>
      </c>
      <c r="BA371" s="96" t="s">
        <v>6898</v>
      </c>
      <c r="BB371" s="96" t="s">
        <v>6899</v>
      </c>
      <c r="BC371" s="98" t="s">
        <v>6900</v>
      </c>
      <c r="BD371" s="96" t="s">
        <v>6899</v>
      </c>
      <c r="BE371" s="98" t="s">
        <v>6900</v>
      </c>
      <c r="BF371" s="96" t="s">
        <v>1276</v>
      </c>
      <c r="BG371" s="96" t="s">
        <v>6735</v>
      </c>
      <c r="BH371" s="96" t="s">
        <v>6901</v>
      </c>
      <c r="BI371" s="98" t="s">
        <v>6900</v>
      </c>
      <c r="BJ371" s="96" t="s">
        <v>6901</v>
      </c>
      <c r="BK371" s="98" t="s">
        <v>6900</v>
      </c>
      <c r="BL371" s="96" t="s">
        <v>1277</v>
      </c>
      <c r="BM371" s="96" t="s">
        <v>6736</v>
      </c>
      <c r="BN371" s="96" t="s">
        <v>6902</v>
      </c>
      <c r="BO371" s="98" t="s">
        <v>6900</v>
      </c>
      <c r="BP371" s="96" t="s">
        <v>6902</v>
      </c>
      <c r="BQ371" s="98" t="s">
        <v>6900</v>
      </c>
      <c r="BR371" s="96" t="s">
        <v>792</v>
      </c>
      <c r="BS371" s="96" t="s">
        <v>6693</v>
      </c>
      <c r="BT371" s="96" t="s">
        <v>6903</v>
      </c>
      <c r="BU371" s="98" t="s">
        <v>6900</v>
      </c>
      <c r="BV371" s="96" t="s">
        <v>6903</v>
      </c>
      <c r="BW371" s="98" t="s">
        <v>6900</v>
      </c>
      <c r="BX371" s="117"/>
      <c r="BY371" s="117" t="s">
        <v>1356</v>
      </c>
      <c r="BZ371" s="117"/>
      <c r="CA371" s="118"/>
      <c r="CB371" s="117"/>
      <c r="CC371" s="118"/>
      <c r="CD371" s="117"/>
      <c r="CE371" s="117" t="s">
        <v>1356</v>
      </c>
      <c r="CF371" s="117"/>
      <c r="CG371" s="118"/>
      <c r="CH371" s="117"/>
      <c r="CI371" s="118"/>
      <c r="CJ371" s="117"/>
      <c r="CK371" s="117" t="s">
        <v>1356</v>
      </c>
      <c r="CL371" s="117"/>
      <c r="CM371" s="118"/>
      <c r="CN371" s="117"/>
      <c r="CO371" s="118"/>
      <c r="CP371" s="117"/>
      <c r="CQ371" s="117" t="s">
        <v>1356</v>
      </c>
      <c r="CR371" s="117"/>
      <c r="CS371" s="118"/>
      <c r="CT371" s="117"/>
      <c r="CU371" s="118"/>
      <c r="CV371" s="117"/>
      <c r="CW371" s="117" t="s">
        <v>1356</v>
      </c>
      <c r="CX371" s="117"/>
      <c r="CY371" s="118"/>
      <c r="CZ371" s="117"/>
      <c r="DA371" s="118"/>
      <c r="DB371" s="129" t="s">
        <v>6962</v>
      </c>
      <c r="DC371" s="130" t="s">
        <v>105</v>
      </c>
    </row>
    <row r="372" spans="1:107" s="40" customFormat="1" ht="14.55" customHeight="1" x14ac:dyDescent="0.3">
      <c r="A372" s="35" t="s">
        <v>4108</v>
      </c>
      <c r="B372" s="35" t="s">
        <v>4171</v>
      </c>
      <c r="C372" s="35" t="s">
        <v>4172</v>
      </c>
      <c r="D372" s="35" t="s">
        <v>3088</v>
      </c>
      <c r="E372" s="35" t="s">
        <v>70</v>
      </c>
      <c r="F372" s="35" t="s">
        <v>327</v>
      </c>
      <c r="G372" s="35" t="s">
        <v>404</v>
      </c>
      <c r="H372" s="27" t="s">
        <v>6930</v>
      </c>
      <c r="I372" s="62">
        <v>101</v>
      </c>
      <c r="J372" s="62">
        <v>10150</v>
      </c>
      <c r="K372" s="63">
        <v>4</v>
      </c>
      <c r="L372" s="35" t="s">
        <v>3089</v>
      </c>
      <c r="M372" s="35" t="s">
        <v>258</v>
      </c>
      <c r="N372" s="35"/>
      <c r="O372" s="35"/>
      <c r="P372" s="35"/>
      <c r="Q372" s="35"/>
      <c r="R372" s="35" t="s">
        <v>113</v>
      </c>
      <c r="S372" s="35"/>
      <c r="T372" s="35"/>
      <c r="U372" s="35" t="s">
        <v>3090</v>
      </c>
      <c r="V372" s="35"/>
      <c r="W372" s="35" t="s">
        <v>3091</v>
      </c>
      <c r="X372" s="35" t="s">
        <v>3092</v>
      </c>
      <c r="Y372" s="35" t="s">
        <v>3093</v>
      </c>
      <c r="Z372" s="35">
        <v>-78.969809999999995</v>
      </c>
      <c r="AA372" s="35">
        <v>-2.910825</v>
      </c>
      <c r="AB372" s="35">
        <v>10150079</v>
      </c>
      <c r="AC372" s="35">
        <v>10150079009</v>
      </c>
      <c r="AD372" s="35">
        <v>10150079009005</v>
      </c>
      <c r="AE372" s="63">
        <v>4</v>
      </c>
      <c r="AF372" s="63" t="s">
        <v>499</v>
      </c>
      <c r="AG372" s="29" t="s">
        <v>65</v>
      </c>
      <c r="AH372" s="75"/>
      <c r="AI372" s="65" t="s">
        <v>66</v>
      </c>
      <c r="AJ372" s="32" t="s">
        <v>6938</v>
      </c>
      <c r="AK372" s="33" t="s">
        <v>67</v>
      </c>
      <c r="AL372" s="76">
        <v>45586</v>
      </c>
      <c r="AM372" s="35" t="s">
        <v>66</v>
      </c>
      <c r="AN372" s="35"/>
      <c r="AO372" s="35"/>
      <c r="AP372" s="35"/>
      <c r="AQ372" s="37">
        <f t="shared" si="18"/>
        <v>0</v>
      </c>
      <c r="AR372" s="38">
        <f t="shared" si="19"/>
        <v>0</v>
      </c>
      <c r="AS372" s="39">
        <f t="shared" si="20"/>
        <v>0</v>
      </c>
      <c r="AT372" s="99"/>
      <c r="AU372" s="99" t="s">
        <v>1356</v>
      </c>
      <c r="AV372" s="99"/>
      <c r="AW372" s="100"/>
      <c r="AX372" s="99"/>
      <c r="AY372" s="101"/>
      <c r="AZ372" s="99"/>
      <c r="BA372" s="99" t="s">
        <v>1356</v>
      </c>
      <c r="BB372" s="99"/>
      <c r="BC372" s="101"/>
      <c r="BD372" s="99"/>
      <c r="BE372" s="101"/>
      <c r="BF372" s="99"/>
      <c r="BG372" s="99" t="s">
        <v>1356</v>
      </c>
      <c r="BH372" s="99"/>
      <c r="BI372" s="101"/>
      <c r="BJ372" s="99"/>
      <c r="BK372" s="101"/>
      <c r="BL372" s="99"/>
      <c r="BM372" s="99" t="s">
        <v>1356</v>
      </c>
      <c r="BN372" s="99"/>
      <c r="BO372" s="101"/>
      <c r="BP372" s="99"/>
      <c r="BQ372" s="101"/>
      <c r="BR372" s="99"/>
      <c r="BS372" s="99" t="s">
        <v>1356</v>
      </c>
      <c r="BT372" s="99"/>
      <c r="BU372" s="101"/>
      <c r="BV372" s="99"/>
      <c r="BW372" s="101"/>
      <c r="BX372" s="119"/>
      <c r="BY372" s="119" t="s">
        <v>1356</v>
      </c>
      <c r="BZ372" s="119"/>
      <c r="CA372" s="120"/>
      <c r="CB372" s="119"/>
      <c r="CC372" s="120"/>
      <c r="CD372" s="119"/>
      <c r="CE372" s="119" t="s">
        <v>1356</v>
      </c>
      <c r="CF372" s="119"/>
      <c r="CG372" s="120"/>
      <c r="CH372" s="119"/>
      <c r="CI372" s="120"/>
      <c r="CJ372" s="119"/>
      <c r="CK372" s="119" t="s">
        <v>1356</v>
      </c>
      <c r="CL372" s="119"/>
      <c r="CM372" s="120"/>
      <c r="CN372" s="119"/>
      <c r="CO372" s="120"/>
      <c r="CP372" s="119"/>
      <c r="CQ372" s="119" t="s">
        <v>1356</v>
      </c>
      <c r="CR372" s="119"/>
      <c r="CS372" s="120"/>
      <c r="CT372" s="119"/>
      <c r="CU372" s="120"/>
      <c r="CV372" s="119"/>
      <c r="CW372" s="119" t="s">
        <v>1356</v>
      </c>
      <c r="CX372" s="119"/>
      <c r="CY372" s="120"/>
      <c r="CZ372" s="119"/>
      <c r="DA372" s="120"/>
      <c r="DB372" s="128" t="s">
        <v>7085</v>
      </c>
      <c r="DC372" s="131" t="s">
        <v>105</v>
      </c>
    </row>
    <row r="373" spans="1:107" s="40" customFormat="1" ht="14.55" customHeight="1" x14ac:dyDescent="0.3">
      <c r="A373" s="35" t="s">
        <v>4219</v>
      </c>
      <c r="B373" s="35" t="s">
        <v>6537</v>
      </c>
      <c r="C373" s="35" t="s">
        <v>6538</v>
      </c>
      <c r="D373" s="35" t="s">
        <v>6539</v>
      </c>
      <c r="E373" s="35" t="s">
        <v>6540</v>
      </c>
      <c r="F373" s="35" t="s">
        <v>56</v>
      </c>
      <c r="G373" s="35" t="s">
        <v>4237</v>
      </c>
      <c r="H373" s="27" t="s">
        <v>686</v>
      </c>
      <c r="I373" s="62">
        <v>901</v>
      </c>
      <c r="J373" s="62">
        <v>90150</v>
      </c>
      <c r="K373" s="63">
        <v>4</v>
      </c>
      <c r="L373" s="35" t="s">
        <v>6541</v>
      </c>
      <c r="M373" s="35" t="s">
        <v>228</v>
      </c>
      <c r="N373" s="35" t="s">
        <v>6542</v>
      </c>
      <c r="O373" s="35" t="s">
        <v>4964</v>
      </c>
      <c r="P373" s="35"/>
      <c r="Q373" s="35"/>
      <c r="R373" s="35"/>
      <c r="S373" s="35"/>
      <c r="T373" s="35"/>
      <c r="U373" s="35"/>
      <c r="V373" s="35"/>
      <c r="W373" s="35" t="s">
        <v>6543</v>
      </c>
      <c r="X373" s="35" t="s">
        <v>6544</v>
      </c>
      <c r="Y373" s="35" t="s">
        <v>6545</v>
      </c>
      <c r="Z373" s="35"/>
      <c r="AA373" s="35"/>
      <c r="AB373" s="35">
        <v>90150681</v>
      </c>
      <c r="AC373" s="35">
        <v>90150681009</v>
      </c>
      <c r="AD373" s="35">
        <v>90150681009006</v>
      </c>
      <c r="AE373" s="63">
        <v>5</v>
      </c>
      <c r="AF373" s="63" t="s">
        <v>772</v>
      </c>
      <c r="AG373" s="46" t="s">
        <v>66</v>
      </c>
      <c r="AH373" s="64">
        <v>80122</v>
      </c>
      <c r="AI373" s="65" t="s">
        <v>66</v>
      </c>
      <c r="AJ373" s="32" t="s">
        <v>6938</v>
      </c>
      <c r="AK373" s="33" t="s">
        <v>67</v>
      </c>
      <c r="AL373" s="34">
        <v>45580</v>
      </c>
      <c r="AM373" s="52" t="s">
        <v>66</v>
      </c>
      <c r="AN373" s="35"/>
      <c r="AO373" s="35"/>
      <c r="AP373" s="35"/>
      <c r="AQ373" s="37">
        <f t="shared" si="18"/>
        <v>4</v>
      </c>
      <c r="AR373" s="38">
        <f t="shared" si="19"/>
        <v>0</v>
      </c>
      <c r="AS373" s="39">
        <f t="shared" si="20"/>
        <v>4</v>
      </c>
      <c r="AT373" s="99" t="s">
        <v>6986</v>
      </c>
      <c r="AU373" s="99" t="s">
        <v>6987</v>
      </c>
      <c r="AV373" s="99">
        <v>4</v>
      </c>
      <c r="AW373" s="100">
        <v>45536</v>
      </c>
      <c r="AX373" s="99"/>
      <c r="AY373" s="101"/>
      <c r="AZ373" s="99" t="s">
        <v>6988</v>
      </c>
      <c r="BA373" s="99" t="s">
        <v>6989</v>
      </c>
      <c r="BB373" s="99" t="s">
        <v>6990</v>
      </c>
      <c r="BC373" s="101">
        <v>45421</v>
      </c>
      <c r="BD373" s="99"/>
      <c r="BE373" s="101"/>
      <c r="BF373" s="99" t="s">
        <v>6991</v>
      </c>
      <c r="BG373" s="99" t="s">
        <v>6992</v>
      </c>
      <c r="BH373" s="99" t="s">
        <v>6119</v>
      </c>
      <c r="BI373" s="101">
        <v>45420</v>
      </c>
      <c r="BJ373" s="99"/>
      <c r="BK373" s="101"/>
      <c r="BL373" s="99" t="s">
        <v>6991</v>
      </c>
      <c r="BM373" s="99" t="s">
        <v>6993</v>
      </c>
      <c r="BN373" s="99" t="s">
        <v>6994</v>
      </c>
      <c r="BO373" s="101">
        <v>45627</v>
      </c>
      <c r="BP373" s="99"/>
      <c r="BQ373" s="101"/>
      <c r="BR373" s="99"/>
      <c r="BS373" s="99" t="s">
        <v>1356</v>
      </c>
      <c r="BT373" s="99"/>
      <c r="BU373" s="101"/>
      <c r="BV373" s="99"/>
      <c r="BW373" s="101"/>
      <c r="BX373" s="119"/>
      <c r="BY373" s="119" t="s">
        <v>1356</v>
      </c>
      <c r="BZ373" s="119"/>
      <c r="CA373" s="120"/>
      <c r="CB373" s="119"/>
      <c r="CC373" s="120"/>
      <c r="CD373" s="119"/>
      <c r="CE373" s="119" t="s">
        <v>1356</v>
      </c>
      <c r="CF373" s="119"/>
      <c r="CG373" s="120"/>
      <c r="CH373" s="119"/>
      <c r="CI373" s="120"/>
      <c r="CJ373" s="119"/>
      <c r="CK373" s="119" t="s">
        <v>1356</v>
      </c>
      <c r="CL373" s="119"/>
      <c r="CM373" s="120"/>
      <c r="CN373" s="119"/>
      <c r="CO373" s="120"/>
      <c r="CP373" s="119"/>
      <c r="CQ373" s="119" t="s">
        <v>1356</v>
      </c>
      <c r="CR373" s="119"/>
      <c r="CS373" s="120"/>
      <c r="CT373" s="119"/>
      <c r="CU373" s="120"/>
      <c r="CV373" s="119"/>
      <c r="CW373" s="119" t="s">
        <v>1356</v>
      </c>
      <c r="CX373" s="119"/>
      <c r="CY373" s="120"/>
      <c r="CZ373" s="119"/>
      <c r="DA373" s="120"/>
      <c r="DB373" s="129" t="s">
        <v>6962</v>
      </c>
      <c r="DC373" s="131" t="s">
        <v>105</v>
      </c>
    </row>
    <row r="374" spans="1:107" s="40" customFormat="1" ht="14.55" customHeight="1" x14ac:dyDescent="0.3">
      <c r="A374" s="42" t="s">
        <v>4219</v>
      </c>
      <c r="B374" s="42" t="s">
        <v>6563</v>
      </c>
      <c r="C374" s="42" t="s">
        <v>6564</v>
      </c>
      <c r="D374" s="42" t="s">
        <v>6565</v>
      </c>
      <c r="E374" s="42" t="s">
        <v>6566</v>
      </c>
      <c r="F374" s="42" t="s">
        <v>1752</v>
      </c>
      <c r="G374" s="42" t="s">
        <v>4237</v>
      </c>
      <c r="H374" s="43" t="s">
        <v>686</v>
      </c>
      <c r="I374" s="44">
        <v>901</v>
      </c>
      <c r="J374" s="44">
        <v>90150</v>
      </c>
      <c r="K374" s="45">
        <v>4</v>
      </c>
      <c r="L374" s="42" t="s">
        <v>6567</v>
      </c>
      <c r="M374" s="42" t="s">
        <v>6568</v>
      </c>
      <c r="N374" s="42" t="s">
        <v>6569</v>
      </c>
      <c r="O374" s="42"/>
      <c r="P374" s="42"/>
      <c r="Q374" s="42" t="s">
        <v>6566</v>
      </c>
      <c r="R374" s="42" t="s">
        <v>535</v>
      </c>
      <c r="S374" s="42"/>
      <c r="T374" s="42" t="s">
        <v>6570</v>
      </c>
      <c r="U374" s="42"/>
      <c r="V374" s="42"/>
      <c r="W374" s="42" t="s">
        <v>6571</v>
      </c>
      <c r="X374" s="42" t="s">
        <v>6572</v>
      </c>
      <c r="Y374" s="42" t="s">
        <v>6573</v>
      </c>
      <c r="Z374" s="42"/>
      <c r="AA374" s="42"/>
      <c r="AB374" s="42">
        <v>90150380</v>
      </c>
      <c r="AC374" s="42">
        <v>90150380007</v>
      </c>
      <c r="AD374" s="42">
        <v>90150380007006</v>
      </c>
      <c r="AE374" s="45">
        <v>5</v>
      </c>
      <c r="AF374" s="45" t="s">
        <v>772</v>
      </c>
      <c r="AG374" s="46" t="s">
        <v>66</v>
      </c>
      <c r="AH374" s="47" t="s">
        <v>6574</v>
      </c>
      <c r="AI374" s="48" t="s">
        <v>66</v>
      </c>
      <c r="AJ374" s="49" t="s">
        <v>6938</v>
      </c>
      <c r="AK374" s="50" t="s">
        <v>67</v>
      </c>
      <c r="AL374" s="34">
        <v>45580</v>
      </c>
      <c r="AM374" s="52" t="s">
        <v>66</v>
      </c>
      <c r="AN374" s="42"/>
      <c r="AO374" s="42"/>
      <c r="AP374" s="42"/>
      <c r="AQ374" s="53">
        <f t="shared" si="18"/>
        <v>1</v>
      </c>
      <c r="AR374" s="54">
        <f t="shared" si="19"/>
        <v>0</v>
      </c>
      <c r="AS374" s="55">
        <f t="shared" si="20"/>
        <v>1</v>
      </c>
      <c r="AT374" s="96" t="s">
        <v>661</v>
      </c>
      <c r="AU374" s="96" t="s">
        <v>1761</v>
      </c>
      <c r="AV374" s="96" t="s">
        <v>6904</v>
      </c>
      <c r="AW374" s="97" t="s">
        <v>6905</v>
      </c>
      <c r="AX374" s="96" t="s">
        <v>6904</v>
      </c>
      <c r="AY374" s="98" t="s">
        <v>6905</v>
      </c>
      <c r="AZ374" s="96"/>
      <c r="BA374" s="96" t="s">
        <v>1356</v>
      </c>
      <c r="BB374" s="96"/>
      <c r="BC374" s="98"/>
      <c r="BD374" s="96"/>
      <c r="BE374" s="98"/>
      <c r="BF374" s="96"/>
      <c r="BG374" s="96" t="s">
        <v>1356</v>
      </c>
      <c r="BH374" s="96"/>
      <c r="BI374" s="98"/>
      <c r="BJ374" s="96"/>
      <c r="BK374" s="98"/>
      <c r="BL374" s="96"/>
      <c r="BM374" s="96" t="s">
        <v>1356</v>
      </c>
      <c r="BN374" s="96"/>
      <c r="BO374" s="98"/>
      <c r="BP374" s="96"/>
      <c r="BQ374" s="98"/>
      <c r="BR374" s="96"/>
      <c r="BS374" s="96" t="s">
        <v>1356</v>
      </c>
      <c r="BT374" s="96"/>
      <c r="BU374" s="98"/>
      <c r="BV374" s="96"/>
      <c r="BW374" s="98"/>
      <c r="BX374" s="117"/>
      <c r="BY374" s="117" t="s">
        <v>1356</v>
      </c>
      <c r="BZ374" s="117"/>
      <c r="CA374" s="118"/>
      <c r="CB374" s="117"/>
      <c r="CC374" s="118"/>
      <c r="CD374" s="117"/>
      <c r="CE374" s="117" t="s">
        <v>1356</v>
      </c>
      <c r="CF374" s="117"/>
      <c r="CG374" s="118"/>
      <c r="CH374" s="117"/>
      <c r="CI374" s="118"/>
      <c r="CJ374" s="117"/>
      <c r="CK374" s="117" t="s">
        <v>1356</v>
      </c>
      <c r="CL374" s="117"/>
      <c r="CM374" s="118"/>
      <c r="CN374" s="117"/>
      <c r="CO374" s="118"/>
      <c r="CP374" s="117"/>
      <c r="CQ374" s="117" t="s">
        <v>1356</v>
      </c>
      <c r="CR374" s="117"/>
      <c r="CS374" s="118"/>
      <c r="CT374" s="117"/>
      <c r="CU374" s="118"/>
      <c r="CV374" s="117"/>
      <c r="CW374" s="117" t="s">
        <v>1356</v>
      </c>
      <c r="CX374" s="117"/>
      <c r="CY374" s="118"/>
      <c r="CZ374" s="117"/>
      <c r="DA374" s="118"/>
      <c r="DB374" s="129" t="s">
        <v>6962</v>
      </c>
      <c r="DC374" s="130" t="s">
        <v>105</v>
      </c>
    </row>
    <row r="375" spans="1:107" s="40" customFormat="1" ht="14.55" customHeight="1" x14ac:dyDescent="0.3">
      <c r="A375" s="35" t="s">
        <v>4219</v>
      </c>
      <c r="B375" s="35" t="s">
        <v>6583</v>
      </c>
      <c r="C375" s="35" t="s">
        <v>6584</v>
      </c>
      <c r="D375" s="35" t="s">
        <v>6585</v>
      </c>
      <c r="E375" s="35" t="s">
        <v>6586</v>
      </c>
      <c r="F375" s="35" t="s">
        <v>4289</v>
      </c>
      <c r="G375" s="35" t="s">
        <v>461</v>
      </c>
      <c r="H375" s="27" t="s">
        <v>6933</v>
      </c>
      <c r="I375" s="62">
        <v>1309</v>
      </c>
      <c r="J375" s="62">
        <v>130950</v>
      </c>
      <c r="K375" s="63">
        <v>4</v>
      </c>
      <c r="L375" s="35" t="s">
        <v>6587</v>
      </c>
      <c r="M375" s="35" t="s">
        <v>258</v>
      </c>
      <c r="N375" s="35" t="s">
        <v>6588</v>
      </c>
      <c r="O375" s="35"/>
      <c r="P375" s="35"/>
      <c r="Q375" s="35" t="s">
        <v>6589</v>
      </c>
      <c r="R375" s="35" t="s">
        <v>60</v>
      </c>
      <c r="S375" s="35"/>
      <c r="T375" s="35"/>
      <c r="U375" s="35" t="s">
        <v>6590</v>
      </c>
      <c r="V375" s="35"/>
      <c r="W375" s="35" t="s">
        <v>6591</v>
      </c>
      <c r="X375" s="35" t="s">
        <v>6592</v>
      </c>
      <c r="Y375" s="35" t="s">
        <v>6593</v>
      </c>
      <c r="Z375" s="35"/>
      <c r="AA375" s="35"/>
      <c r="AB375" s="35">
        <v>130950011</v>
      </c>
      <c r="AC375" s="35">
        <v>130950011005</v>
      </c>
      <c r="AD375" s="35">
        <v>130950011005004</v>
      </c>
      <c r="AE375" s="63">
        <v>5</v>
      </c>
      <c r="AF375" s="63" t="s">
        <v>772</v>
      </c>
      <c r="AG375" s="46" t="s">
        <v>66</v>
      </c>
      <c r="AH375" s="64">
        <v>80549</v>
      </c>
      <c r="AI375" s="65" t="s">
        <v>66</v>
      </c>
      <c r="AJ375" s="32" t="s">
        <v>6938</v>
      </c>
      <c r="AK375" s="33" t="s">
        <v>67</v>
      </c>
      <c r="AL375" s="58">
        <v>45580</v>
      </c>
      <c r="AM375" s="52" t="s">
        <v>66</v>
      </c>
      <c r="AN375" s="35"/>
      <c r="AO375" s="35"/>
      <c r="AP375" s="35"/>
      <c r="AQ375" s="37">
        <f t="shared" si="18"/>
        <v>1</v>
      </c>
      <c r="AR375" s="38">
        <f t="shared" si="19"/>
        <v>0</v>
      </c>
      <c r="AS375" s="39">
        <f t="shared" si="20"/>
        <v>1</v>
      </c>
      <c r="AT375" s="99" t="s">
        <v>6984</v>
      </c>
      <c r="AU375" s="99" t="s">
        <v>6983</v>
      </c>
      <c r="AV375" s="99" t="s">
        <v>6985</v>
      </c>
      <c r="AW375" s="100">
        <v>45047</v>
      </c>
      <c r="AX375" s="99"/>
      <c r="AY375" s="101"/>
      <c r="AZ375" s="99"/>
      <c r="BA375" s="99" t="s">
        <v>1356</v>
      </c>
      <c r="BB375" s="99"/>
      <c r="BC375" s="101"/>
      <c r="BD375" s="99"/>
      <c r="BE375" s="101"/>
      <c r="BF375" s="99"/>
      <c r="BG375" s="99" t="s">
        <v>1356</v>
      </c>
      <c r="BH375" s="99"/>
      <c r="BI375" s="101"/>
      <c r="BJ375" s="99"/>
      <c r="BK375" s="101"/>
      <c r="BL375" s="99"/>
      <c r="BM375" s="99" t="s">
        <v>1356</v>
      </c>
      <c r="BN375" s="99"/>
      <c r="BO375" s="101"/>
      <c r="BP375" s="99"/>
      <c r="BQ375" s="101"/>
      <c r="BR375" s="99"/>
      <c r="BS375" s="99" t="s">
        <v>1356</v>
      </c>
      <c r="BT375" s="99"/>
      <c r="BU375" s="101"/>
      <c r="BV375" s="99"/>
      <c r="BW375" s="101"/>
      <c r="BX375" s="119"/>
      <c r="BY375" s="119" t="s">
        <v>1356</v>
      </c>
      <c r="BZ375" s="119"/>
      <c r="CA375" s="120"/>
      <c r="CB375" s="119"/>
      <c r="CC375" s="120"/>
      <c r="CD375" s="119"/>
      <c r="CE375" s="119" t="s">
        <v>1356</v>
      </c>
      <c r="CF375" s="119"/>
      <c r="CG375" s="120"/>
      <c r="CH375" s="119"/>
      <c r="CI375" s="120"/>
      <c r="CJ375" s="119"/>
      <c r="CK375" s="119" t="s">
        <v>1356</v>
      </c>
      <c r="CL375" s="119"/>
      <c r="CM375" s="120"/>
      <c r="CN375" s="119"/>
      <c r="CO375" s="120"/>
      <c r="CP375" s="119"/>
      <c r="CQ375" s="119" t="s">
        <v>1356</v>
      </c>
      <c r="CR375" s="119"/>
      <c r="CS375" s="120"/>
      <c r="CT375" s="119"/>
      <c r="CU375" s="120"/>
      <c r="CV375" s="119"/>
      <c r="CW375" s="119" t="s">
        <v>1356</v>
      </c>
      <c r="CX375" s="119"/>
      <c r="CY375" s="120"/>
      <c r="CZ375" s="119"/>
      <c r="DA375" s="120"/>
      <c r="DB375" s="129" t="s">
        <v>6962</v>
      </c>
      <c r="DC375" s="131" t="s">
        <v>105</v>
      </c>
    </row>
    <row r="376" spans="1:107" s="40" customFormat="1" ht="14.55" customHeight="1" x14ac:dyDescent="0.3">
      <c r="A376" s="66" t="s">
        <v>3500</v>
      </c>
      <c r="B376" s="66" t="s">
        <v>3639</v>
      </c>
      <c r="C376" s="66" t="s">
        <v>3640</v>
      </c>
      <c r="D376" s="66" t="s">
        <v>817</v>
      </c>
      <c r="E376" s="66" t="s">
        <v>818</v>
      </c>
      <c r="F376" s="66" t="s">
        <v>81</v>
      </c>
      <c r="G376" s="68" t="s">
        <v>57</v>
      </c>
      <c r="H376" s="43" t="s">
        <v>6922</v>
      </c>
      <c r="I376" s="68">
        <v>804</v>
      </c>
      <c r="J376" s="68">
        <v>80455</v>
      </c>
      <c r="K376" s="69">
        <v>4</v>
      </c>
      <c r="L376" s="66" t="s">
        <v>819</v>
      </c>
      <c r="M376" s="66"/>
      <c r="N376" s="66" t="s">
        <v>810</v>
      </c>
      <c r="O376" s="66"/>
      <c r="P376" s="66"/>
      <c r="Q376" s="66" t="s">
        <v>818</v>
      </c>
      <c r="R376" s="66" t="s">
        <v>60</v>
      </c>
      <c r="S376" s="66"/>
      <c r="T376" s="66"/>
      <c r="U376" s="66"/>
      <c r="V376" s="66"/>
      <c r="W376" s="66" t="s">
        <v>820</v>
      </c>
      <c r="X376" s="66" t="s">
        <v>821</v>
      </c>
      <c r="Y376" s="66" t="s">
        <v>822</v>
      </c>
      <c r="Z376" s="66"/>
      <c r="AA376" s="66"/>
      <c r="AB376" s="66">
        <v>80455999</v>
      </c>
      <c r="AC376" s="66">
        <v>80455999011</v>
      </c>
      <c r="AD376" s="66"/>
      <c r="AE376" s="69">
        <v>5</v>
      </c>
      <c r="AF376" s="69" t="s">
        <v>772</v>
      </c>
      <c r="AG376" s="46" t="s">
        <v>66</v>
      </c>
      <c r="AH376" s="70">
        <v>40911</v>
      </c>
      <c r="AI376" s="71" t="s">
        <v>66</v>
      </c>
      <c r="AJ376" s="49" t="s">
        <v>6938</v>
      </c>
      <c r="AK376" s="50" t="s">
        <v>67</v>
      </c>
      <c r="AL376" s="58">
        <v>45581</v>
      </c>
      <c r="AM376" s="52" t="s">
        <v>66</v>
      </c>
      <c r="AN376" s="52"/>
      <c r="AO376" s="52"/>
      <c r="AP376" s="52"/>
      <c r="AQ376" s="53">
        <f t="shared" si="18"/>
        <v>1</v>
      </c>
      <c r="AR376" s="54">
        <f t="shared" si="19"/>
        <v>0</v>
      </c>
      <c r="AS376" s="55">
        <f t="shared" si="20"/>
        <v>1</v>
      </c>
      <c r="AT376" s="102" t="s">
        <v>386</v>
      </c>
      <c r="AU376" s="103" t="s">
        <v>5215</v>
      </c>
      <c r="AV376" s="104">
        <v>1020</v>
      </c>
      <c r="AW376" s="105">
        <v>45581</v>
      </c>
      <c r="AX376" s="104">
        <v>1020</v>
      </c>
      <c r="AY376" s="106">
        <v>45610</v>
      </c>
      <c r="AZ376" s="102"/>
      <c r="BA376" s="103" t="s">
        <v>1356</v>
      </c>
      <c r="BB376" s="104"/>
      <c r="BC376" s="106"/>
      <c r="BD376" s="104"/>
      <c r="BE376" s="106"/>
      <c r="BF376" s="102"/>
      <c r="BG376" s="103" t="s">
        <v>1356</v>
      </c>
      <c r="BH376" s="104"/>
      <c r="BI376" s="106"/>
      <c r="BJ376" s="104"/>
      <c r="BK376" s="106"/>
      <c r="BL376" s="102"/>
      <c r="BM376" s="103" t="s">
        <v>1356</v>
      </c>
      <c r="BN376" s="104"/>
      <c r="BO376" s="106"/>
      <c r="BP376" s="104"/>
      <c r="BQ376" s="106"/>
      <c r="BR376" s="102"/>
      <c r="BS376" s="103" t="s">
        <v>1356</v>
      </c>
      <c r="BT376" s="104"/>
      <c r="BU376" s="106"/>
      <c r="BV376" s="104"/>
      <c r="BW376" s="106"/>
      <c r="BX376" s="121"/>
      <c r="BY376" s="122" t="s">
        <v>1356</v>
      </c>
      <c r="BZ376" s="123"/>
      <c r="CA376" s="124"/>
      <c r="CB376" s="123"/>
      <c r="CC376" s="124"/>
      <c r="CD376" s="121"/>
      <c r="CE376" s="122" t="s">
        <v>1356</v>
      </c>
      <c r="CF376" s="123"/>
      <c r="CG376" s="124"/>
      <c r="CH376" s="123"/>
      <c r="CI376" s="124"/>
      <c r="CJ376" s="121"/>
      <c r="CK376" s="122" t="s">
        <v>1356</v>
      </c>
      <c r="CL376" s="123"/>
      <c r="CM376" s="124"/>
      <c r="CN376" s="123"/>
      <c r="CO376" s="124"/>
      <c r="CP376" s="121"/>
      <c r="CQ376" s="122" t="s">
        <v>1356</v>
      </c>
      <c r="CR376" s="123"/>
      <c r="CS376" s="124"/>
      <c r="CT376" s="123"/>
      <c r="CU376" s="124"/>
      <c r="CV376" s="121"/>
      <c r="CW376" s="122" t="s">
        <v>1356</v>
      </c>
      <c r="CX376" s="123"/>
      <c r="CY376" s="124"/>
      <c r="CZ376" s="123"/>
      <c r="DA376" s="124"/>
      <c r="DB376" s="129" t="s">
        <v>6962</v>
      </c>
      <c r="DC376" s="129" t="s">
        <v>105</v>
      </c>
    </row>
    <row r="377" spans="1:107" s="40" customFormat="1" ht="14.55" customHeight="1" x14ac:dyDescent="0.3">
      <c r="A377" s="35" t="s">
        <v>4108</v>
      </c>
      <c r="B377" s="35" t="s">
        <v>4181</v>
      </c>
      <c r="C377" s="35" t="s">
        <v>4182</v>
      </c>
      <c r="D377" s="35" t="s">
        <v>3133</v>
      </c>
      <c r="E377" s="35" t="s">
        <v>3134</v>
      </c>
      <c r="F377" s="35" t="s">
        <v>3036</v>
      </c>
      <c r="G377" s="35" t="s">
        <v>2928</v>
      </c>
      <c r="H377" s="27" t="s">
        <v>6929</v>
      </c>
      <c r="I377" s="62">
        <v>712</v>
      </c>
      <c r="J377" s="62">
        <v>71250</v>
      </c>
      <c r="K377" s="63">
        <v>4</v>
      </c>
      <c r="L377" s="35" t="s">
        <v>3135</v>
      </c>
      <c r="M377" s="35" t="s">
        <v>258</v>
      </c>
      <c r="N377" s="35" t="s">
        <v>258</v>
      </c>
      <c r="O377" s="35"/>
      <c r="P377" s="35"/>
      <c r="Q377" s="35" t="s">
        <v>3136</v>
      </c>
      <c r="R377" s="35" t="s">
        <v>60</v>
      </c>
      <c r="S377" s="35"/>
      <c r="T377" s="35"/>
      <c r="U377" s="35" t="s">
        <v>3137</v>
      </c>
      <c r="V377" s="35"/>
      <c r="W377" s="35" t="s">
        <v>3138</v>
      </c>
      <c r="X377" s="35"/>
      <c r="Y377" s="35" t="s">
        <v>3139</v>
      </c>
      <c r="Z377" s="35">
        <v>-79.972399999999993</v>
      </c>
      <c r="AA377" s="35">
        <v>-3.4395669999999998</v>
      </c>
      <c r="AB377" s="35">
        <v>71250003</v>
      </c>
      <c r="AC377" s="35">
        <v>71250003001</v>
      </c>
      <c r="AD377" s="35">
        <v>71250003001001</v>
      </c>
      <c r="AE377" s="63">
        <v>5</v>
      </c>
      <c r="AF377" s="63" t="s">
        <v>772</v>
      </c>
      <c r="AG377" s="29" t="s">
        <v>65</v>
      </c>
      <c r="AH377" s="75"/>
      <c r="AI377" s="65" t="s">
        <v>66</v>
      </c>
      <c r="AJ377" s="32" t="s">
        <v>6938</v>
      </c>
      <c r="AK377" s="33" t="s">
        <v>67</v>
      </c>
      <c r="AL377" s="76">
        <v>45574</v>
      </c>
      <c r="AM377" s="35" t="s">
        <v>65</v>
      </c>
      <c r="AN377" s="35" t="s">
        <v>686</v>
      </c>
      <c r="AO377" s="35" t="s">
        <v>3140</v>
      </c>
      <c r="AP377" s="35" t="s">
        <v>3140</v>
      </c>
      <c r="AQ377" s="37">
        <f t="shared" si="18"/>
        <v>0</v>
      </c>
      <c r="AR377" s="38">
        <f t="shared" si="19"/>
        <v>0</v>
      </c>
      <c r="AS377" s="39">
        <f t="shared" si="20"/>
        <v>0</v>
      </c>
      <c r="AT377" s="99"/>
      <c r="AU377" s="99" t="s">
        <v>1356</v>
      </c>
      <c r="AV377" s="99"/>
      <c r="AW377" s="100"/>
      <c r="AX377" s="99"/>
      <c r="AY377" s="101"/>
      <c r="AZ377" s="99"/>
      <c r="BA377" s="99" t="s">
        <v>1356</v>
      </c>
      <c r="BB377" s="99"/>
      <c r="BC377" s="101"/>
      <c r="BD377" s="99"/>
      <c r="BE377" s="101"/>
      <c r="BF377" s="99"/>
      <c r="BG377" s="99" t="s">
        <v>1356</v>
      </c>
      <c r="BH377" s="99"/>
      <c r="BI377" s="101"/>
      <c r="BJ377" s="99"/>
      <c r="BK377" s="101"/>
      <c r="BL377" s="99"/>
      <c r="BM377" s="99" t="s">
        <v>1356</v>
      </c>
      <c r="BN377" s="99"/>
      <c r="BO377" s="101"/>
      <c r="BP377" s="99"/>
      <c r="BQ377" s="101"/>
      <c r="BR377" s="99"/>
      <c r="BS377" s="99" t="s">
        <v>1356</v>
      </c>
      <c r="BT377" s="99"/>
      <c r="BU377" s="101"/>
      <c r="BV377" s="99"/>
      <c r="BW377" s="101"/>
      <c r="BX377" s="119"/>
      <c r="BY377" s="119" t="s">
        <v>1356</v>
      </c>
      <c r="BZ377" s="119"/>
      <c r="CA377" s="120"/>
      <c r="CB377" s="119"/>
      <c r="CC377" s="120"/>
      <c r="CD377" s="119"/>
      <c r="CE377" s="119" t="s">
        <v>1356</v>
      </c>
      <c r="CF377" s="119"/>
      <c r="CG377" s="120"/>
      <c r="CH377" s="119"/>
      <c r="CI377" s="120"/>
      <c r="CJ377" s="119"/>
      <c r="CK377" s="119" t="s">
        <v>1356</v>
      </c>
      <c r="CL377" s="119"/>
      <c r="CM377" s="120"/>
      <c r="CN377" s="119"/>
      <c r="CO377" s="120"/>
      <c r="CP377" s="119"/>
      <c r="CQ377" s="119" t="s">
        <v>1356</v>
      </c>
      <c r="CR377" s="119"/>
      <c r="CS377" s="120"/>
      <c r="CT377" s="119"/>
      <c r="CU377" s="120"/>
      <c r="CV377" s="119"/>
      <c r="CW377" s="119" t="s">
        <v>1356</v>
      </c>
      <c r="CX377" s="119"/>
      <c r="CY377" s="120"/>
      <c r="CZ377" s="119"/>
      <c r="DA377" s="120"/>
      <c r="DB377" s="128" t="s">
        <v>7085</v>
      </c>
      <c r="DC377" s="131" t="s">
        <v>105</v>
      </c>
    </row>
    <row r="378" spans="1:107" s="40" customFormat="1" ht="14.55" customHeight="1" x14ac:dyDescent="0.3">
      <c r="A378" s="42" t="s">
        <v>3456</v>
      </c>
      <c r="B378" s="42" t="s">
        <v>4032</v>
      </c>
      <c r="C378" s="42" t="s">
        <v>2485</v>
      </c>
      <c r="D378" s="42" t="s">
        <v>2486</v>
      </c>
      <c r="E378" s="42" t="s">
        <v>2487</v>
      </c>
      <c r="F378" s="42" t="s">
        <v>175</v>
      </c>
      <c r="G378" s="42" t="s">
        <v>1059</v>
      </c>
      <c r="H378" s="43" t="s">
        <v>6924</v>
      </c>
      <c r="I378" s="44">
        <v>1801</v>
      </c>
      <c r="J378" s="44">
        <v>180150</v>
      </c>
      <c r="K378" s="45">
        <v>3</v>
      </c>
      <c r="L378" s="42" t="s">
        <v>2488</v>
      </c>
      <c r="M378" s="42" t="s">
        <v>2489</v>
      </c>
      <c r="N378" s="42" t="s">
        <v>2490</v>
      </c>
      <c r="O378" s="42"/>
      <c r="P378" s="42"/>
      <c r="Q378" s="42"/>
      <c r="R378" s="42" t="s">
        <v>113</v>
      </c>
      <c r="S378" s="42"/>
      <c r="T378" s="42"/>
      <c r="U378" s="42" t="s">
        <v>2491</v>
      </c>
      <c r="V378" s="42"/>
      <c r="W378" s="42" t="s">
        <v>2492</v>
      </c>
      <c r="X378" s="42" t="s">
        <v>2493</v>
      </c>
      <c r="Y378" s="42" t="s">
        <v>2494</v>
      </c>
      <c r="Z378" s="42">
        <v>-78.629031032323823</v>
      </c>
      <c r="AA378" s="42">
        <v>-1.2748667532811351</v>
      </c>
      <c r="AB378" s="42">
        <v>180150040</v>
      </c>
      <c r="AC378" s="42">
        <v>180150040010</v>
      </c>
      <c r="AD378" s="42">
        <v>180150040010004</v>
      </c>
      <c r="AE378" s="45">
        <v>2</v>
      </c>
      <c r="AF378" s="45" t="s">
        <v>64</v>
      </c>
      <c r="AG378" s="46" t="s">
        <v>66</v>
      </c>
      <c r="AH378" s="47">
        <v>30739</v>
      </c>
      <c r="AI378" s="48" t="s">
        <v>66</v>
      </c>
      <c r="AJ378" s="49" t="s">
        <v>6938</v>
      </c>
      <c r="AK378" s="50" t="s">
        <v>67</v>
      </c>
      <c r="AL378" s="51">
        <v>45581</v>
      </c>
      <c r="AM378" s="52" t="s">
        <v>66</v>
      </c>
      <c r="AN378" s="42"/>
      <c r="AO378" s="42"/>
      <c r="AP378" s="42"/>
      <c r="AQ378" s="53">
        <f t="shared" si="18"/>
        <v>0</v>
      </c>
      <c r="AR378" s="54">
        <f t="shared" si="19"/>
        <v>1</v>
      </c>
      <c r="AS378" s="55">
        <f t="shared" si="20"/>
        <v>1</v>
      </c>
      <c r="AT378" s="96"/>
      <c r="AU378" s="96" t="s">
        <v>1356</v>
      </c>
      <c r="AV378" s="96"/>
      <c r="AW378" s="97"/>
      <c r="AX378" s="96"/>
      <c r="AY378" s="98"/>
      <c r="AZ378" s="96"/>
      <c r="BA378" s="96" t="s">
        <v>1356</v>
      </c>
      <c r="BB378" s="96"/>
      <c r="BC378" s="98"/>
      <c r="BD378" s="96"/>
      <c r="BE378" s="98"/>
      <c r="BF378" s="96"/>
      <c r="BG378" s="96" t="s">
        <v>1356</v>
      </c>
      <c r="BH378" s="96"/>
      <c r="BI378" s="98"/>
      <c r="BJ378" s="96"/>
      <c r="BK378" s="98"/>
      <c r="BL378" s="96"/>
      <c r="BM378" s="96" t="s">
        <v>1356</v>
      </c>
      <c r="BN378" s="96"/>
      <c r="BO378" s="98"/>
      <c r="BP378" s="96"/>
      <c r="BQ378" s="98"/>
      <c r="BR378" s="96"/>
      <c r="BS378" s="96" t="s">
        <v>1356</v>
      </c>
      <c r="BT378" s="96"/>
      <c r="BU378" s="98"/>
      <c r="BV378" s="96"/>
      <c r="BW378" s="98"/>
      <c r="BX378" s="117" t="s">
        <v>182</v>
      </c>
      <c r="BY378" s="117" t="s">
        <v>1680</v>
      </c>
      <c r="BZ378" s="117">
        <v>36.9</v>
      </c>
      <c r="CA378" s="118">
        <v>45581</v>
      </c>
      <c r="CB378" s="117"/>
      <c r="CC378" s="118"/>
      <c r="CD378" s="117"/>
      <c r="CE378" s="117" t="s">
        <v>1356</v>
      </c>
      <c r="CF378" s="117"/>
      <c r="CG378" s="118"/>
      <c r="CH378" s="117"/>
      <c r="CI378" s="118"/>
      <c r="CJ378" s="117"/>
      <c r="CK378" s="117" t="s">
        <v>1356</v>
      </c>
      <c r="CL378" s="117"/>
      <c r="CM378" s="118"/>
      <c r="CN378" s="117"/>
      <c r="CO378" s="118"/>
      <c r="CP378" s="117"/>
      <c r="CQ378" s="117" t="s">
        <v>1356</v>
      </c>
      <c r="CR378" s="117"/>
      <c r="CS378" s="118"/>
      <c r="CT378" s="117"/>
      <c r="CU378" s="118"/>
      <c r="CV378" s="117"/>
      <c r="CW378" s="117" t="s">
        <v>1356</v>
      </c>
      <c r="CX378" s="117"/>
      <c r="CY378" s="118"/>
      <c r="CZ378" s="117"/>
      <c r="DA378" s="118"/>
      <c r="DB378" s="129" t="s">
        <v>6962</v>
      </c>
      <c r="DC378" s="130" t="s">
        <v>105</v>
      </c>
    </row>
    <row r="379" spans="1:107" s="40" customFormat="1" ht="14.55" customHeight="1" x14ac:dyDescent="0.3">
      <c r="A379" s="35" t="s">
        <v>4108</v>
      </c>
      <c r="B379" s="35" t="s">
        <v>4185</v>
      </c>
      <c r="C379" s="35" t="s">
        <v>4186</v>
      </c>
      <c r="D379" s="35" t="s">
        <v>3149</v>
      </c>
      <c r="E379" s="35" t="s">
        <v>3150</v>
      </c>
      <c r="F379" s="35" t="s">
        <v>1950</v>
      </c>
      <c r="G379" s="35" t="s">
        <v>404</v>
      </c>
      <c r="H379" s="27" t="s">
        <v>6930</v>
      </c>
      <c r="I379" s="62">
        <v>101</v>
      </c>
      <c r="J379" s="62">
        <v>10150</v>
      </c>
      <c r="K379" s="63">
        <v>4</v>
      </c>
      <c r="L379" s="35" t="s">
        <v>894</v>
      </c>
      <c r="M379" s="35"/>
      <c r="N379" s="35" t="s">
        <v>3151</v>
      </c>
      <c r="O379" s="35"/>
      <c r="P379" s="35"/>
      <c r="Q379" s="35" t="s">
        <v>3152</v>
      </c>
      <c r="R379" s="35" t="s">
        <v>60</v>
      </c>
      <c r="S379" s="35"/>
      <c r="T379" s="35"/>
      <c r="U379" s="35"/>
      <c r="V379" s="35"/>
      <c r="W379" s="35" t="s">
        <v>3153</v>
      </c>
      <c r="X379" s="35" t="s">
        <v>3154</v>
      </c>
      <c r="Y379" s="35" t="s">
        <v>3155</v>
      </c>
      <c r="Z379" s="35">
        <v>-79.021832000000003</v>
      </c>
      <c r="AA379" s="35">
        <v>-2.91337</v>
      </c>
      <c r="AB379" s="35">
        <v>10150107</v>
      </c>
      <c r="AC379" s="35">
        <v>10150107003</v>
      </c>
      <c r="AD379" s="35">
        <v>10150107003001</v>
      </c>
      <c r="AE379" s="63">
        <v>5</v>
      </c>
      <c r="AF379" s="63" t="s">
        <v>772</v>
      </c>
      <c r="AG379" s="29" t="s">
        <v>65</v>
      </c>
      <c r="AH379" s="75"/>
      <c r="AI379" s="65" t="s">
        <v>66</v>
      </c>
      <c r="AJ379" s="32" t="s">
        <v>6938</v>
      </c>
      <c r="AK379" s="33" t="s">
        <v>67</v>
      </c>
      <c r="AL379" s="76">
        <v>45572</v>
      </c>
      <c r="AM379" s="35" t="s">
        <v>66</v>
      </c>
      <c r="AN379" s="35"/>
      <c r="AO379" s="35"/>
      <c r="AP379" s="35"/>
      <c r="AQ379" s="37">
        <f t="shared" si="18"/>
        <v>0</v>
      </c>
      <c r="AR379" s="38">
        <f t="shared" si="19"/>
        <v>0</v>
      </c>
      <c r="AS379" s="39">
        <f t="shared" si="20"/>
        <v>0</v>
      </c>
      <c r="AT379" s="99"/>
      <c r="AU379" s="99" t="s">
        <v>1356</v>
      </c>
      <c r="AV379" s="99"/>
      <c r="AW379" s="100"/>
      <c r="AX379" s="99"/>
      <c r="AY379" s="101"/>
      <c r="AZ379" s="99"/>
      <c r="BA379" s="99" t="s">
        <v>1356</v>
      </c>
      <c r="BB379" s="99"/>
      <c r="BC379" s="101"/>
      <c r="BD379" s="99"/>
      <c r="BE379" s="101"/>
      <c r="BF379" s="99"/>
      <c r="BG379" s="99" t="s">
        <v>1356</v>
      </c>
      <c r="BH379" s="99"/>
      <c r="BI379" s="101"/>
      <c r="BJ379" s="99"/>
      <c r="BK379" s="101"/>
      <c r="BL379" s="99"/>
      <c r="BM379" s="99" t="s">
        <v>1356</v>
      </c>
      <c r="BN379" s="99"/>
      <c r="BO379" s="101"/>
      <c r="BP379" s="99"/>
      <c r="BQ379" s="101"/>
      <c r="BR379" s="99"/>
      <c r="BS379" s="99" t="s">
        <v>1356</v>
      </c>
      <c r="BT379" s="99"/>
      <c r="BU379" s="101"/>
      <c r="BV379" s="99"/>
      <c r="BW379" s="101"/>
      <c r="BX379" s="119"/>
      <c r="BY379" s="119" t="s">
        <v>1356</v>
      </c>
      <c r="BZ379" s="119"/>
      <c r="CA379" s="120"/>
      <c r="CB379" s="119"/>
      <c r="CC379" s="120"/>
      <c r="CD379" s="119"/>
      <c r="CE379" s="119" t="s">
        <v>1356</v>
      </c>
      <c r="CF379" s="119"/>
      <c r="CG379" s="120"/>
      <c r="CH379" s="119"/>
      <c r="CI379" s="120"/>
      <c r="CJ379" s="119"/>
      <c r="CK379" s="119" t="s">
        <v>1356</v>
      </c>
      <c r="CL379" s="119"/>
      <c r="CM379" s="120"/>
      <c r="CN379" s="119"/>
      <c r="CO379" s="120"/>
      <c r="CP379" s="119"/>
      <c r="CQ379" s="119" t="s">
        <v>1356</v>
      </c>
      <c r="CR379" s="119"/>
      <c r="CS379" s="120"/>
      <c r="CT379" s="119"/>
      <c r="CU379" s="120"/>
      <c r="CV379" s="119"/>
      <c r="CW379" s="119" t="s">
        <v>1356</v>
      </c>
      <c r="CX379" s="119"/>
      <c r="CY379" s="120"/>
      <c r="CZ379" s="119"/>
      <c r="DA379" s="120"/>
      <c r="DB379" s="128" t="s">
        <v>7085</v>
      </c>
      <c r="DC379" s="131" t="s">
        <v>105</v>
      </c>
    </row>
    <row r="380" spans="1:107" s="40" customFormat="1" ht="14.55" customHeight="1" x14ac:dyDescent="0.3">
      <c r="A380" s="35" t="s">
        <v>4108</v>
      </c>
      <c r="B380" s="35" t="s">
        <v>4187</v>
      </c>
      <c r="C380" s="35" t="s">
        <v>4188</v>
      </c>
      <c r="D380" s="35" t="s">
        <v>3156</v>
      </c>
      <c r="E380" s="35" t="s">
        <v>3157</v>
      </c>
      <c r="F380" s="35" t="s">
        <v>3036</v>
      </c>
      <c r="G380" s="35" t="s">
        <v>2928</v>
      </c>
      <c r="H380" s="27" t="s">
        <v>6929</v>
      </c>
      <c r="I380" s="62">
        <v>701</v>
      </c>
      <c r="J380" s="62">
        <v>70150</v>
      </c>
      <c r="K380" s="63">
        <v>4</v>
      </c>
      <c r="L380" s="35" t="s">
        <v>3158</v>
      </c>
      <c r="M380" s="35"/>
      <c r="N380" s="35" t="s">
        <v>3159</v>
      </c>
      <c r="O380" s="35" t="s">
        <v>766</v>
      </c>
      <c r="P380" s="35"/>
      <c r="Q380" s="35" t="s">
        <v>3160</v>
      </c>
      <c r="R380" s="35" t="s">
        <v>535</v>
      </c>
      <c r="S380" s="35"/>
      <c r="T380" s="35"/>
      <c r="U380" s="35" t="s">
        <v>3161</v>
      </c>
      <c r="V380" s="35"/>
      <c r="W380" s="35" t="s">
        <v>3162</v>
      </c>
      <c r="X380" s="35" t="s">
        <v>3163</v>
      </c>
      <c r="Y380" s="35" t="s">
        <v>3164</v>
      </c>
      <c r="Z380" s="35"/>
      <c r="AA380" s="35"/>
      <c r="AB380" s="35">
        <v>70150076</v>
      </c>
      <c r="AC380" s="35">
        <v>70150076006</v>
      </c>
      <c r="AD380" s="35">
        <v>70150076006004</v>
      </c>
      <c r="AE380" s="63">
        <v>5</v>
      </c>
      <c r="AF380" s="63" t="s">
        <v>772</v>
      </c>
      <c r="AG380" s="29" t="s">
        <v>65</v>
      </c>
      <c r="AH380" s="64"/>
      <c r="AI380" s="65" t="s">
        <v>66</v>
      </c>
      <c r="AJ380" s="32" t="s">
        <v>6938</v>
      </c>
      <c r="AK380" s="33" t="s">
        <v>67</v>
      </c>
      <c r="AL380" s="76">
        <v>45589</v>
      </c>
      <c r="AM380" s="35" t="s">
        <v>66</v>
      </c>
      <c r="AN380" s="35"/>
      <c r="AO380" s="35"/>
      <c r="AP380" s="35"/>
      <c r="AQ380" s="37">
        <f t="shared" si="18"/>
        <v>0</v>
      </c>
      <c r="AR380" s="38">
        <f t="shared" si="19"/>
        <v>0</v>
      </c>
      <c r="AS380" s="39">
        <f t="shared" si="20"/>
        <v>0</v>
      </c>
      <c r="AT380" s="99"/>
      <c r="AU380" s="99" t="s">
        <v>1356</v>
      </c>
      <c r="AV380" s="99"/>
      <c r="AW380" s="100"/>
      <c r="AX380" s="99"/>
      <c r="AY380" s="101"/>
      <c r="AZ380" s="99"/>
      <c r="BA380" s="99" t="s">
        <v>1356</v>
      </c>
      <c r="BB380" s="99"/>
      <c r="BC380" s="101"/>
      <c r="BD380" s="99"/>
      <c r="BE380" s="101"/>
      <c r="BF380" s="99"/>
      <c r="BG380" s="99" t="s">
        <v>1356</v>
      </c>
      <c r="BH380" s="99"/>
      <c r="BI380" s="101"/>
      <c r="BJ380" s="99"/>
      <c r="BK380" s="101"/>
      <c r="BL380" s="99"/>
      <c r="BM380" s="99" t="s">
        <v>1356</v>
      </c>
      <c r="BN380" s="99"/>
      <c r="BO380" s="101"/>
      <c r="BP380" s="99"/>
      <c r="BQ380" s="101"/>
      <c r="BR380" s="99"/>
      <c r="BS380" s="99" t="s">
        <v>1356</v>
      </c>
      <c r="BT380" s="99"/>
      <c r="BU380" s="101"/>
      <c r="BV380" s="99"/>
      <c r="BW380" s="101"/>
      <c r="BX380" s="119"/>
      <c r="BY380" s="119" t="s">
        <v>1356</v>
      </c>
      <c r="BZ380" s="119"/>
      <c r="CA380" s="120"/>
      <c r="CB380" s="119"/>
      <c r="CC380" s="120"/>
      <c r="CD380" s="119"/>
      <c r="CE380" s="119" t="s">
        <v>1356</v>
      </c>
      <c r="CF380" s="119"/>
      <c r="CG380" s="120"/>
      <c r="CH380" s="119"/>
      <c r="CI380" s="120"/>
      <c r="CJ380" s="119"/>
      <c r="CK380" s="119" t="s">
        <v>1356</v>
      </c>
      <c r="CL380" s="119"/>
      <c r="CM380" s="120"/>
      <c r="CN380" s="119"/>
      <c r="CO380" s="120"/>
      <c r="CP380" s="119"/>
      <c r="CQ380" s="119" t="s">
        <v>1356</v>
      </c>
      <c r="CR380" s="119"/>
      <c r="CS380" s="120"/>
      <c r="CT380" s="119"/>
      <c r="CU380" s="120"/>
      <c r="CV380" s="119"/>
      <c r="CW380" s="119" t="s">
        <v>1356</v>
      </c>
      <c r="CX380" s="119"/>
      <c r="CY380" s="120"/>
      <c r="CZ380" s="119"/>
      <c r="DA380" s="120"/>
      <c r="DB380" s="128" t="s">
        <v>7085</v>
      </c>
      <c r="DC380" s="131" t="s">
        <v>78</v>
      </c>
    </row>
    <row r="381" spans="1:107" s="40" customFormat="1" ht="14.55" customHeight="1" x14ac:dyDescent="0.3">
      <c r="A381" s="42" t="s">
        <v>3456</v>
      </c>
      <c r="B381" s="42" t="s">
        <v>4071</v>
      </c>
      <c r="C381" s="42" t="s">
        <v>2676</v>
      </c>
      <c r="D381" s="42" t="s">
        <v>2677</v>
      </c>
      <c r="E381" s="42" t="s">
        <v>2678</v>
      </c>
      <c r="F381" s="42" t="s">
        <v>2498</v>
      </c>
      <c r="G381" s="42" t="s">
        <v>1059</v>
      </c>
      <c r="H381" s="43" t="s">
        <v>6924</v>
      </c>
      <c r="I381" s="44">
        <v>1801</v>
      </c>
      <c r="J381" s="44">
        <v>180166</v>
      </c>
      <c r="K381" s="45">
        <v>3</v>
      </c>
      <c r="L381" s="42" t="s">
        <v>2679</v>
      </c>
      <c r="M381" s="42" t="s">
        <v>258</v>
      </c>
      <c r="N381" s="42" t="s">
        <v>2680</v>
      </c>
      <c r="O381" s="42"/>
      <c r="P381" s="42"/>
      <c r="Q381" s="42"/>
      <c r="R381" s="42" t="s">
        <v>113</v>
      </c>
      <c r="S381" s="42"/>
      <c r="T381" s="42"/>
      <c r="U381" s="42" t="s">
        <v>2681</v>
      </c>
      <c r="V381" s="42"/>
      <c r="W381" s="42" t="s">
        <v>2682</v>
      </c>
      <c r="X381" s="42" t="s">
        <v>2683</v>
      </c>
      <c r="Y381" s="42" t="s">
        <v>2684</v>
      </c>
      <c r="Z381" s="42">
        <v>-78.596293330192566</v>
      </c>
      <c r="AA381" s="42">
        <v>-1.322587081655622</v>
      </c>
      <c r="AB381" s="42">
        <v>180166999</v>
      </c>
      <c r="AC381" s="42">
        <v>180166999020</v>
      </c>
      <c r="AD381" s="42">
        <v>180166999020001</v>
      </c>
      <c r="AE381" s="45">
        <v>3</v>
      </c>
      <c r="AF381" s="45" t="s">
        <v>377</v>
      </c>
      <c r="AG381" s="46" t="s">
        <v>66</v>
      </c>
      <c r="AH381" s="47">
        <v>30743</v>
      </c>
      <c r="AI381" s="48" t="s">
        <v>66</v>
      </c>
      <c r="AJ381" s="49" t="s">
        <v>6938</v>
      </c>
      <c r="AK381" s="50" t="s">
        <v>67</v>
      </c>
      <c r="AL381" s="51">
        <v>45581</v>
      </c>
      <c r="AM381" s="52" t="s">
        <v>66</v>
      </c>
      <c r="AN381" s="42"/>
      <c r="AO381" s="42"/>
      <c r="AP381" s="42"/>
      <c r="AQ381" s="53">
        <f t="shared" si="18"/>
        <v>0</v>
      </c>
      <c r="AR381" s="54">
        <f t="shared" si="19"/>
        <v>3</v>
      </c>
      <c r="AS381" s="55">
        <f t="shared" si="20"/>
        <v>3</v>
      </c>
      <c r="AT381" s="96"/>
      <c r="AU381" s="96" t="s">
        <v>1356</v>
      </c>
      <c r="AV381" s="96"/>
      <c r="AW381" s="97"/>
      <c r="AX381" s="96"/>
      <c r="AY381" s="98"/>
      <c r="AZ381" s="96"/>
      <c r="BA381" s="96" t="s">
        <v>1356</v>
      </c>
      <c r="BB381" s="96"/>
      <c r="BC381" s="98"/>
      <c r="BD381" s="96"/>
      <c r="BE381" s="98"/>
      <c r="BF381" s="96"/>
      <c r="BG381" s="96" t="s">
        <v>1356</v>
      </c>
      <c r="BH381" s="96"/>
      <c r="BI381" s="98"/>
      <c r="BJ381" s="96"/>
      <c r="BK381" s="98"/>
      <c r="BL381" s="96"/>
      <c r="BM381" s="96" t="s">
        <v>1356</v>
      </c>
      <c r="BN381" s="96"/>
      <c r="BO381" s="98"/>
      <c r="BP381" s="96"/>
      <c r="BQ381" s="98"/>
      <c r="BR381" s="96"/>
      <c r="BS381" s="96" t="s">
        <v>1356</v>
      </c>
      <c r="BT381" s="96"/>
      <c r="BU381" s="98"/>
      <c r="BV381" s="96"/>
      <c r="BW381" s="98"/>
      <c r="BX381" s="117" t="s">
        <v>2506</v>
      </c>
      <c r="BY381" s="117" t="s">
        <v>2507</v>
      </c>
      <c r="BZ381" s="117">
        <v>0.17050000000000001</v>
      </c>
      <c r="CA381" s="118">
        <v>45582</v>
      </c>
      <c r="CB381" s="117"/>
      <c r="CC381" s="118"/>
      <c r="CD381" s="117" t="s">
        <v>2506</v>
      </c>
      <c r="CE381" s="117" t="s">
        <v>2507</v>
      </c>
      <c r="CF381" s="117">
        <v>0.22509999999999999</v>
      </c>
      <c r="CG381" s="118">
        <v>45582</v>
      </c>
      <c r="CH381" s="117"/>
      <c r="CI381" s="118"/>
      <c r="CJ381" s="117" t="s">
        <v>2506</v>
      </c>
      <c r="CK381" s="117" t="s">
        <v>2507</v>
      </c>
      <c r="CL381" s="117">
        <v>0.19739999999999999</v>
      </c>
      <c r="CM381" s="118">
        <v>45582</v>
      </c>
      <c r="CN381" s="117"/>
      <c r="CO381" s="118"/>
      <c r="CP381" s="117"/>
      <c r="CQ381" s="117" t="s">
        <v>1356</v>
      </c>
      <c r="CR381" s="117"/>
      <c r="CS381" s="118"/>
      <c r="CT381" s="117"/>
      <c r="CU381" s="118"/>
      <c r="CV381" s="117"/>
      <c r="CW381" s="117" t="s">
        <v>1356</v>
      </c>
      <c r="CX381" s="117"/>
      <c r="CY381" s="118"/>
      <c r="CZ381" s="117"/>
      <c r="DA381" s="118"/>
      <c r="DB381" s="129" t="s">
        <v>6962</v>
      </c>
      <c r="DC381" s="130" t="s">
        <v>105</v>
      </c>
    </row>
    <row r="382" spans="1:107" s="40" customFormat="1" ht="14.55" customHeight="1" x14ac:dyDescent="0.3">
      <c r="A382" s="35" t="s">
        <v>4108</v>
      </c>
      <c r="B382" s="35" t="s">
        <v>4191</v>
      </c>
      <c r="C382" s="35" t="s">
        <v>4192</v>
      </c>
      <c r="D382" s="35" t="s">
        <v>3179</v>
      </c>
      <c r="E382" s="35" t="s">
        <v>3179</v>
      </c>
      <c r="F382" s="35" t="s">
        <v>71</v>
      </c>
      <c r="G382" s="35" t="s">
        <v>2928</v>
      </c>
      <c r="H382" s="27" t="s">
        <v>6929</v>
      </c>
      <c r="I382" s="62">
        <v>706</v>
      </c>
      <c r="J382" s="62">
        <v>70651</v>
      </c>
      <c r="K382" s="63">
        <v>4</v>
      </c>
      <c r="L382" s="35" t="s">
        <v>3180</v>
      </c>
      <c r="M382" s="35" t="s">
        <v>258</v>
      </c>
      <c r="N382" s="35" t="s">
        <v>258</v>
      </c>
      <c r="O382" s="35" t="s">
        <v>3181</v>
      </c>
      <c r="P382" s="35"/>
      <c r="Q382" s="35" t="s">
        <v>3182</v>
      </c>
      <c r="R382" s="35" t="s">
        <v>60</v>
      </c>
      <c r="S382" s="35"/>
      <c r="T382" s="35"/>
      <c r="U382" s="35"/>
      <c r="V382" s="35"/>
      <c r="W382" s="35" t="s">
        <v>3183</v>
      </c>
      <c r="X382" s="35" t="s">
        <v>3184</v>
      </c>
      <c r="Y382" s="35" t="s">
        <v>3185</v>
      </c>
      <c r="Z382" s="35"/>
      <c r="AA382" s="35"/>
      <c r="AB382" s="35">
        <v>70651999</v>
      </c>
      <c r="AC382" s="35">
        <v>70651999003</v>
      </c>
      <c r="AD382" s="35"/>
      <c r="AE382" s="63">
        <v>5</v>
      </c>
      <c r="AF382" s="63" t="s">
        <v>772</v>
      </c>
      <c r="AG382" s="29" t="s">
        <v>65</v>
      </c>
      <c r="AH382" s="75"/>
      <c r="AI382" s="65" t="s">
        <v>66</v>
      </c>
      <c r="AJ382" s="32" t="s">
        <v>6938</v>
      </c>
      <c r="AK382" s="33" t="s">
        <v>67</v>
      </c>
      <c r="AL382" s="76">
        <v>45590</v>
      </c>
      <c r="AM382" s="35" t="s">
        <v>66</v>
      </c>
      <c r="AN382" s="35"/>
      <c r="AO382" s="35"/>
      <c r="AP382" s="35"/>
      <c r="AQ382" s="37">
        <f t="shared" si="18"/>
        <v>0</v>
      </c>
      <c r="AR382" s="38">
        <f t="shared" si="19"/>
        <v>0</v>
      </c>
      <c r="AS382" s="39">
        <f t="shared" si="20"/>
        <v>0</v>
      </c>
      <c r="AT382" s="99"/>
      <c r="AU382" s="99" t="s">
        <v>1356</v>
      </c>
      <c r="AV382" s="99"/>
      <c r="AW382" s="100"/>
      <c r="AX382" s="99"/>
      <c r="AY382" s="101"/>
      <c r="AZ382" s="99"/>
      <c r="BA382" s="99" t="s">
        <v>1356</v>
      </c>
      <c r="BB382" s="99"/>
      <c r="BC382" s="101"/>
      <c r="BD382" s="99"/>
      <c r="BE382" s="101"/>
      <c r="BF382" s="99"/>
      <c r="BG382" s="99" t="s">
        <v>1356</v>
      </c>
      <c r="BH382" s="99"/>
      <c r="BI382" s="101"/>
      <c r="BJ382" s="99"/>
      <c r="BK382" s="101"/>
      <c r="BL382" s="99"/>
      <c r="BM382" s="99" t="s">
        <v>1356</v>
      </c>
      <c r="BN382" s="99"/>
      <c r="BO382" s="101"/>
      <c r="BP382" s="99"/>
      <c r="BQ382" s="101"/>
      <c r="BR382" s="99"/>
      <c r="BS382" s="99" t="s">
        <v>1356</v>
      </c>
      <c r="BT382" s="99"/>
      <c r="BU382" s="101"/>
      <c r="BV382" s="99"/>
      <c r="BW382" s="101"/>
      <c r="BX382" s="119"/>
      <c r="BY382" s="119" t="s">
        <v>1356</v>
      </c>
      <c r="BZ382" s="119"/>
      <c r="CA382" s="120"/>
      <c r="CB382" s="119"/>
      <c r="CC382" s="120"/>
      <c r="CD382" s="119"/>
      <c r="CE382" s="119" t="s">
        <v>1356</v>
      </c>
      <c r="CF382" s="119"/>
      <c r="CG382" s="120"/>
      <c r="CH382" s="119"/>
      <c r="CI382" s="120"/>
      <c r="CJ382" s="119"/>
      <c r="CK382" s="119" t="s">
        <v>1356</v>
      </c>
      <c r="CL382" s="119"/>
      <c r="CM382" s="120"/>
      <c r="CN382" s="119"/>
      <c r="CO382" s="120"/>
      <c r="CP382" s="119"/>
      <c r="CQ382" s="119" t="s">
        <v>1356</v>
      </c>
      <c r="CR382" s="119"/>
      <c r="CS382" s="120"/>
      <c r="CT382" s="119"/>
      <c r="CU382" s="120"/>
      <c r="CV382" s="119"/>
      <c r="CW382" s="119" t="s">
        <v>1356</v>
      </c>
      <c r="CX382" s="119"/>
      <c r="CY382" s="120"/>
      <c r="CZ382" s="119"/>
      <c r="DA382" s="120"/>
      <c r="DB382" s="128" t="s">
        <v>7085</v>
      </c>
      <c r="DC382" s="131" t="s">
        <v>78</v>
      </c>
    </row>
    <row r="383" spans="1:107" s="40" customFormat="1" ht="14.55" customHeight="1" x14ac:dyDescent="0.3">
      <c r="A383" s="42" t="s">
        <v>4219</v>
      </c>
      <c r="B383" s="42" t="s">
        <v>4863</v>
      </c>
      <c r="C383" s="42" t="s">
        <v>4864</v>
      </c>
      <c r="D383" s="42" t="s">
        <v>4865</v>
      </c>
      <c r="E383" s="42" t="s">
        <v>70</v>
      </c>
      <c r="F383" s="42" t="s">
        <v>190</v>
      </c>
      <c r="G383" s="42" t="s">
        <v>4484</v>
      </c>
      <c r="H383" s="43" t="s">
        <v>6936</v>
      </c>
      <c r="I383" s="44">
        <v>1210</v>
      </c>
      <c r="J383" s="44">
        <v>121050</v>
      </c>
      <c r="K383" s="45">
        <v>4</v>
      </c>
      <c r="L383" s="42" t="s">
        <v>3497</v>
      </c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 t="s">
        <v>4866</v>
      </c>
      <c r="X383" s="42"/>
      <c r="Y383" s="42" t="s">
        <v>4867</v>
      </c>
      <c r="Z383" s="42"/>
      <c r="AA383" s="42"/>
      <c r="AB383" s="42"/>
      <c r="AC383" s="42"/>
      <c r="AD383" s="42"/>
      <c r="AE383" s="45">
        <v>3</v>
      </c>
      <c r="AF383" s="45" t="s">
        <v>377</v>
      </c>
      <c r="AG383" s="46" t="s">
        <v>66</v>
      </c>
      <c r="AH383" s="47" t="s">
        <v>6953</v>
      </c>
      <c r="AI383" s="48" t="s">
        <v>66</v>
      </c>
      <c r="AJ383" s="49" t="s">
        <v>6938</v>
      </c>
      <c r="AK383" s="50" t="s">
        <v>67</v>
      </c>
      <c r="AL383" s="58">
        <v>45581</v>
      </c>
      <c r="AM383" s="52" t="s">
        <v>66</v>
      </c>
      <c r="AN383" s="42"/>
      <c r="AO383" s="42"/>
      <c r="AP383" s="42"/>
      <c r="AQ383" s="53">
        <f t="shared" si="18"/>
        <v>0</v>
      </c>
      <c r="AR383" s="54">
        <f t="shared" si="19"/>
        <v>1</v>
      </c>
      <c r="AS383" s="55">
        <f t="shared" si="20"/>
        <v>1</v>
      </c>
      <c r="AT383" s="96"/>
      <c r="AU383" s="96" t="s">
        <v>1356</v>
      </c>
      <c r="AV383" s="96"/>
      <c r="AW383" s="97"/>
      <c r="AX383" s="96"/>
      <c r="AY383" s="98"/>
      <c r="AZ383" s="96"/>
      <c r="BA383" s="96" t="s">
        <v>1356</v>
      </c>
      <c r="BB383" s="96"/>
      <c r="BC383" s="98"/>
      <c r="BD383" s="96"/>
      <c r="BE383" s="98"/>
      <c r="BF383" s="96"/>
      <c r="BG383" s="96" t="s">
        <v>1356</v>
      </c>
      <c r="BH383" s="96"/>
      <c r="BI383" s="98"/>
      <c r="BJ383" s="96"/>
      <c r="BK383" s="98"/>
      <c r="BL383" s="96"/>
      <c r="BM383" s="96" t="s">
        <v>1356</v>
      </c>
      <c r="BN383" s="96"/>
      <c r="BO383" s="98"/>
      <c r="BP383" s="96"/>
      <c r="BQ383" s="98"/>
      <c r="BR383" s="96"/>
      <c r="BS383" s="96" t="s">
        <v>1356</v>
      </c>
      <c r="BT383" s="96"/>
      <c r="BU383" s="98"/>
      <c r="BV383" s="96"/>
      <c r="BW383" s="98"/>
      <c r="BX383" s="117" t="s">
        <v>4868</v>
      </c>
      <c r="BY383" s="117" t="s">
        <v>4869</v>
      </c>
      <c r="BZ383" s="117">
        <v>4.5</v>
      </c>
      <c r="CA383" s="118">
        <v>45586</v>
      </c>
      <c r="CB383" s="117">
        <v>4.5</v>
      </c>
      <c r="CC383" s="118">
        <v>45631</v>
      </c>
      <c r="CD383" s="117"/>
      <c r="CE383" s="117" t="s">
        <v>1356</v>
      </c>
      <c r="CF383" s="117"/>
      <c r="CG383" s="118"/>
      <c r="CH383" s="117"/>
      <c r="CI383" s="118"/>
      <c r="CJ383" s="117"/>
      <c r="CK383" s="117" t="s">
        <v>1356</v>
      </c>
      <c r="CL383" s="117"/>
      <c r="CM383" s="118"/>
      <c r="CN383" s="117"/>
      <c r="CO383" s="118"/>
      <c r="CP383" s="117"/>
      <c r="CQ383" s="117" t="s">
        <v>1356</v>
      </c>
      <c r="CR383" s="117"/>
      <c r="CS383" s="118"/>
      <c r="CT383" s="117"/>
      <c r="CU383" s="118"/>
      <c r="CV383" s="117"/>
      <c r="CW383" s="117" t="s">
        <v>1356</v>
      </c>
      <c r="CX383" s="117"/>
      <c r="CY383" s="118"/>
      <c r="CZ383" s="117"/>
      <c r="DA383" s="118"/>
      <c r="DB383" s="129" t="s">
        <v>6962</v>
      </c>
      <c r="DC383" s="130" t="s">
        <v>105</v>
      </c>
    </row>
    <row r="384" spans="1:107" s="40" customFormat="1" ht="14.55" customHeight="1" x14ac:dyDescent="0.3">
      <c r="A384" s="42" t="s">
        <v>4219</v>
      </c>
      <c r="B384" s="42" t="s">
        <v>6475</v>
      </c>
      <c r="C384" s="42" t="s">
        <v>6476</v>
      </c>
      <c r="D384" s="42" t="s">
        <v>6477</v>
      </c>
      <c r="E384" s="42" t="s">
        <v>6477</v>
      </c>
      <c r="F384" s="42" t="s">
        <v>1493</v>
      </c>
      <c r="G384" s="42" t="s">
        <v>4237</v>
      </c>
      <c r="H384" s="43" t="s">
        <v>686</v>
      </c>
      <c r="I384" s="44">
        <v>907</v>
      </c>
      <c r="J384" s="44">
        <v>90750</v>
      </c>
      <c r="K384" s="45">
        <v>4</v>
      </c>
      <c r="L384" s="42" t="s">
        <v>6478</v>
      </c>
      <c r="M384" s="42" t="s">
        <v>6479</v>
      </c>
      <c r="N384" s="42" t="s">
        <v>258</v>
      </c>
      <c r="O384" s="42" t="s">
        <v>979</v>
      </c>
      <c r="P384" s="42" t="s">
        <v>6480</v>
      </c>
      <c r="Q384" s="42"/>
      <c r="R384" s="42" t="s">
        <v>403</v>
      </c>
      <c r="S384" s="42"/>
      <c r="T384" s="42"/>
      <c r="U384" s="42"/>
      <c r="V384" s="42"/>
      <c r="W384" s="42" t="s">
        <v>6481</v>
      </c>
      <c r="X384" s="42" t="s">
        <v>6482</v>
      </c>
      <c r="Y384" s="42" t="s">
        <v>6483</v>
      </c>
      <c r="Z384" s="42"/>
      <c r="AA384" s="42"/>
      <c r="AB384" s="42">
        <v>90750054</v>
      </c>
      <c r="AC384" s="42">
        <v>90750054011</v>
      </c>
      <c r="AD384" s="42">
        <v>90750054011006</v>
      </c>
      <c r="AE384" s="45">
        <v>5</v>
      </c>
      <c r="AF384" s="45" t="s">
        <v>772</v>
      </c>
      <c r="AG384" s="46" t="s">
        <v>66</v>
      </c>
      <c r="AH384" s="47" t="s">
        <v>6484</v>
      </c>
      <c r="AI384" s="48" t="s">
        <v>66</v>
      </c>
      <c r="AJ384" s="49" t="s">
        <v>6938</v>
      </c>
      <c r="AK384" s="50" t="s">
        <v>67</v>
      </c>
      <c r="AL384" s="58">
        <v>45581</v>
      </c>
      <c r="AM384" s="52" t="s">
        <v>66</v>
      </c>
      <c r="AN384" s="42"/>
      <c r="AO384" s="42"/>
      <c r="AP384" s="42"/>
      <c r="AQ384" s="53">
        <f t="shared" si="18"/>
        <v>1</v>
      </c>
      <c r="AR384" s="54">
        <f t="shared" si="19"/>
        <v>0</v>
      </c>
      <c r="AS384" s="55">
        <f t="shared" si="20"/>
        <v>1</v>
      </c>
      <c r="AT384" s="96" t="s">
        <v>2576</v>
      </c>
      <c r="AU384" s="96" t="s">
        <v>2577</v>
      </c>
      <c r="AV384" s="96" t="s">
        <v>933</v>
      </c>
      <c r="AW384" s="97" t="s">
        <v>6882</v>
      </c>
      <c r="AX384" s="96" t="s">
        <v>933</v>
      </c>
      <c r="AY384" s="98" t="s">
        <v>6882</v>
      </c>
      <c r="AZ384" s="96"/>
      <c r="BA384" s="96" t="s">
        <v>1356</v>
      </c>
      <c r="BB384" s="96"/>
      <c r="BC384" s="98"/>
      <c r="BD384" s="96"/>
      <c r="BE384" s="98"/>
      <c r="BF384" s="96"/>
      <c r="BG384" s="96" t="s">
        <v>1356</v>
      </c>
      <c r="BH384" s="96"/>
      <c r="BI384" s="98"/>
      <c r="BJ384" s="96"/>
      <c r="BK384" s="98"/>
      <c r="BL384" s="96"/>
      <c r="BM384" s="96" t="s">
        <v>1356</v>
      </c>
      <c r="BN384" s="96"/>
      <c r="BO384" s="98"/>
      <c r="BP384" s="96"/>
      <c r="BQ384" s="98"/>
      <c r="BR384" s="96"/>
      <c r="BS384" s="96" t="s">
        <v>1356</v>
      </c>
      <c r="BT384" s="96"/>
      <c r="BU384" s="98"/>
      <c r="BV384" s="96"/>
      <c r="BW384" s="98"/>
      <c r="BX384" s="117"/>
      <c r="BY384" s="117" t="s">
        <v>1356</v>
      </c>
      <c r="BZ384" s="117"/>
      <c r="CA384" s="118"/>
      <c r="CB384" s="117"/>
      <c r="CC384" s="118"/>
      <c r="CD384" s="117"/>
      <c r="CE384" s="117" t="s">
        <v>1356</v>
      </c>
      <c r="CF384" s="117"/>
      <c r="CG384" s="118"/>
      <c r="CH384" s="117"/>
      <c r="CI384" s="118"/>
      <c r="CJ384" s="117"/>
      <c r="CK384" s="117" t="s">
        <v>1356</v>
      </c>
      <c r="CL384" s="117"/>
      <c r="CM384" s="118"/>
      <c r="CN384" s="117"/>
      <c r="CO384" s="118"/>
      <c r="CP384" s="117"/>
      <c r="CQ384" s="117" t="s">
        <v>1356</v>
      </c>
      <c r="CR384" s="117"/>
      <c r="CS384" s="118"/>
      <c r="CT384" s="117"/>
      <c r="CU384" s="118"/>
      <c r="CV384" s="117"/>
      <c r="CW384" s="117" t="s">
        <v>1356</v>
      </c>
      <c r="CX384" s="117"/>
      <c r="CY384" s="118"/>
      <c r="CZ384" s="117"/>
      <c r="DA384" s="118"/>
      <c r="DB384" s="129" t="s">
        <v>6962</v>
      </c>
      <c r="DC384" s="130" t="s">
        <v>105</v>
      </c>
    </row>
    <row r="385" spans="1:107" s="40" customFormat="1" ht="14.55" customHeight="1" x14ac:dyDescent="0.3">
      <c r="A385" s="35" t="s">
        <v>4108</v>
      </c>
      <c r="B385" s="35" t="s">
        <v>4197</v>
      </c>
      <c r="C385" s="35" t="s">
        <v>4198</v>
      </c>
      <c r="D385" s="35" t="s">
        <v>3203</v>
      </c>
      <c r="E385" s="35" t="s">
        <v>3204</v>
      </c>
      <c r="F385" s="35" t="s">
        <v>3036</v>
      </c>
      <c r="G385" s="35" t="s">
        <v>2928</v>
      </c>
      <c r="H385" s="27" t="s">
        <v>6929</v>
      </c>
      <c r="I385" s="62">
        <v>702</v>
      </c>
      <c r="J385" s="62">
        <v>70250</v>
      </c>
      <c r="K385" s="63">
        <v>4</v>
      </c>
      <c r="L385" s="35" t="s">
        <v>1414</v>
      </c>
      <c r="M385" s="35" t="s">
        <v>258</v>
      </c>
      <c r="N385" s="35" t="s">
        <v>2621</v>
      </c>
      <c r="O385" s="35" t="s">
        <v>979</v>
      </c>
      <c r="P385" s="35"/>
      <c r="Q385" s="35" t="s">
        <v>3205</v>
      </c>
      <c r="R385" s="35" t="s">
        <v>60</v>
      </c>
      <c r="S385" s="35"/>
      <c r="T385" s="35" t="s">
        <v>3206</v>
      </c>
      <c r="U385" s="35"/>
      <c r="V385" s="35"/>
      <c r="W385" s="35" t="s">
        <v>3207</v>
      </c>
      <c r="X385" s="35" t="s">
        <v>3208</v>
      </c>
      <c r="Y385" s="35" t="s">
        <v>3209</v>
      </c>
      <c r="Z385" s="35"/>
      <c r="AA385" s="35"/>
      <c r="AB385" s="35">
        <v>70250001</v>
      </c>
      <c r="AC385" s="35">
        <v>70250001010</v>
      </c>
      <c r="AD385" s="35">
        <v>70250001010019</v>
      </c>
      <c r="AE385" s="63">
        <v>5</v>
      </c>
      <c r="AF385" s="63" t="s">
        <v>772</v>
      </c>
      <c r="AG385" s="29" t="s">
        <v>65</v>
      </c>
      <c r="AH385" s="75"/>
      <c r="AI385" s="65" t="s">
        <v>66</v>
      </c>
      <c r="AJ385" s="32" t="s">
        <v>6938</v>
      </c>
      <c r="AK385" s="33" t="s">
        <v>67</v>
      </c>
      <c r="AL385" s="76">
        <v>45574</v>
      </c>
      <c r="AM385" s="35" t="s">
        <v>65</v>
      </c>
      <c r="AN385" s="35" t="s">
        <v>3210</v>
      </c>
      <c r="AO385" s="35" t="s">
        <v>3211</v>
      </c>
      <c r="AP385" s="35" t="s">
        <v>3211</v>
      </c>
      <c r="AQ385" s="37">
        <f t="shared" si="18"/>
        <v>0</v>
      </c>
      <c r="AR385" s="38">
        <f t="shared" si="19"/>
        <v>0</v>
      </c>
      <c r="AS385" s="39">
        <f t="shared" si="20"/>
        <v>0</v>
      </c>
      <c r="AT385" s="99"/>
      <c r="AU385" s="99" t="s">
        <v>1356</v>
      </c>
      <c r="AV385" s="99"/>
      <c r="AW385" s="100"/>
      <c r="AX385" s="99"/>
      <c r="AY385" s="101"/>
      <c r="AZ385" s="99"/>
      <c r="BA385" s="99" t="s">
        <v>1356</v>
      </c>
      <c r="BB385" s="99"/>
      <c r="BC385" s="101"/>
      <c r="BD385" s="99"/>
      <c r="BE385" s="101"/>
      <c r="BF385" s="99"/>
      <c r="BG385" s="99" t="s">
        <v>1356</v>
      </c>
      <c r="BH385" s="99"/>
      <c r="BI385" s="101"/>
      <c r="BJ385" s="99"/>
      <c r="BK385" s="101"/>
      <c r="BL385" s="99"/>
      <c r="BM385" s="99" t="s">
        <v>1356</v>
      </c>
      <c r="BN385" s="99"/>
      <c r="BO385" s="101"/>
      <c r="BP385" s="99"/>
      <c r="BQ385" s="101"/>
      <c r="BR385" s="99"/>
      <c r="BS385" s="99" t="s">
        <v>1356</v>
      </c>
      <c r="BT385" s="99"/>
      <c r="BU385" s="101"/>
      <c r="BV385" s="99"/>
      <c r="BW385" s="101"/>
      <c r="BX385" s="119"/>
      <c r="BY385" s="119" t="s">
        <v>1356</v>
      </c>
      <c r="BZ385" s="119"/>
      <c r="CA385" s="120"/>
      <c r="CB385" s="119"/>
      <c r="CC385" s="120"/>
      <c r="CD385" s="119"/>
      <c r="CE385" s="119" t="s">
        <v>1356</v>
      </c>
      <c r="CF385" s="119"/>
      <c r="CG385" s="120"/>
      <c r="CH385" s="119"/>
      <c r="CI385" s="120"/>
      <c r="CJ385" s="119"/>
      <c r="CK385" s="119" t="s">
        <v>1356</v>
      </c>
      <c r="CL385" s="119"/>
      <c r="CM385" s="120"/>
      <c r="CN385" s="119"/>
      <c r="CO385" s="120"/>
      <c r="CP385" s="119"/>
      <c r="CQ385" s="119" t="s">
        <v>1356</v>
      </c>
      <c r="CR385" s="119"/>
      <c r="CS385" s="120"/>
      <c r="CT385" s="119"/>
      <c r="CU385" s="120"/>
      <c r="CV385" s="119"/>
      <c r="CW385" s="119" t="s">
        <v>1356</v>
      </c>
      <c r="CX385" s="119"/>
      <c r="CY385" s="120"/>
      <c r="CZ385" s="119"/>
      <c r="DA385" s="120"/>
      <c r="DB385" s="128" t="s">
        <v>7085</v>
      </c>
      <c r="DC385" s="131" t="s">
        <v>105</v>
      </c>
    </row>
    <row r="386" spans="1:107" s="40" customFormat="1" ht="14.55" customHeight="1" x14ac:dyDescent="0.3">
      <c r="A386" s="66" t="s">
        <v>3500</v>
      </c>
      <c r="B386" s="66" t="s">
        <v>3547</v>
      </c>
      <c r="C386" s="66" t="s">
        <v>3548</v>
      </c>
      <c r="D386" s="66" t="s">
        <v>301</v>
      </c>
      <c r="E386" s="66" t="s">
        <v>302</v>
      </c>
      <c r="F386" s="66" t="s">
        <v>291</v>
      </c>
      <c r="G386" s="68" t="s">
        <v>109</v>
      </c>
      <c r="H386" s="43" t="s">
        <v>2719</v>
      </c>
      <c r="I386" s="68">
        <v>1001</v>
      </c>
      <c r="J386" s="68">
        <v>100150</v>
      </c>
      <c r="K386" s="69">
        <v>3</v>
      </c>
      <c r="L386" s="66" t="s">
        <v>303</v>
      </c>
      <c r="M386" s="66" t="s">
        <v>304</v>
      </c>
      <c r="N386" s="66"/>
      <c r="O386" s="66"/>
      <c r="P386" s="66"/>
      <c r="Q386" s="66"/>
      <c r="R386" s="66"/>
      <c r="S386" s="66"/>
      <c r="T386" s="66"/>
      <c r="U386" s="66"/>
      <c r="V386" s="66"/>
      <c r="W386" s="66" t="s">
        <v>305</v>
      </c>
      <c r="X386" s="66" t="s">
        <v>306</v>
      </c>
      <c r="Y386" s="66" t="s">
        <v>307</v>
      </c>
      <c r="Z386" s="66"/>
      <c r="AA386" s="66"/>
      <c r="AB386" s="66">
        <v>100150001</v>
      </c>
      <c r="AC386" s="66">
        <v>100150001001</v>
      </c>
      <c r="AD386" s="66">
        <v>100150001001001</v>
      </c>
      <c r="AE386" s="69">
        <v>2</v>
      </c>
      <c r="AF386" s="69" t="s">
        <v>64</v>
      </c>
      <c r="AG386" s="46" t="s">
        <v>66</v>
      </c>
      <c r="AH386" s="70">
        <v>40888</v>
      </c>
      <c r="AI386" s="77" t="s">
        <v>66</v>
      </c>
      <c r="AJ386" s="49" t="s">
        <v>6938</v>
      </c>
      <c r="AK386" s="50" t="s">
        <v>67</v>
      </c>
      <c r="AL386" s="58">
        <v>45582</v>
      </c>
      <c r="AM386" s="52" t="s">
        <v>66</v>
      </c>
      <c r="AN386" s="72"/>
      <c r="AO386" s="52"/>
      <c r="AP386" s="52"/>
      <c r="AQ386" s="53">
        <f t="shared" si="18"/>
        <v>1</v>
      </c>
      <c r="AR386" s="54">
        <f t="shared" si="19"/>
        <v>0</v>
      </c>
      <c r="AS386" s="55">
        <f t="shared" si="20"/>
        <v>1</v>
      </c>
      <c r="AT386" s="102" t="s">
        <v>300</v>
      </c>
      <c r="AU386" s="103" t="s">
        <v>2263</v>
      </c>
      <c r="AV386" s="108">
        <v>80.95</v>
      </c>
      <c r="AW386" s="105">
        <v>45582</v>
      </c>
      <c r="AX386" s="104"/>
      <c r="AY386" s="106"/>
      <c r="AZ386" s="102"/>
      <c r="BA386" s="103" t="s">
        <v>1356</v>
      </c>
      <c r="BB386" s="104"/>
      <c r="BC386" s="106"/>
      <c r="BD386" s="104"/>
      <c r="BE386" s="106"/>
      <c r="BF386" s="102"/>
      <c r="BG386" s="103" t="s">
        <v>1356</v>
      </c>
      <c r="BH386" s="104"/>
      <c r="BI386" s="106"/>
      <c r="BJ386" s="104"/>
      <c r="BK386" s="106"/>
      <c r="BL386" s="102"/>
      <c r="BM386" s="103" t="s">
        <v>1356</v>
      </c>
      <c r="BN386" s="104"/>
      <c r="BO386" s="106"/>
      <c r="BP386" s="104"/>
      <c r="BQ386" s="106"/>
      <c r="BR386" s="102"/>
      <c r="BS386" s="103" t="s">
        <v>1356</v>
      </c>
      <c r="BT386" s="104"/>
      <c r="BU386" s="106"/>
      <c r="BV386" s="104"/>
      <c r="BW386" s="106"/>
      <c r="BX386" s="121"/>
      <c r="BY386" s="122" t="s">
        <v>1356</v>
      </c>
      <c r="BZ386" s="123"/>
      <c r="CA386" s="124"/>
      <c r="CB386" s="123"/>
      <c r="CC386" s="124"/>
      <c r="CD386" s="121"/>
      <c r="CE386" s="122" t="s">
        <v>1356</v>
      </c>
      <c r="CF386" s="123"/>
      <c r="CG386" s="124"/>
      <c r="CH386" s="123"/>
      <c r="CI386" s="124"/>
      <c r="CJ386" s="121"/>
      <c r="CK386" s="122" t="s">
        <v>1356</v>
      </c>
      <c r="CL386" s="123"/>
      <c r="CM386" s="124"/>
      <c r="CN386" s="123"/>
      <c r="CO386" s="124"/>
      <c r="CP386" s="121"/>
      <c r="CQ386" s="122" t="s">
        <v>1356</v>
      </c>
      <c r="CR386" s="123"/>
      <c r="CS386" s="124"/>
      <c r="CT386" s="123"/>
      <c r="CU386" s="124"/>
      <c r="CV386" s="121"/>
      <c r="CW386" s="122" t="s">
        <v>1356</v>
      </c>
      <c r="CX386" s="123"/>
      <c r="CY386" s="124"/>
      <c r="CZ386" s="123"/>
      <c r="DA386" s="124"/>
      <c r="DB386" s="129" t="s">
        <v>6962</v>
      </c>
      <c r="DC386" s="129" t="s">
        <v>105</v>
      </c>
    </row>
    <row r="387" spans="1:107" s="40" customFormat="1" ht="14.55" customHeight="1" x14ac:dyDescent="0.3">
      <c r="A387" s="35" t="s">
        <v>4108</v>
      </c>
      <c r="B387" s="35" t="s">
        <v>4201</v>
      </c>
      <c r="C387" s="35" t="s">
        <v>4202</v>
      </c>
      <c r="D387" s="35" t="s">
        <v>3221</v>
      </c>
      <c r="E387" s="35" t="s">
        <v>3222</v>
      </c>
      <c r="F387" s="35" t="s">
        <v>142</v>
      </c>
      <c r="G387" s="35" t="s">
        <v>404</v>
      </c>
      <c r="H387" s="27" t="s">
        <v>6930</v>
      </c>
      <c r="I387" s="62">
        <v>101</v>
      </c>
      <c r="J387" s="62">
        <v>10150</v>
      </c>
      <c r="K387" s="63">
        <v>4</v>
      </c>
      <c r="L387" s="35" t="s">
        <v>3223</v>
      </c>
      <c r="M387" s="35" t="s">
        <v>258</v>
      </c>
      <c r="N387" s="35" t="s">
        <v>3189</v>
      </c>
      <c r="O387" s="35"/>
      <c r="P387" s="35"/>
      <c r="Q387" s="35" t="s">
        <v>3222</v>
      </c>
      <c r="R387" s="35" t="s">
        <v>60</v>
      </c>
      <c r="S387" s="35"/>
      <c r="T387" s="35"/>
      <c r="U387" s="35" t="s">
        <v>2236</v>
      </c>
      <c r="V387" s="35"/>
      <c r="W387" s="35" t="s">
        <v>3224</v>
      </c>
      <c r="X387" s="35" t="s">
        <v>3120</v>
      </c>
      <c r="Y387" s="35" t="s">
        <v>3225</v>
      </c>
      <c r="Z387" s="35"/>
      <c r="AA387" s="35"/>
      <c r="AB387" s="35">
        <v>10150026</v>
      </c>
      <c r="AC387" s="35">
        <v>10150026008</v>
      </c>
      <c r="AD387" s="35">
        <v>10150026008010</v>
      </c>
      <c r="AE387" s="63">
        <v>5</v>
      </c>
      <c r="AF387" s="63" t="s">
        <v>772</v>
      </c>
      <c r="AG387" s="29" t="s">
        <v>65</v>
      </c>
      <c r="AH387" s="75"/>
      <c r="AI387" s="65" t="s">
        <v>66</v>
      </c>
      <c r="AJ387" s="32" t="s">
        <v>6938</v>
      </c>
      <c r="AK387" s="33" t="s">
        <v>67</v>
      </c>
      <c r="AL387" s="76">
        <v>45582</v>
      </c>
      <c r="AM387" s="35" t="s">
        <v>66</v>
      </c>
      <c r="AN387" s="35"/>
      <c r="AO387" s="35"/>
      <c r="AP387" s="35"/>
      <c r="AQ387" s="37">
        <f t="shared" si="18"/>
        <v>0</v>
      </c>
      <c r="AR387" s="38">
        <f t="shared" si="19"/>
        <v>0</v>
      </c>
      <c r="AS387" s="39">
        <f t="shared" si="20"/>
        <v>0</v>
      </c>
      <c r="AT387" s="99"/>
      <c r="AU387" s="99" t="s">
        <v>1356</v>
      </c>
      <c r="AV387" s="99"/>
      <c r="AW387" s="100"/>
      <c r="AX387" s="99"/>
      <c r="AY387" s="101"/>
      <c r="AZ387" s="99"/>
      <c r="BA387" s="99" t="s">
        <v>1356</v>
      </c>
      <c r="BB387" s="99"/>
      <c r="BC387" s="101"/>
      <c r="BD387" s="99"/>
      <c r="BE387" s="101"/>
      <c r="BF387" s="99"/>
      <c r="BG387" s="99" t="s">
        <v>1356</v>
      </c>
      <c r="BH387" s="99"/>
      <c r="BI387" s="101"/>
      <c r="BJ387" s="99"/>
      <c r="BK387" s="101"/>
      <c r="BL387" s="99"/>
      <c r="BM387" s="99" t="s">
        <v>1356</v>
      </c>
      <c r="BN387" s="99"/>
      <c r="BO387" s="101"/>
      <c r="BP387" s="99"/>
      <c r="BQ387" s="101"/>
      <c r="BR387" s="99"/>
      <c r="BS387" s="99" t="s">
        <v>1356</v>
      </c>
      <c r="BT387" s="99"/>
      <c r="BU387" s="101"/>
      <c r="BV387" s="99"/>
      <c r="BW387" s="101"/>
      <c r="BX387" s="119"/>
      <c r="BY387" s="119" t="s">
        <v>1356</v>
      </c>
      <c r="BZ387" s="119"/>
      <c r="CA387" s="120"/>
      <c r="CB387" s="119"/>
      <c r="CC387" s="120"/>
      <c r="CD387" s="119"/>
      <c r="CE387" s="119" t="s">
        <v>1356</v>
      </c>
      <c r="CF387" s="119"/>
      <c r="CG387" s="120"/>
      <c r="CH387" s="119"/>
      <c r="CI387" s="120"/>
      <c r="CJ387" s="119"/>
      <c r="CK387" s="119" t="s">
        <v>1356</v>
      </c>
      <c r="CL387" s="119"/>
      <c r="CM387" s="120"/>
      <c r="CN387" s="119"/>
      <c r="CO387" s="120"/>
      <c r="CP387" s="119"/>
      <c r="CQ387" s="119" t="s">
        <v>1356</v>
      </c>
      <c r="CR387" s="119"/>
      <c r="CS387" s="120"/>
      <c r="CT387" s="119"/>
      <c r="CU387" s="120"/>
      <c r="CV387" s="119"/>
      <c r="CW387" s="119" t="s">
        <v>1356</v>
      </c>
      <c r="CX387" s="119"/>
      <c r="CY387" s="120"/>
      <c r="CZ387" s="119"/>
      <c r="DA387" s="120"/>
      <c r="DB387" s="128" t="s">
        <v>7085</v>
      </c>
      <c r="DC387" s="131" t="s">
        <v>105</v>
      </c>
    </row>
    <row r="388" spans="1:107" s="40" customFormat="1" ht="14.55" customHeight="1" x14ac:dyDescent="0.3">
      <c r="A388" s="35" t="s">
        <v>4108</v>
      </c>
      <c r="B388" s="35" t="s">
        <v>4203</v>
      </c>
      <c r="C388" s="35" t="s">
        <v>4204</v>
      </c>
      <c r="D388" s="35" t="s">
        <v>3226</v>
      </c>
      <c r="E388" s="35" t="s">
        <v>3227</v>
      </c>
      <c r="F388" s="35" t="s">
        <v>825</v>
      </c>
      <c r="G388" s="35" t="s">
        <v>404</v>
      </c>
      <c r="H388" s="27" t="s">
        <v>6930</v>
      </c>
      <c r="I388" s="62">
        <v>101</v>
      </c>
      <c r="J388" s="62">
        <v>10150</v>
      </c>
      <c r="K388" s="63">
        <v>4</v>
      </c>
      <c r="L388" s="35" t="s">
        <v>3228</v>
      </c>
      <c r="M388" s="35"/>
      <c r="N388" s="35" t="s">
        <v>810</v>
      </c>
      <c r="O388" s="35" t="s">
        <v>3181</v>
      </c>
      <c r="P388" s="35"/>
      <c r="Q388" s="35" t="s">
        <v>3227</v>
      </c>
      <c r="R388" s="35" t="s">
        <v>60</v>
      </c>
      <c r="S388" s="35"/>
      <c r="T388" s="35"/>
      <c r="U388" s="35" t="s">
        <v>3229</v>
      </c>
      <c r="V388" s="35"/>
      <c r="W388" s="35" t="s">
        <v>3230</v>
      </c>
      <c r="X388" s="35" t="s">
        <v>3231</v>
      </c>
      <c r="Y388" s="35" t="s">
        <v>3232</v>
      </c>
      <c r="Z388" s="35">
        <v>-78.984610000000004</v>
      </c>
      <c r="AA388" s="35">
        <v>-2.85826</v>
      </c>
      <c r="AB388" s="35">
        <v>10150025</v>
      </c>
      <c r="AC388" s="35">
        <v>10150025001</v>
      </c>
      <c r="AD388" s="35">
        <v>10150025001004</v>
      </c>
      <c r="AE388" s="63">
        <v>5</v>
      </c>
      <c r="AF388" s="63" t="s">
        <v>772</v>
      </c>
      <c r="AG388" s="29" t="s">
        <v>65</v>
      </c>
      <c r="AH388" s="75"/>
      <c r="AI388" s="65" t="s">
        <v>66</v>
      </c>
      <c r="AJ388" s="32" t="s">
        <v>6938</v>
      </c>
      <c r="AK388" s="33" t="s">
        <v>67</v>
      </c>
      <c r="AL388" s="76">
        <v>45566</v>
      </c>
      <c r="AM388" s="35" t="s">
        <v>66</v>
      </c>
      <c r="AN388" s="35"/>
      <c r="AO388" s="35"/>
      <c r="AP388" s="35"/>
      <c r="AQ388" s="37">
        <f t="shared" si="18"/>
        <v>0</v>
      </c>
      <c r="AR388" s="38">
        <f t="shared" si="19"/>
        <v>0</v>
      </c>
      <c r="AS388" s="39">
        <f t="shared" si="20"/>
        <v>0</v>
      </c>
      <c r="AT388" s="99"/>
      <c r="AU388" s="99" t="s">
        <v>1356</v>
      </c>
      <c r="AV388" s="99"/>
      <c r="AW388" s="100"/>
      <c r="AX388" s="99"/>
      <c r="AY388" s="101"/>
      <c r="AZ388" s="99"/>
      <c r="BA388" s="99" t="s">
        <v>1356</v>
      </c>
      <c r="BB388" s="99"/>
      <c r="BC388" s="101"/>
      <c r="BD388" s="99"/>
      <c r="BE388" s="101"/>
      <c r="BF388" s="99"/>
      <c r="BG388" s="99" t="s">
        <v>1356</v>
      </c>
      <c r="BH388" s="99"/>
      <c r="BI388" s="101"/>
      <c r="BJ388" s="99"/>
      <c r="BK388" s="101"/>
      <c r="BL388" s="99"/>
      <c r="BM388" s="99" t="s">
        <v>1356</v>
      </c>
      <c r="BN388" s="99"/>
      <c r="BO388" s="101"/>
      <c r="BP388" s="99"/>
      <c r="BQ388" s="101"/>
      <c r="BR388" s="99"/>
      <c r="BS388" s="99" t="s">
        <v>1356</v>
      </c>
      <c r="BT388" s="99"/>
      <c r="BU388" s="101"/>
      <c r="BV388" s="99"/>
      <c r="BW388" s="101"/>
      <c r="BX388" s="119"/>
      <c r="BY388" s="119" t="s">
        <v>1356</v>
      </c>
      <c r="BZ388" s="119"/>
      <c r="CA388" s="120"/>
      <c r="CB388" s="119"/>
      <c r="CC388" s="120"/>
      <c r="CD388" s="119"/>
      <c r="CE388" s="119" t="s">
        <v>1356</v>
      </c>
      <c r="CF388" s="119"/>
      <c r="CG388" s="120"/>
      <c r="CH388" s="119"/>
      <c r="CI388" s="120"/>
      <c r="CJ388" s="119"/>
      <c r="CK388" s="119" t="s">
        <v>1356</v>
      </c>
      <c r="CL388" s="119"/>
      <c r="CM388" s="120"/>
      <c r="CN388" s="119"/>
      <c r="CO388" s="120"/>
      <c r="CP388" s="119"/>
      <c r="CQ388" s="119" t="s">
        <v>1356</v>
      </c>
      <c r="CR388" s="119"/>
      <c r="CS388" s="120"/>
      <c r="CT388" s="119"/>
      <c r="CU388" s="120"/>
      <c r="CV388" s="119"/>
      <c r="CW388" s="119" t="s">
        <v>1356</v>
      </c>
      <c r="CX388" s="119"/>
      <c r="CY388" s="120"/>
      <c r="CZ388" s="119"/>
      <c r="DA388" s="120"/>
      <c r="DB388" s="128" t="s">
        <v>7085</v>
      </c>
      <c r="DC388" s="131" t="s">
        <v>105</v>
      </c>
    </row>
    <row r="389" spans="1:107" s="40" customFormat="1" ht="14.55" customHeight="1" x14ac:dyDescent="0.3">
      <c r="A389" s="42" t="s">
        <v>3456</v>
      </c>
      <c r="B389" s="42" t="s">
        <v>4045</v>
      </c>
      <c r="C389" s="42" t="s">
        <v>2553</v>
      </c>
      <c r="D389" s="42" t="s">
        <v>2554</v>
      </c>
      <c r="E389" s="42" t="s">
        <v>2555</v>
      </c>
      <c r="F389" s="42" t="s">
        <v>274</v>
      </c>
      <c r="G389" s="42" t="s">
        <v>1059</v>
      </c>
      <c r="H389" s="43" t="s">
        <v>6924</v>
      </c>
      <c r="I389" s="44">
        <v>1801</v>
      </c>
      <c r="J389" s="44">
        <v>180150</v>
      </c>
      <c r="K389" s="45">
        <v>3</v>
      </c>
      <c r="L389" s="42" t="s">
        <v>2556</v>
      </c>
      <c r="M389" s="42" t="s">
        <v>2557</v>
      </c>
      <c r="N389" s="42" t="s">
        <v>2558</v>
      </c>
      <c r="O389" s="42"/>
      <c r="P389" s="42"/>
      <c r="Q389" s="42"/>
      <c r="R389" s="42" t="s">
        <v>391</v>
      </c>
      <c r="S389" s="42"/>
      <c r="T389" s="42" t="s">
        <v>2559</v>
      </c>
      <c r="U389" s="42"/>
      <c r="V389" s="42"/>
      <c r="W389" s="42" t="s">
        <v>2560</v>
      </c>
      <c r="X389" s="42" t="s">
        <v>2561</v>
      </c>
      <c r="Y389" s="42" t="s">
        <v>2562</v>
      </c>
      <c r="Z389" s="42">
        <v>-78.617313802242279</v>
      </c>
      <c r="AA389" s="42">
        <v>-1.2647304929987091</v>
      </c>
      <c r="AB389" s="42">
        <v>180150045</v>
      </c>
      <c r="AC389" s="42">
        <v>180150045003</v>
      </c>
      <c r="AD389" s="42">
        <v>180150045003005</v>
      </c>
      <c r="AE389" s="45">
        <v>2</v>
      </c>
      <c r="AF389" s="45" t="s">
        <v>64</v>
      </c>
      <c r="AG389" s="46" t="s">
        <v>66</v>
      </c>
      <c r="AH389" s="47">
        <v>30737</v>
      </c>
      <c r="AI389" s="48" t="s">
        <v>66</v>
      </c>
      <c r="AJ389" s="49" t="s">
        <v>6938</v>
      </c>
      <c r="AK389" s="50" t="s">
        <v>67</v>
      </c>
      <c r="AL389" s="51">
        <v>45582</v>
      </c>
      <c r="AM389" s="52" t="s">
        <v>66</v>
      </c>
      <c r="AN389" s="42"/>
      <c r="AO389" s="42"/>
      <c r="AP389" s="42"/>
      <c r="AQ389" s="53">
        <f t="shared" si="18"/>
        <v>0</v>
      </c>
      <c r="AR389" s="54">
        <f t="shared" si="19"/>
        <v>1</v>
      </c>
      <c r="AS389" s="55">
        <f t="shared" si="20"/>
        <v>1</v>
      </c>
      <c r="AT389" s="96"/>
      <c r="AU389" s="96" t="s">
        <v>1356</v>
      </c>
      <c r="AV389" s="96"/>
      <c r="AW389" s="97"/>
      <c r="AX389" s="96"/>
      <c r="AY389" s="98"/>
      <c r="AZ389" s="96"/>
      <c r="BA389" s="96" t="s">
        <v>1356</v>
      </c>
      <c r="BB389" s="96"/>
      <c r="BC389" s="98"/>
      <c r="BD389" s="96"/>
      <c r="BE389" s="98"/>
      <c r="BF389" s="96"/>
      <c r="BG389" s="96" t="s">
        <v>1356</v>
      </c>
      <c r="BH389" s="96"/>
      <c r="BI389" s="98"/>
      <c r="BJ389" s="96"/>
      <c r="BK389" s="98"/>
      <c r="BL389" s="96"/>
      <c r="BM389" s="96" t="s">
        <v>1356</v>
      </c>
      <c r="BN389" s="96"/>
      <c r="BO389" s="98"/>
      <c r="BP389" s="96"/>
      <c r="BQ389" s="98"/>
      <c r="BR389" s="96"/>
      <c r="BS389" s="96" t="s">
        <v>1356</v>
      </c>
      <c r="BT389" s="96"/>
      <c r="BU389" s="98"/>
      <c r="BV389" s="96"/>
      <c r="BW389" s="98"/>
      <c r="BX389" s="117" t="s">
        <v>2563</v>
      </c>
      <c r="BY389" s="117" t="s">
        <v>2564</v>
      </c>
      <c r="BZ389" s="117">
        <v>117.06</v>
      </c>
      <c r="CA389" s="118">
        <v>45582</v>
      </c>
      <c r="CB389" s="117"/>
      <c r="CC389" s="118"/>
      <c r="CD389" s="117"/>
      <c r="CE389" s="117" t="s">
        <v>1356</v>
      </c>
      <c r="CF389" s="117"/>
      <c r="CG389" s="118"/>
      <c r="CH389" s="117"/>
      <c r="CI389" s="118"/>
      <c r="CJ389" s="117"/>
      <c r="CK389" s="117" t="s">
        <v>1356</v>
      </c>
      <c r="CL389" s="117"/>
      <c r="CM389" s="118"/>
      <c r="CN389" s="117"/>
      <c r="CO389" s="118"/>
      <c r="CP389" s="117"/>
      <c r="CQ389" s="117" t="s">
        <v>1356</v>
      </c>
      <c r="CR389" s="117"/>
      <c r="CS389" s="118"/>
      <c r="CT389" s="117"/>
      <c r="CU389" s="118"/>
      <c r="CV389" s="117"/>
      <c r="CW389" s="117" t="s">
        <v>1356</v>
      </c>
      <c r="CX389" s="117"/>
      <c r="CY389" s="118"/>
      <c r="CZ389" s="117"/>
      <c r="DA389" s="118"/>
      <c r="DB389" s="129" t="s">
        <v>6962</v>
      </c>
      <c r="DC389" s="130" t="s">
        <v>105</v>
      </c>
    </row>
    <row r="390" spans="1:107" s="40" customFormat="1" ht="14.55" customHeight="1" x14ac:dyDescent="0.3">
      <c r="A390" s="42" t="s">
        <v>3456</v>
      </c>
      <c r="B390" s="42" t="s">
        <v>4078</v>
      </c>
      <c r="C390" s="42" t="s">
        <v>2703</v>
      </c>
      <c r="D390" s="42" t="s">
        <v>2704</v>
      </c>
      <c r="E390" s="42" t="s">
        <v>2705</v>
      </c>
      <c r="F390" s="42" t="s">
        <v>256</v>
      </c>
      <c r="G390" s="42" t="s">
        <v>1059</v>
      </c>
      <c r="H390" s="43" t="s">
        <v>6924</v>
      </c>
      <c r="I390" s="44">
        <v>1801</v>
      </c>
      <c r="J390" s="44">
        <v>180150</v>
      </c>
      <c r="K390" s="45">
        <v>4</v>
      </c>
      <c r="L390" s="42" t="s">
        <v>2706</v>
      </c>
      <c r="M390" s="42" t="s">
        <v>2707</v>
      </c>
      <c r="N390" s="42" t="s">
        <v>2708</v>
      </c>
      <c r="O390" s="42"/>
      <c r="P390" s="42"/>
      <c r="Q390" s="42"/>
      <c r="R390" s="42" t="s">
        <v>113</v>
      </c>
      <c r="S390" s="42"/>
      <c r="T390" s="42"/>
      <c r="U390" s="42" t="s">
        <v>1444</v>
      </c>
      <c r="V390" s="42"/>
      <c r="W390" s="42" t="s">
        <v>2709</v>
      </c>
      <c r="X390" s="42" t="s">
        <v>2710</v>
      </c>
      <c r="Y390" s="42" t="s">
        <v>2711</v>
      </c>
      <c r="Z390" s="42">
        <v>-78.63151878118515</v>
      </c>
      <c r="AA390" s="42">
        <v>-1.2508399980058169</v>
      </c>
      <c r="AB390" s="42">
        <v>180150023</v>
      </c>
      <c r="AC390" s="42">
        <v>180150023010</v>
      </c>
      <c r="AD390" s="42">
        <v>180150023010004</v>
      </c>
      <c r="AE390" s="45">
        <v>3</v>
      </c>
      <c r="AF390" s="45" t="s">
        <v>377</v>
      </c>
      <c r="AG390" s="46" t="s">
        <v>66</v>
      </c>
      <c r="AH390" s="47">
        <v>30757</v>
      </c>
      <c r="AI390" s="48" t="s">
        <v>66</v>
      </c>
      <c r="AJ390" s="49" t="s">
        <v>6938</v>
      </c>
      <c r="AK390" s="50" t="s">
        <v>67</v>
      </c>
      <c r="AL390" s="51">
        <v>45582</v>
      </c>
      <c r="AM390" s="52" t="s">
        <v>66</v>
      </c>
      <c r="AN390" s="42"/>
      <c r="AO390" s="42"/>
      <c r="AP390" s="42"/>
      <c r="AQ390" s="53">
        <f t="shared" ref="AQ390:AQ453" si="21">+COUNTA(AT390,AZ390,BF390,BL390,BR390)</f>
        <v>0</v>
      </c>
      <c r="AR390" s="54">
        <f t="shared" ref="AR390:AR453" si="22">+COUNTA(BX390,CD390,CJ390,CP390,CV390)</f>
        <v>5</v>
      </c>
      <c r="AS390" s="55">
        <f t="shared" ref="AS390:AS453" si="23">+AQ390+AR390</f>
        <v>5</v>
      </c>
      <c r="AT390" s="96"/>
      <c r="AU390" s="96" t="s">
        <v>1356</v>
      </c>
      <c r="AV390" s="96"/>
      <c r="AW390" s="97"/>
      <c r="AX390" s="96"/>
      <c r="AY390" s="98"/>
      <c r="AZ390" s="96"/>
      <c r="BA390" s="96" t="s">
        <v>1356</v>
      </c>
      <c r="BB390" s="96"/>
      <c r="BC390" s="98"/>
      <c r="BD390" s="96"/>
      <c r="BE390" s="98"/>
      <c r="BF390" s="96"/>
      <c r="BG390" s="96" t="s">
        <v>1356</v>
      </c>
      <c r="BH390" s="96"/>
      <c r="BI390" s="98"/>
      <c r="BJ390" s="96"/>
      <c r="BK390" s="98"/>
      <c r="BL390" s="96"/>
      <c r="BM390" s="96" t="s">
        <v>1356</v>
      </c>
      <c r="BN390" s="96"/>
      <c r="BO390" s="98"/>
      <c r="BP390" s="96"/>
      <c r="BQ390" s="98"/>
      <c r="BR390" s="96"/>
      <c r="BS390" s="96" t="s">
        <v>1356</v>
      </c>
      <c r="BT390" s="96"/>
      <c r="BU390" s="98"/>
      <c r="BV390" s="96"/>
      <c r="BW390" s="98"/>
      <c r="BX390" s="117" t="s">
        <v>2712</v>
      </c>
      <c r="BY390" s="117" t="s">
        <v>2713</v>
      </c>
      <c r="BZ390" s="117">
        <v>0.85</v>
      </c>
      <c r="CA390" s="118">
        <v>47065</v>
      </c>
      <c r="CB390" s="117"/>
      <c r="CC390" s="118"/>
      <c r="CD390" s="117" t="s">
        <v>2714</v>
      </c>
      <c r="CE390" s="117" t="s">
        <v>2715</v>
      </c>
      <c r="CF390" s="117">
        <v>17.86</v>
      </c>
      <c r="CG390" s="118">
        <v>45604</v>
      </c>
      <c r="CH390" s="117"/>
      <c r="CI390" s="118"/>
      <c r="CJ390" s="117" t="s">
        <v>2714</v>
      </c>
      <c r="CK390" s="117" t="s">
        <v>2715</v>
      </c>
      <c r="CL390" s="117">
        <v>15.09</v>
      </c>
      <c r="CM390" s="118">
        <v>45604</v>
      </c>
      <c r="CN390" s="117"/>
      <c r="CO390" s="118"/>
      <c r="CP390" s="117" t="s">
        <v>1521</v>
      </c>
      <c r="CQ390" s="117" t="s">
        <v>1522</v>
      </c>
      <c r="CR390" s="117">
        <v>0.46</v>
      </c>
      <c r="CS390" s="118">
        <v>45604</v>
      </c>
      <c r="CT390" s="117"/>
      <c r="CU390" s="118"/>
      <c r="CV390" s="117" t="s">
        <v>712</v>
      </c>
      <c r="CW390" s="117" t="s">
        <v>2716</v>
      </c>
      <c r="CX390" s="117">
        <v>1.94</v>
      </c>
      <c r="CY390" s="118">
        <v>45604</v>
      </c>
      <c r="CZ390" s="117"/>
      <c r="DA390" s="118"/>
      <c r="DB390" s="129" t="s">
        <v>6962</v>
      </c>
      <c r="DC390" s="130" t="s">
        <v>105</v>
      </c>
    </row>
    <row r="391" spans="1:107" s="40" customFormat="1" ht="14.55" customHeight="1" x14ac:dyDescent="0.3">
      <c r="A391" s="42" t="s">
        <v>3456</v>
      </c>
      <c r="B391" s="42" t="s">
        <v>4082</v>
      </c>
      <c r="C391" s="42" t="s">
        <v>2729</v>
      </c>
      <c r="D391" s="42" t="s">
        <v>2730</v>
      </c>
      <c r="E391" s="42" t="s">
        <v>2730</v>
      </c>
      <c r="F391" s="42" t="s">
        <v>89</v>
      </c>
      <c r="G391" s="42" t="s">
        <v>1059</v>
      </c>
      <c r="H391" s="43" t="s">
        <v>6924</v>
      </c>
      <c r="I391" s="44">
        <v>1801</v>
      </c>
      <c r="J391" s="44">
        <v>180156</v>
      </c>
      <c r="K391" s="45">
        <v>4</v>
      </c>
      <c r="L391" s="42" t="s">
        <v>2731</v>
      </c>
      <c r="M391" s="42" t="s">
        <v>2732</v>
      </c>
      <c r="N391" s="42" t="s">
        <v>2733</v>
      </c>
      <c r="O391" s="42"/>
      <c r="P391" s="42"/>
      <c r="Q391" s="42" t="s">
        <v>2734</v>
      </c>
      <c r="R391" s="42" t="s">
        <v>113</v>
      </c>
      <c r="S391" s="42" t="s">
        <v>60</v>
      </c>
      <c r="T391" s="42"/>
      <c r="U391" s="42" t="s">
        <v>2236</v>
      </c>
      <c r="V391" s="42"/>
      <c r="W391" s="42" t="s">
        <v>2735</v>
      </c>
      <c r="X391" s="42" t="s">
        <v>2736</v>
      </c>
      <c r="Y391" s="42" t="s">
        <v>2737</v>
      </c>
      <c r="Z391" s="42">
        <v>-78.591508269309998</v>
      </c>
      <c r="AA391" s="42">
        <v>-1.1949340428265329</v>
      </c>
      <c r="AB391" s="42">
        <v>180156904</v>
      </c>
      <c r="AC391" s="42">
        <v>180156904003</v>
      </c>
      <c r="AD391" s="42">
        <v>180156904003001</v>
      </c>
      <c r="AE391" s="45">
        <v>4</v>
      </c>
      <c r="AF391" s="45" t="s">
        <v>499</v>
      </c>
      <c r="AG391" s="46" t="s">
        <v>66</v>
      </c>
      <c r="AH391" s="47">
        <v>30738</v>
      </c>
      <c r="AI391" s="48" t="s">
        <v>66</v>
      </c>
      <c r="AJ391" s="49" t="s">
        <v>6938</v>
      </c>
      <c r="AK391" s="50" t="s">
        <v>67</v>
      </c>
      <c r="AL391" s="51">
        <v>45582</v>
      </c>
      <c r="AM391" s="52" t="s">
        <v>66</v>
      </c>
      <c r="AN391" s="42"/>
      <c r="AO391" s="42"/>
      <c r="AP391" s="42"/>
      <c r="AQ391" s="53">
        <f t="shared" si="21"/>
        <v>0</v>
      </c>
      <c r="AR391" s="54">
        <f t="shared" si="22"/>
        <v>2</v>
      </c>
      <c r="AS391" s="55">
        <f t="shared" si="23"/>
        <v>2</v>
      </c>
      <c r="AT391" s="96"/>
      <c r="AU391" s="96" t="s">
        <v>1356</v>
      </c>
      <c r="AV391" s="96"/>
      <c r="AW391" s="97"/>
      <c r="AX391" s="96"/>
      <c r="AY391" s="98"/>
      <c r="AZ391" s="96"/>
      <c r="BA391" s="96" t="s">
        <v>1356</v>
      </c>
      <c r="BB391" s="96"/>
      <c r="BC391" s="98"/>
      <c r="BD391" s="96"/>
      <c r="BE391" s="98"/>
      <c r="BF391" s="96"/>
      <c r="BG391" s="96" t="s">
        <v>1356</v>
      </c>
      <c r="BH391" s="96"/>
      <c r="BI391" s="98"/>
      <c r="BJ391" s="96"/>
      <c r="BK391" s="98"/>
      <c r="BL391" s="96"/>
      <c r="BM391" s="96" t="s">
        <v>1356</v>
      </c>
      <c r="BN391" s="96"/>
      <c r="BO391" s="98"/>
      <c r="BP391" s="96"/>
      <c r="BQ391" s="98"/>
      <c r="BR391" s="96"/>
      <c r="BS391" s="96" t="s">
        <v>1356</v>
      </c>
      <c r="BT391" s="96"/>
      <c r="BU391" s="98"/>
      <c r="BV391" s="96"/>
      <c r="BW391" s="98"/>
      <c r="BX391" s="117" t="s">
        <v>2738</v>
      </c>
      <c r="BY391" s="117" t="s">
        <v>2739</v>
      </c>
      <c r="BZ391" s="117">
        <v>14.7826</v>
      </c>
      <c r="CA391" s="118">
        <v>45582</v>
      </c>
      <c r="CB391" s="117"/>
      <c r="CC391" s="118"/>
      <c r="CD391" s="117" t="s">
        <v>2738</v>
      </c>
      <c r="CE391" s="117" t="s">
        <v>2739</v>
      </c>
      <c r="CF391" s="117">
        <v>14.7826</v>
      </c>
      <c r="CG391" s="118">
        <v>45582</v>
      </c>
      <c r="CH391" s="117"/>
      <c r="CI391" s="118"/>
      <c r="CJ391" s="117"/>
      <c r="CK391" s="117" t="s">
        <v>1356</v>
      </c>
      <c r="CL391" s="117"/>
      <c r="CM391" s="118"/>
      <c r="CN391" s="117"/>
      <c r="CO391" s="118"/>
      <c r="CP391" s="117"/>
      <c r="CQ391" s="117" t="s">
        <v>1356</v>
      </c>
      <c r="CR391" s="117"/>
      <c r="CS391" s="118"/>
      <c r="CT391" s="117"/>
      <c r="CU391" s="118"/>
      <c r="CV391" s="117"/>
      <c r="CW391" s="117" t="s">
        <v>1356</v>
      </c>
      <c r="CX391" s="117"/>
      <c r="CY391" s="118"/>
      <c r="CZ391" s="117"/>
      <c r="DA391" s="118"/>
      <c r="DB391" s="129" t="s">
        <v>6962</v>
      </c>
      <c r="DC391" s="130" t="s">
        <v>105</v>
      </c>
    </row>
    <row r="392" spans="1:107" s="40" customFormat="1" ht="14.55" customHeight="1" x14ac:dyDescent="0.3">
      <c r="A392" s="42" t="s">
        <v>4108</v>
      </c>
      <c r="B392" s="42" t="s">
        <v>4146</v>
      </c>
      <c r="C392" s="42">
        <v>1717409724001</v>
      </c>
      <c r="D392" s="42" t="s">
        <v>2984</v>
      </c>
      <c r="E392" s="42" t="s">
        <v>2985</v>
      </c>
      <c r="F392" s="42" t="s">
        <v>89</v>
      </c>
      <c r="G392" s="42" t="s">
        <v>404</v>
      </c>
      <c r="H392" s="43" t="s">
        <v>6930</v>
      </c>
      <c r="I392" s="44">
        <v>101</v>
      </c>
      <c r="J392" s="44">
        <v>10150</v>
      </c>
      <c r="K392" s="45">
        <v>3</v>
      </c>
      <c r="L392" s="42" t="s">
        <v>2986</v>
      </c>
      <c r="M392" s="42" t="s">
        <v>258</v>
      </c>
      <c r="N392" s="42"/>
      <c r="O392" s="42"/>
      <c r="P392" s="42"/>
      <c r="Q392" s="42"/>
      <c r="R392" s="42"/>
      <c r="S392" s="42"/>
      <c r="T392" s="42"/>
      <c r="U392" s="42"/>
      <c r="V392" s="42"/>
      <c r="W392" s="42" t="s">
        <v>2987</v>
      </c>
      <c r="X392" s="42"/>
      <c r="Y392" s="42"/>
      <c r="Z392" s="42"/>
      <c r="AA392" s="42"/>
      <c r="AB392" s="42"/>
      <c r="AC392" s="42"/>
      <c r="AD392" s="42"/>
      <c r="AE392" s="45">
        <v>3</v>
      </c>
      <c r="AF392" s="45" t="s">
        <v>377</v>
      </c>
      <c r="AG392" s="46" t="s">
        <v>66</v>
      </c>
      <c r="AH392" s="47" t="s">
        <v>2988</v>
      </c>
      <c r="AI392" s="48" t="s">
        <v>66</v>
      </c>
      <c r="AJ392" s="49" t="s">
        <v>6938</v>
      </c>
      <c r="AK392" s="50" t="s">
        <v>67</v>
      </c>
      <c r="AL392" s="51">
        <v>45582</v>
      </c>
      <c r="AM392" s="52" t="s">
        <v>66</v>
      </c>
      <c r="AN392" s="42"/>
      <c r="AO392" s="42"/>
      <c r="AP392" s="42"/>
      <c r="AQ392" s="53">
        <f t="shared" si="21"/>
        <v>2</v>
      </c>
      <c r="AR392" s="54">
        <f t="shared" si="22"/>
        <v>0</v>
      </c>
      <c r="AS392" s="55">
        <f t="shared" si="23"/>
        <v>2</v>
      </c>
      <c r="AT392" s="96" t="s">
        <v>2989</v>
      </c>
      <c r="AU392" s="96" t="s">
        <v>3346</v>
      </c>
      <c r="AV392" s="96">
        <v>0.78259999999999996</v>
      </c>
      <c r="AW392" s="97">
        <v>45582</v>
      </c>
      <c r="AX392" s="96">
        <v>0.78259999999999996</v>
      </c>
      <c r="AY392" s="98">
        <v>45608</v>
      </c>
      <c r="AZ392" s="96" t="s">
        <v>2989</v>
      </c>
      <c r="BA392" s="96" t="s">
        <v>3346</v>
      </c>
      <c r="BB392" s="96">
        <v>1.1299999999999999</v>
      </c>
      <c r="BC392" s="98">
        <v>45582</v>
      </c>
      <c r="BD392" s="96">
        <v>1.1299999999999999</v>
      </c>
      <c r="BE392" s="98">
        <v>45608</v>
      </c>
      <c r="BF392" s="96"/>
      <c r="BG392" s="96" t="s">
        <v>1356</v>
      </c>
      <c r="BH392" s="96"/>
      <c r="BI392" s="98"/>
      <c r="BJ392" s="96"/>
      <c r="BK392" s="98"/>
      <c r="BL392" s="96"/>
      <c r="BM392" s="96" t="s">
        <v>1356</v>
      </c>
      <c r="BN392" s="96"/>
      <c r="BO392" s="98"/>
      <c r="BP392" s="96"/>
      <c r="BQ392" s="98"/>
      <c r="BR392" s="96"/>
      <c r="BS392" s="96" t="s">
        <v>1356</v>
      </c>
      <c r="BT392" s="96"/>
      <c r="BU392" s="98"/>
      <c r="BV392" s="96"/>
      <c r="BW392" s="98"/>
      <c r="BX392" s="117"/>
      <c r="BY392" s="117" t="s">
        <v>1356</v>
      </c>
      <c r="BZ392" s="117"/>
      <c r="CA392" s="118"/>
      <c r="CB392" s="117"/>
      <c r="CC392" s="118"/>
      <c r="CD392" s="117"/>
      <c r="CE392" s="117" t="s">
        <v>1356</v>
      </c>
      <c r="CF392" s="117"/>
      <c r="CG392" s="118"/>
      <c r="CH392" s="117"/>
      <c r="CI392" s="118"/>
      <c r="CJ392" s="117"/>
      <c r="CK392" s="117" t="s">
        <v>1356</v>
      </c>
      <c r="CL392" s="117"/>
      <c r="CM392" s="118"/>
      <c r="CN392" s="117"/>
      <c r="CO392" s="118"/>
      <c r="CP392" s="117"/>
      <c r="CQ392" s="117" t="s">
        <v>1356</v>
      </c>
      <c r="CR392" s="117"/>
      <c r="CS392" s="118"/>
      <c r="CT392" s="117"/>
      <c r="CU392" s="118"/>
      <c r="CV392" s="117"/>
      <c r="CW392" s="117" t="s">
        <v>1356</v>
      </c>
      <c r="CX392" s="117"/>
      <c r="CY392" s="118"/>
      <c r="CZ392" s="117"/>
      <c r="DA392" s="118"/>
      <c r="DB392" s="129" t="s">
        <v>6962</v>
      </c>
      <c r="DC392" s="130" t="s">
        <v>105</v>
      </c>
    </row>
    <row r="393" spans="1:107" s="40" customFormat="1" ht="14.55" customHeight="1" x14ac:dyDescent="0.3">
      <c r="A393" s="42" t="s">
        <v>4108</v>
      </c>
      <c r="B393" s="42" t="s">
        <v>4169</v>
      </c>
      <c r="C393" s="42" t="s">
        <v>4170</v>
      </c>
      <c r="D393" s="42" t="s">
        <v>3080</v>
      </c>
      <c r="E393" s="42" t="s">
        <v>70</v>
      </c>
      <c r="F393" s="42" t="s">
        <v>291</v>
      </c>
      <c r="G393" s="42" t="s">
        <v>1588</v>
      </c>
      <c r="H393" s="43" t="s">
        <v>6932</v>
      </c>
      <c r="I393" s="44">
        <v>301</v>
      </c>
      <c r="J393" s="44">
        <v>30154</v>
      </c>
      <c r="K393" s="45">
        <v>4</v>
      </c>
      <c r="L393" s="42" t="s">
        <v>3081</v>
      </c>
      <c r="M393" s="42" t="s">
        <v>258</v>
      </c>
      <c r="N393" s="42"/>
      <c r="O393" s="42" t="s">
        <v>3082</v>
      </c>
      <c r="P393" s="42"/>
      <c r="Q393" s="42" t="s">
        <v>3083</v>
      </c>
      <c r="R393" s="42" t="s">
        <v>113</v>
      </c>
      <c r="S393" s="42"/>
      <c r="T393" s="42"/>
      <c r="U393" s="42" t="s">
        <v>3084</v>
      </c>
      <c r="V393" s="42"/>
      <c r="W393" s="42" t="s">
        <v>3085</v>
      </c>
      <c r="X393" s="42" t="s">
        <v>3086</v>
      </c>
      <c r="Y393" s="42" t="s">
        <v>3087</v>
      </c>
      <c r="Z393" s="42">
        <v>-78.879159092903137</v>
      </c>
      <c r="AA393" s="42">
        <v>-2.8031413354117869</v>
      </c>
      <c r="AB393" s="42">
        <v>30154999</v>
      </c>
      <c r="AC393" s="42">
        <v>30154999012</v>
      </c>
      <c r="AD393" s="42">
        <v>30154999012003</v>
      </c>
      <c r="AE393" s="45">
        <v>4</v>
      </c>
      <c r="AF393" s="45" t="s">
        <v>499</v>
      </c>
      <c r="AG393" s="46" t="s">
        <v>66</v>
      </c>
      <c r="AH393" s="47" t="s">
        <v>6949</v>
      </c>
      <c r="AI393" s="48" t="s">
        <v>66</v>
      </c>
      <c r="AJ393" s="49" t="s">
        <v>6938</v>
      </c>
      <c r="AK393" s="50" t="s">
        <v>67</v>
      </c>
      <c r="AL393" s="51">
        <v>45582</v>
      </c>
      <c r="AM393" s="52" t="s">
        <v>66</v>
      </c>
      <c r="AN393" s="42"/>
      <c r="AO393" s="42"/>
      <c r="AP393" s="42"/>
      <c r="AQ393" s="53">
        <f t="shared" si="21"/>
        <v>0</v>
      </c>
      <c r="AR393" s="54">
        <f t="shared" si="22"/>
        <v>2</v>
      </c>
      <c r="AS393" s="55">
        <f t="shared" si="23"/>
        <v>2</v>
      </c>
      <c r="AT393" s="96"/>
      <c r="AU393" s="96" t="s">
        <v>1356</v>
      </c>
      <c r="AV393" s="96"/>
      <c r="AW393" s="97"/>
      <c r="AX393" s="96"/>
      <c r="AY393" s="98"/>
      <c r="AZ393" s="96"/>
      <c r="BA393" s="96" t="s">
        <v>1356</v>
      </c>
      <c r="BB393" s="96"/>
      <c r="BC393" s="98"/>
      <c r="BD393" s="96"/>
      <c r="BE393" s="98"/>
      <c r="BF393" s="96"/>
      <c r="BG393" s="96" t="s">
        <v>1356</v>
      </c>
      <c r="BH393" s="96"/>
      <c r="BI393" s="98"/>
      <c r="BJ393" s="96"/>
      <c r="BK393" s="98"/>
      <c r="BL393" s="96"/>
      <c r="BM393" s="96" t="s">
        <v>1356</v>
      </c>
      <c r="BN393" s="96"/>
      <c r="BO393" s="98"/>
      <c r="BP393" s="96"/>
      <c r="BQ393" s="98"/>
      <c r="BR393" s="96"/>
      <c r="BS393" s="96" t="s">
        <v>1356</v>
      </c>
      <c r="BT393" s="96"/>
      <c r="BU393" s="98"/>
      <c r="BV393" s="96"/>
      <c r="BW393" s="98"/>
      <c r="BX393" s="117" t="s">
        <v>300</v>
      </c>
      <c r="BY393" s="117" t="s">
        <v>2263</v>
      </c>
      <c r="BZ393" s="117"/>
      <c r="CA393" s="118"/>
      <c r="CB393" s="117">
        <v>106.17100000000001</v>
      </c>
      <c r="CC393" s="118">
        <v>45611</v>
      </c>
      <c r="CD393" s="117" t="s">
        <v>300</v>
      </c>
      <c r="CE393" s="117" t="s">
        <v>2263</v>
      </c>
      <c r="CF393" s="117"/>
      <c r="CG393" s="118"/>
      <c r="CH393" s="117">
        <v>101.171429</v>
      </c>
      <c r="CI393" s="118">
        <v>45611</v>
      </c>
      <c r="CJ393" s="117"/>
      <c r="CK393" s="117" t="s">
        <v>1356</v>
      </c>
      <c r="CL393" s="117"/>
      <c r="CM393" s="118"/>
      <c r="CN393" s="117"/>
      <c r="CO393" s="118"/>
      <c r="CP393" s="117"/>
      <c r="CQ393" s="117" t="s">
        <v>1356</v>
      </c>
      <c r="CR393" s="117"/>
      <c r="CS393" s="118"/>
      <c r="CT393" s="117"/>
      <c r="CU393" s="118"/>
      <c r="CV393" s="117"/>
      <c r="CW393" s="117" t="s">
        <v>1356</v>
      </c>
      <c r="CX393" s="117"/>
      <c r="CY393" s="118"/>
      <c r="CZ393" s="117"/>
      <c r="DA393" s="118"/>
      <c r="DB393" s="129" t="s">
        <v>6962</v>
      </c>
      <c r="DC393" s="130" t="s">
        <v>105</v>
      </c>
    </row>
    <row r="394" spans="1:107" s="40" customFormat="1" ht="14.55" customHeight="1" x14ac:dyDescent="0.3">
      <c r="A394" s="35" t="s">
        <v>4219</v>
      </c>
      <c r="B394" s="35" t="s">
        <v>6100</v>
      </c>
      <c r="C394" s="35" t="s">
        <v>6101</v>
      </c>
      <c r="D394" s="35" t="s">
        <v>6102</v>
      </c>
      <c r="E394" s="35" t="s">
        <v>6103</v>
      </c>
      <c r="F394" s="35" t="s">
        <v>1424</v>
      </c>
      <c r="G394" s="35" t="s">
        <v>4237</v>
      </c>
      <c r="H394" s="27" t="s">
        <v>686</v>
      </c>
      <c r="I394" s="62">
        <v>901</v>
      </c>
      <c r="J394" s="62">
        <v>90150</v>
      </c>
      <c r="K394" s="63">
        <v>4</v>
      </c>
      <c r="L394" s="35" t="s">
        <v>4446</v>
      </c>
      <c r="M394" s="35" t="s">
        <v>258</v>
      </c>
      <c r="N394" s="35" t="s">
        <v>6104</v>
      </c>
      <c r="O394" s="35" t="s">
        <v>5119</v>
      </c>
      <c r="P394" s="35"/>
      <c r="Q394" s="35"/>
      <c r="R394" s="35" t="s">
        <v>60</v>
      </c>
      <c r="S394" s="35"/>
      <c r="T394" s="35"/>
      <c r="U394" s="35" t="s">
        <v>6105</v>
      </c>
      <c r="V394" s="35"/>
      <c r="W394" s="35" t="s">
        <v>6106</v>
      </c>
      <c r="X394" s="35" t="s">
        <v>6107</v>
      </c>
      <c r="Y394" s="35" t="s">
        <v>6108</v>
      </c>
      <c r="Z394" s="35"/>
      <c r="AA394" s="35"/>
      <c r="AB394" s="35">
        <v>90150329</v>
      </c>
      <c r="AC394" s="35">
        <v>90150329001</v>
      </c>
      <c r="AD394" s="35">
        <v>90150329001001</v>
      </c>
      <c r="AE394" s="63">
        <v>5</v>
      </c>
      <c r="AF394" s="63" t="s">
        <v>772</v>
      </c>
      <c r="AG394" s="46" t="s">
        <v>66</v>
      </c>
      <c r="AH394" s="64">
        <v>80132</v>
      </c>
      <c r="AI394" s="65" t="s">
        <v>66</v>
      </c>
      <c r="AJ394" s="32" t="s">
        <v>6938</v>
      </c>
      <c r="AK394" s="33" t="s">
        <v>67</v>
      </c>
      <c r="AL394" s="58">
        <v>45582</v>
      </c>
      <c r="AM394" s="52" t="s">
        <v>66</v>
      </c>
      <c r="AN394" s="35"/>
      <c r="AO394" s="35"/>
      <c r="AP394" s="35"/>
      <c r="AQ394" s="37">
        <f t="shared" si="21"/>
        <v>3</v>
      </c>
      <c r="AR394" s="38">
        <f t="shared" si="22"/>
        <v>0</v>
      </c>
      <c r="AS394" s="39">
        <f t="shared" si="23"/>
        <v>3</v>
      </c>
      <c r="AT394" s="99" t="s">
        <v>7044</v>
      </c>
      <c r="AU394" s="99" t="s">
        <v>7045</v>
      </c>
      <c r="AV394" s="99" t="s">
        <v>7046</v>
      </c>
      <c r="AW394" s="100">
        <v>45139</v>
      </c>
      <c r="AX394" s="99"/>
      <c r="AY394" s="101"/>
      <c r="AZ394" s="99" t="s">
        <v>2826</v>
      </c>
      <c r="BA394" s="99" t="s">
        <v>2827</v>
      </c>
      <c r="BB394" s="99" t="s">
        <v>7046</v>
      </c>
      <c r="BC394" s="101">
        <v>45139</v>
      </c>
      <c r="BD394" s="99"/>
      <c r="BE394" s="101"/>
      <c r="BF394" s="99" t="s">
        <v>1438</v>
      </c>
      <c r="BG394" s="99" t="s">
        <v>1439</v>
      </c>
      <c r="BH394" s="99" t="s">
        <v>7046</v>
      </c>
      <c r="BI394" s="101">
        <v>45139</v>
      </c>
      <c r="BJ394" s="99"/>
      <c r="BK394" s="101"/>
      <c r="BL394" s="99"/>
      <c r="BM394" s="99" t="s">
        <v>1356</v>
      </c>
      <c r="BN394" s="99"/>
      <c r="BO394" s="101"/>
      <c r="BP394" s="99"/>
      <c r="BQ394" s="101"/>
      <c r="BR394" s="99"/>
      <c r="BS394" s="99" t="s">
        <v>1356</v>
      </c>
      <c r="BT394" s="99"/>
      <c r="BU394" s="101"/>
      <c r="BV394" s="99"/>
      <c r="BW394" s="101"/>
      <c r="BX394" s="119"/>
      <c r="BY394" s="119" t="s">
        <v>1356</v>
      </c>
      <c r="BZ394" s="119"/>
      <c r="CA394" s="120"/>
      <c r="CB394" s="119"/>
      <c r="CC394" s="120"/>
      <c r="CD394" s="119"/>
      <c r="CE394" s="119" t="s">
        <v>1356</v>
      </c>
      <c r="CF394" s="119"/>
      <c r="CG394" s="120"/>
      <c r="CH394" s="119"/>
      <c r="CI394" s="120"/>
      <c r="CJ394" s="119"/>
      <c r="CK394" s="119" t="s">
        <v>1356</v>
      </c>
      <c r="CL394" s="119"/>
      <c r="CM394" s="120"/>
      <c r="CN394" s="119"/>
      <c r="CO394" s="120"/>
      <c r="CP394" s="119"/>
      <c r="CQ394" s="119" t="s">
        <v>1356</v>
      </c>
      <c r="CR394" s="119"/>
      <c r="CS394" s="120"/>
      <c r="CT394" s="119"/>
      <c r="CU394" s="120"/>
      <c r="CV394" s="119"/>
      <c r="CW394" s="119" t="s">
        <v>1356</v>
      </c>
      <c r="CX394" s="119"/>
      <c r="CY394" s="120"/>
      <c r="CZ394" s="119"/>
      <c r="DA394" s="120"/>
      <c r="DB394" s="129" t="s">
        <v>6962</v>
      </c>
      <c r="DC394" s="131" t="s">
        <v>105</v>
      </c>
    </row>
    <row r="395" spans="1:107" s="40" customFormat="1" ht="14.55" customHeight="1" x14ac:dyDescent="0.3">
      <c r="A395" s="66" t="s">
        <v>3500</v>
      </c>
      <c r="B395" s="66" t="s">
        <v>3685</v>
      </c>
      <c r="C395" s="66" t="s">
        <v>3686</v>
      </c>
      <c r="D395" s="66" t="s">
        <v>1047</v>
      </c>
      <c r="E395" s="66" t="s">
        <v>1047</v>
      </c>
      <c r="F395" s="66" t="s">
        <v>134</v>
      </c>
      <c r="G395" s="68" t="s">
        <v>72</v>
      </c>
      <c r="H395" s="43" t="s">
        <v>251</v>
      </c>
      <c r="I395" s="68">
        <v>1701</v>
      </c>
      <c r="J395" s="68">
        <v>170150</v>
      </c>
      <c r="K395" s="69">
        <v>4</v>
      </c>
      <c r="L395" s="66" t="s">
        <v>1048</v>
      </c>
      <c r="M395" s="66" t="s">
        <v>1049</v>
      </c>
      <c r="N395" s="66" t="s">
        <v>1050</v>
      </c>
      <c r="O395" s="66"/>
      <c r="P395" s="66"/>
      <c r="Q395" s="66"/>
      <c r="R395" s="66" t="s">
        <v>60</v>
      </c>
      <c r="S395" s="66"/>
      <c r="T395" s="66" t="s">
        <v>1051</v>
      </c>
      <c r="U395" s="66" t="s">
        <v>1051</v>
      </c>
      <c r="V395" s="66"/>
      <c r="W395" s="66" t="s">
        <v>1052</v>
      </c>
      <c r="X395" s="66" t="s">
        <v>1053</v>
      </c>
      <c r="Y395" s="66" t="s">
        <v>1054</v>
      </c>
      <c r="Z395" s="66"/>
      <c r="AA395" s="66"/>
      <c r="AB395" s="66">
        <v>170150294</v>
      </c>
      <c r="AC395" s="66">
        <v>170150294002</v>
      </c>
      <c r="AD395" s="66">
        <v>170150294002003</v>
      </c>
      <c r="AE395" s="69">
        <v>5</v>
      </c>
      <c r="AF395" s="69" t="s">
        <v>772</v>
      </c>
      <c r="AG395" s="46" t="s">
        <v>66</v>
      </c>
      <c r="AH395" s="70" t="s">
        <v>1055</v>
      </c>
      <c r="AI395" s="71" t="s">
        <v>66</v>
      </c>
      <c r="AJ395" s="49" t="s">
        <v>6938</v>
      </c>
      <c r="AK395" s="50" t="s">
        <v>67</v>
      </c>
      <c r="AL395" s="58">
        <v>45583</v>
      </c>
      <c r="AM395" s="52" t="s">
        <v>66</v>
      </c>
      <c r="AN395" s="52"/>
      <c r="AO395" s="52"/>
      <c r="AP395" s="52"/>
      <c r="AQ395" s="53">
        <f t="shared" si="21"/>
        <v>1</v>
      </c>
      <c r="AR395" s="54">
        <f t="shared" si="22"/>
        <v>0</v>
      </c>
      <c r="AS395" s="55">
        <f t="shared" si="23"/>
        <v>1</v>
      </c>
      <c r="AT395" s="102" t="s">
        <v>553</v>
      </c>
      <c r="AU395" s="103" t="s">
        <v>6712</v>
      </c>
      <c r="AV395" s="104">
        <v>7.7</v>
      </c>
      <c r="AW395" s="105">
        <v>45583</v>
      </c>
      <c r="AX395" s="104">
        <v>7.7</v>
      </c>
      <c r="AY395" s="106">
        <v>45611</v>
      </c>
      <c r="AZ395" s="102"/>
      <c r="BA395" s="103" t="s">
        <v>1356</v>
      </c>
      <c r="BB395" s="104"/>
      <c r="BC395" s="106"/>
      <c r="BD395" s="104"/>
      <c r="BE395" s="106"/>
      <c r="BF395" s="102"/>
      <c r="BG395" s="103" t="s">
        <v>1356</v>
      </c>
      <c r="BH395" s="104"/>
      <c r="BI395" s="106"/>
      <c r="BJ395" s="104"/>
      <c r="BK395" s="106"/>
      <c r="BL395" s="102"/>
      <c r="BM395" s="103" t="s">
        <v>1356</v>
      </c>
      <c r="BN395" s="104"/>
      <c r="BO395" s="106"/>
      <c r="BP395" s="104"/>
      <c r="BQ395" s="106"/>
      <c r="BR395" s="102"/>
      <c r="BS395" s="103" t="s">
        <v>1356</v>
      </c>
      <c r="BT395" s="104"/>
      <c r="BU395" s="106"/>
      <c r="BV395" s="104"/>
      <c r="BW395" s="106"/>
      <c r="BX395" s="121"/>
      <c r="BY395" s="122" t="s">
        <v>1356</v>
      </c>
      <c r="BZ395" s="123"/>
      <c r="CA395" s="124"/>
      <c r="CB395" s="123"/>
      <c r="CC395" s="124"/>
      <c r="CD395" s="121"/>
      <c r="CE395" s="122" t="s">
        <v>1356</v>
      </c>
      <c r="CF395" s="123"/>
      <c r="CG395" s="124"/>
      <c r="CH395" s="123"/>
      <c r="CI395" s="124"/>
      <c r="CJ395" s="121"/>
      <c r="CK395" s="122" t="s">
        <v>1356</v>
      </c>
      <c r="CL395" s="123"/>
      <c r="CM395" s="124"/>
      <c r="CN395" s="123"/>
      <c r="CO395" s="124"/>
      <c r="CP395" s="121"/>
      <c r="CQ395" s="122" t="s">
        <v>1356</v>
      </c>
      <c r="CR395" s="123"/>
      <c r="CS395" s="124"/>
      <c r="CT395" s="123"/>
      <c r="CU395" s="124"/>
      <c r="CV395" s="121"/>
      <c r="CW395" s="122" t="s">
        <v>1356</v>
      </c>
      <c r="CX395" s="123"/>
      <c r="CY395" s="124"/>
      <c r="CZ395" s="123"/>
      <c r="DA395" s="124"/>
      <c r="DB395" s="129" t="s">
        <v>6962</v>
      </c>
      <c r="DC395" s="129" t="s">
        <v>105</v>
      </c>
    </row>
    <row r="396" spans="1:107" s="40" customFormat="1" x14ac:dyDescent="0.3">
      <c r="A396" s="35" t="s">
        <v>4219</v>
      </c>
      <c r="B396" s="35" t="s">
        <v>4220</v>
      </c>
      <c r="C396" s="35" t="s">
        <v>4221</v>
      </c>
      <c r="D396" s="35" t="s">
        <v>4222</v>
      </c>
      <c r="E396" s="35" t="s">
        <v>70</v>
      </c>
      <c r="F396" s="35" t="s">
        <v>3036</v>
      </c>
      <c r="G396" s="35" t="s">
        <v>461</v>
      </c>
      <c r="H396" s="27" t="s">
        <v>6933</v>
      </c>
      <c r="I396" s="62">
        <v>1317</v>
      </c>
      <c r="J396" s="62">
        <v>131750</v>
      </c>
      <c r="K396" s="63">
        <v>8</v>
      </c>
      <c r="L396" s="35" t="s">
        <v>4223</v>
      </c>
      <c r="M396" s="35" t="s">
        <v>4224</v>
      </c>
      <c r="N396" s="35"/>
      <c r="O396" s="35"/>
      <c r="P396" s="35"/>
      <c r="Q396" s="35"/>
      <c r="R396" s="35"/>
      <c r="S396" s="35"/>
      <c r="T396" s="35"/>
      <c r="U396" s="35" t="s">
        <v>4225</v>
      </c>
      <c r="V396" s="35"/>
      <c r="W396" s="35" t="s">
        <v>4226</v>
      </c>
      <c r="X396" s="35"/>
      <c r="Y396" s="35"/>
      <c r="Z396" s="35"/>
      <c r="AA396" s="35"/>
      <c r="AB396" s="35"/>
      <c r="AC396" s="35"/>
      <c r="AD396" s="35"/>
      <c r="AE396" s="63">
        <v>2</v>
      </c>
      <c r="AF396" s="63" t="s">
        <v>64</v>
      </c>
      <c r="AG396" s="29" t="s">
        <v>65</v>
      </c>
      <c r="AH396" s="75"/>
      <c r="AI396" s="65" t="s">
        <v>66</v>
      </c>
      <c r="AJ396" s="32" t="s">
        <v>6938</v>
      </c>
      <c r="AK396" s="33" t="s">
        <v>67</v>
      </c>
      <c r="AL396" s="34">
        <v>45545</v>
      </c>
      <c r="AM396" s="35" t="s">
        <v>66</v>
      </c>
      <c r="AN396" s="35"/>
      <c r="AO396" s="35"/>
      <c r="AP396" s="35"/>
      <c r="AQ396" s="37">
        <f t="shared" si="21"/>
        <v>0</v>
      </c>
      <c r="AR396" s="38">
        <f t="shared" si="22"/>
        <v>0</v>
      </c>
      <c r="AS396" s="39">
        <f t="shared" si="23"/>
        <v>0</v>
      </c>
      <c r="AT396" s="99"/>
      <c r="AU396" s="99" t="s">
        <v>1356</v>
      </c>
      <c r="AV396" s="99"/>
      <c r="AW396" s="100"/>
      <c r="AX396" s="99"/>
      <c r="AY396" s="101"/>
      <c r="AZ396" s="99"/>
      <c r="BA396" s="99" t="s">
        <v>1356</v>
      </c>
      <c r="BB396" s="99"/>
      <c r="BC396" s="101"/>
      <c r="BD396" s="99"/>
      <c r="BE396" s="101"/>
      <c r="BF396" s="99"/>
      <c r="BG396" s="99" t="s">
        <v>1356</v>
      </c>
      <c r="BH396" s="99"/>
      <c r="BI396" s="101"/>
      <c r="BJ396" s="99"/>
      <c r="BK396" s="101"/>
      <c r="BL396" s="99"/>
      <c r="BM396" s="99" t="s">
        <v>1356</v>
      </c>
      <c r="BN396" s="99"/>
      <c r="BO396" s="101"/>
      <c r="BP396" s="99"/>
      <c r="BQ396" s="101"/>
      <c r="BR396" s="99"/>
      <c r="BS396" s="99" t="s">
        <v>1356</v>
      </c>
      <c r="BT396" s="99"/>
      <c r="BU396" s="101"/>
      <c r="BV396" s="99"/>
      <c r="BW396" s="101"/>
      <c r="BX396" s="119"/>
      <c r="BY396" s="119" t="s">
        <v>1356</v>
      </c>
      <c r="BZ396" s="119"/>
      <c r="CA396" s="120"/>
      <c r="CB396" s="119"/>
      <c r="CC396" s="120"/>
      <c r="CD396" s="119"/>
      <c r="CE396" s="119" t="s">
        <v>1356</v>
      </c>
      <c r="CF396" s="119"/>
      <c r="CG396" s="120"/>
      <c r="CH396" s="119"/>
      <c r="CI396" s="120"/>
      <c r="CJ396" s="119"/>
      <c r="CK396" s="119" t="s">
        <v>1356</v>
      </c>
      <c r="CL396" s="119"/>
      <c r="CM396" s="120"/>
      <c r="CN396" s="119"/>
      <c r="CO396" s="120"/>
      <c r="CP396" s="119"/>
      <c r="CQ396" s="119" t="s">
        <v>1356</v>
      </c>
      <c r="CR396" s="119"/>
      <c r="CS396" s="120"/>
      <c r="CT396" s="119"/>
      <c r="CU396" s="120"/>
      <c r="CV396" s="119"/>
      <c r="CW396" s="119" t="s">
        <v>1356</v>
      </c>
      <c r="CX396" s="119"/>
      <c r="CY396" s="120"/>
      <c r="CZ396" s="119"/>
      <c r="DA396" s="120"/>
      <c r="DB396" s="128" t="s">
        <v>7085</v>
      </c>
      <c r="DC396" s="131" t="s">
        <v>6751</v>
      </c>
    </row>
    <row r="397" spans="1:107" s="40" customFormat="1" ht="14.55" customHeight="1" x14ac:dyDescent="0.3">
      <c r="A397" s="35" t="s">
        <v>4219</v>
      </c>
      <c r="B397" s="35" t="s">
        <v>4227</v>
      </c>
      <c r="C397" s="35" t="s">
        <v>4228</v>
      </c>
      <c r="D397" s="35" t="s">
        <v>4229</v>
      </c>
      <c r="E397" s="35" t="s">
        <v>70</v>
      </c>
      <c r="F397" s="35" t="s">
        <v>3036</v>
      </c>
      <c r="G397" s="35" t="s">
        <v>4230</v>
      </c>
      <c r="H397" s="27" t="s">
        <v>6934</v>
      </c>
      <c r="I397" s="62">
        <v>2403</v>
      </c>
      <c r="J397" s="62">
        <v>240352</v>
      </c>
      <c r="K397" s="63">
        <v>4</v>
      </c>
      <c r="L397" s="35" t="s">
        <v>4231</v>
      </c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 t="s">
        <v>4232</v>
      </c>
      <c r="X397" s="35"/>
      <c r="Y397" s="35" t="s">
        <v>4233</v>
      </c>
      <c r="Z397" s="35">
        <v>-80.919372999999993</v>
      </c>
      <c r="AA397" s="35">
        <v>-2.2502900000000001</v>
      </c>
      <c r="AB397" s="35">
        <v>240352010</v>
      </c>
      <c r="AC397" s="35">
        <v>240352010001</v>
      </c>
      <c r="AD397" s="35">
        <v>240352010001011</v>
      </c>
      <c r="AE397" s="63">
        <v>2</v>
      </c>
      <c r="AF397" s="63" t="s">
        <v>64</v>
      </c>
      <c r="AG397" s="29" t="s">
        <v>65</v>
      </c>
      <c r="AH397" s="75"/>
      <c r="AI397" s="65" t="s">
        <v>66</v>
      </c>
      <c r="AJ397" s="32" t="s">
        <v>6938</v>
      </c>
      <c r="AK397" s="33" t="s">
        <v>67</v>
      </c>
      <c r="AL397" s="34">
        <v>45580</v>
      </c>
      <c r="AM397" s="35" t="s">
        <v>66</v>
      </c>
      <c r="AN397" s="35"/>
      <c r="AO397" s="35"/>
      <c r="AP397" s="35"/>
      <c r="AQ397" s="37">
        <f t="shared" si="21"/>
        <v>0</v>
      </c>
      <c r="AR397" s="38">
        <f t="shared" si="22"/>
        <v>0</v>
      </c>
      <c r="AS397" s="39">
        <f t="shared" si="23"/>
        <v>0</v>
      </c>
      <c r="AT397" s="99"/>
      <c r="AU397" s="99" t="s">
        <v>1356</v>
      </c>
      <c r="AV397" s="99"/>
      <c r="AW397" s="100"/>
      <c r="AX397" s="99"/>
      <c r="AY397" s="101"/>
      <c r="AZ397" s="99"/>
      <c r="BA397" s="99" t="s">
        <v>1356</v>
      </c>
      <c r="BB397" s="99"/>
      <c r="BC397" s="101"/>
      <c r="BD397" s="99"/>
      <c r="BE397" s="101"/>
      <c r="BF397" s="99"/>
      <c r="BG397" s="99" t="s">
        <v>1356</v>
      </c>
      <c r="BH397" s="99"/>
      <c r="BI397" s="101"/>
      <c r="BJ397" s="99"/>
      <c r="BK397" s="101"/>
      <c r="BL397" s="99"/>
      <c r="BM397" s="99" t="s">
        <v>1356</v>
      </c>
      <c r="BN397" s="99"/>
      <c r="BO397" s="101"/>
      <c r="BP397" s="99"/>
      <c r="BQ397" s="101"/>
      <c r="BR397" s="99"/>
      <c r="BS397" s="99" t="s">
        <v>1356</v>
      </c>
      <c r="BT397" s="99"/>
      <c r="BU397" s="101"/>
      <c r="BV397" s="99"/>
      <c r="BW397" s="101"/>
      <c r="BX397" s="119"/>
      <c r="BY397" s="119" t="s">
        <v>1356</v>
      </c>
      <c r="BZ397" s="119"/>
      <c r="CA397" s="120"/>
      <c r="CB397" s="119"/>
      <c r="CC397" s="120"/>
      <c r="CD397" s="119"/>
      <c r="CE397" s="119" t="s">
        <v>1356</v>
      </c>
      <c r="CF397" s="119"/>
      <c r="CG397" s="120"/>
      <c r="CH397" s="119"/>
      <c r="CI397" s="120"/>
      <c r="CJ397" s="119"/>
      <c r="CK397" s="119" t="s">
        <v>1356</v>
      </c>
      <c r="CL397" s="119"/>
      <c r="CM397" s="120"/>
      <c r="CN397" s="119"/>
      <c r="CO397" s="120"/>
      <c r="CP397" s="119"/>
      <c r="CQ397" s="119" t="s">
        <v>1356</v>
      </c>
      <c r="CR397" s="119"/>
      <c r="CS397" s="120"/>
      <c r="CT397" s="119"/>
      <c r="CU397" s="120"/>
      <c r="CV397" s="119"/>
      <c r="CW397" s="119" t="s">
        <v>1356</v>
      </c>
      <c r="CX397" s="119"/>
      <c r="CY397" s="120"/>
      <c r="CZ397" s="119"/>
      <c r="DA397" s="120"/>
      <c r="DB397" s="128" t="s">
        <v>7085</v>
      </c>
      <c r="DC397" s="131" t="s">
        <v>105</v>
      </c>
    </row>
    <row r="398" spans="1:107" s="40" customFormat="1" ht="14.55" customHeight="1" x14ac:dyDescent="0.3">
      <c r="A398" s="35" t="s">
        <v>4219</v>
      </c>
      <c r="B398" s="35" t="s">
        <v>4234</v>
      </c>
      <c r="C398" s="35" t="s">
        <v>4235</v>
      </c>
      <c r="D398" s="35" t="s">
        <v>4236</v>
      </c>
      <c r="E398" s="35" t="s">
        <v>70</v>
      </c>
      <c r="F398" s="35" t="s">
        <v>3036</v>
      </c>
      <c r="G398" s="35" t="s">
        <v>4237</v>
      </c>
      <c r="H398" s="27" t="s">
        <v>686</v>
      </c>
      <c r="I398" s="62">
        <v>901</v>
      </c>
      <c r="J398" s="62">
        <v>90150</v>
      </c>
      <c r="K398" s="63">
        <v>4</v>
      </c>
      <c r="L398" s="35"/>
      <c r="M398" s="35" t="s">
        <v>4238</v>
      </c>
      <c r="N398" s="35"/>
      <c r="O398" s="35"/>
      <c r="P398" s="35"/>
      <c r="Q398" s="35" t="s">
        <v>4239</v>
      </c>
      <c r="R398" s="35"/>
      <c r="S398" s="35" t="s">
        <v>4240</v>
      </c>
      <c r="T398" s="35" t="s">
        <v>4241</v>
      </c>
      <c r="U398" s="35"/>
      <c r="V398" s="35" t="s">
        <v>4242</v>
      </c>
      <c r="W398" s="35" t="s">
        <v>4243</v>
      </c>
      <c r="X398" s="35"/>
      <c r="Y398" s="35"/>
      <c r="Z398" s="35"/>
      <c r="AA398" s="35"/>
      <c r="AB398" s="35"/>
      <c r="AC398" s="35"/>
      <c r="AD398" s="35"/>
      <c r="AE398" s="63">
        <v>2</v>
      </c>
      <c r="AF398" s="63" t="s">
        <v>64</v>
      </c>
      <c r="AG398" s="29" t="s">
        <v>65</v>
      </c>
      <c r="AH398" s="75"/>
      <c r="AI398" s="65" t="s">
        <v>66</v>
      </c>
      <c r="AJ398" s="32" t="s">
        <v>6938</v>
      </c>
      <c r="AK398" s="33" t="s">
        <v>67</v>
      </c>
      <c r="AL398" s="34">
        <v>45547</v>
      </c>
      <c r="AM398" s="35" t="s">
        <v>66</v>
      </c>
      <c r="AN398" s="35"/>
      <c r="AO398" s="35"/>
      <c r="AP398" s="35"/>
      <c r="AQ398" s="37">
        <f t="shared" si="21"/>
        <v>0</v>
      </c>
      <c r="AR398" s="38">
        <f t="shared" si="22"/>
        <v>0</v>
      </c>
      <c r="AS398" s="39">
        <f t="shared" si="23"/>
        <v>0</v>
      </c>
      <c r="AT398" s="99"/>
      <c r="AU398" s="99" t="s">
        <v>1356</v>
      </c>
      <c r="AV398" s="99"/>
      <c r="AW398" s="100"/>
      <c r="AX398" s="99"/>
      <c r="AY398" s="101"/>
      <c r="AZ398" s="99"/>
      <c r="BA398" s="99" t="s">
        <v>1356</v>
      </c>
      <c r="BB398" s="99"/>
      <c r="BC398" s="101"/>
      <c r="BD398" s="99"/>
      <c r="BE398" s="101"/>
      <c r="BF398" s="99"/>
      <c r="BG398" s="99" t="s">
        <v>1356</v>
      </c>
      <c r="BH398" s="99"/>
      <c r="BI398" s="101"/>
      <c r="BJ398" s="99"/>
      <c r="BK398" s="101"/>
      <c r="BL398" s="99"/>
      <c r="BM398" s="99" t="s">
        <v>1356</v>
      </c>
      <c r="BN398" s="99"/>
      <c r="BO398" s="101"/>
      <c r="BP398" s="99"/>
      <c r="BQ398" s="101"/>
      <c r="BR398" s="99"/>
      <c r="BS398" s="99" t="s">
        <v>1356</v>
      </c>
      <c r="BT398" s="99"/>
      <c r="BU398" s="101"/>
      <c r="BV398" s="99"/>
      <c r="BW398" s="101"/>
      <c r="BX398" s="119"/>
      <c r="BY398" s="119" t="s">
        <v>1356</v>
      </c>
      <c r="BZ398" s="119"/>
      <c r="CA398" s="120"/>
      <c r="CB398" s="119"/>
      <c r="CC398" s="120"/>
      <c r="CD398" s="119"/>
      <c r="CE398" s="119" t="s">
        <v>1356</v>
      </c>
      <c r="CF398" s="119"/>
      <c r="CG398" s="120"/>
      <c r="CH398" s="119"/>
      <c r="CI398" s="120"/>
      <c r="CJ398" s="119"/>
      <c r="CK398" s="119" t="s">
        <v>1356</v>
      </c>
      <c r="CL398" s="119"/>
      <c r="CM398" s="120"/>
      <c r="CN398" s="119"/>
      <c r="CO398" s="120"/>
      <c r="CP398" s="119"/>
      <c r="CQ398" s="119" t="s">
        <v>1356</v>
      </c>
      <c r="CR398" s="119"/>
      <c r="CS398" s="120"/>
      <c r="CT398" s="119"/>
      <c r="CU398" s="120"/>
      <c r="CV398" s="119"/>
      <c r="CW398" s="119" t="s">
        <v>1356</v>
      </c>
      <c r="CX398" s="119"/>
      <c r="CY398" s="120"/>
      <c r="CZ398" s="119"/>
      <c r="DA398" s="120"/>
      <c r="DB398" s="128" t="s">
        <v>7085</v>
      </c>
      <c r="DC398" s="131" t="s">
        <v>105</v>
      </c>
    </row>
    <row r="399" spans="1:107" s="40" customFormat="1" ht="14.55" customHeight="1" x14ac:dyDescent="0.3">
      <c r="A399" s="35" t="s">
        <v>4219</v>
      </c>
      <c r="B399" s="35" t="s">
        <v>4244</v>
      </c>
      <c r="C399" s="35" t="s">
        <v>4245</v>
      </c>
      <c r="D399" s="35" t="s">
        <v>4246</v>
      </c>
      <c r="E399" s="35" t="s">
        <v>4247</v>
      </c>
      <c r="F399" s="35" t="s">
        <v>3036</v>
      </c>
      <c r="G399" s="35" t="s">
        <v>4237</v>
      </c>
      <c r="H399" s="27" t="s">
        <v>686</v>
      </c>
      <c r="I399" s="62">
        <v>901</v>
      </c>
      <c r="J399" s="62">
        <v>90150</v>
      </c>
      <c r="K399" s="63">
        <v>4</v>
      </c>
      <c r="L399" s="35" t="s">
        <v>4248</v>
      </c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 t="s">
        <v>4249</v>
      </c>
      <c r="X399" s="35" t="s">
        <v>4250</v>
      </c>
      <c r="Y399" s="35" t="s">
        <v>4251</v>
      </c>
      <c r="Z399" s="35"/>
      <c r="AA399" s="35"/>
      <c r="AB399" s="35">
        <v>90150421</v>
      </c>
      <c r="AC399" s="35">
        <v>90150421001</v>
      </c>
      <c r="AD399" s="35">
        <v>90150421001003</v>
      </c>
      <c r="AE399" s="63">
        <v>2</v>
      </c>
      <c r="AF399" s="63" t="s">
        <v>64</v>
      </c>
      <c r="AG399" s="29" t="s">
        <v>65</v>
      </c>
      <c r="AH399" s="75"/>
      <c r="AI399" s="65" t="s">
        <v>66</v>
      </c>
      <c r="AJ399" s="32" t="s">
        <v>6938</v>
      </c>
      <c r="AK399" s="33" t="s">
        <v>67</v>
      </c>
      <c r="AL399" s="34">
        <v>45580</v>
      </c>
      <c r="AM399" s="35" t="s">
        <v>66</v>
      </c>
      <c r="AN399" s="35"/>
      <c r="AO399" s="35"/>
      <c r="AP399" s="35"/>
      <c r="AQ399" s="37">
        <f t="shared" si="21"/>
        <v>0</v>
      </c>
      <c r="AR399" s="38">
        <f t="shared" si="22"/>
        <v>0</v>
      </c>
      <c r="AS399" s="39">
        <f t="shared" si="23"/>
        <v>0</v>
      </c>
      <c r="AT399" s="99"/>
      <c r="AU399" s="99" t="s">
        <v>1356</v>
      </c>
      <c r="AV399" s="99"/>
      <c r="AW399" s="100"/>
      <c r="AX399" s="99"/>
      <c r="AY399" s="101"/>
      <c r="AZ399" s="99"/>
      <c r="BA399" s="99" t="s">
        <v>1356</v>
      </c>
      <c r="BB399" s="99"/>
      <c r="BC399" s="101"/>
      <c r="BD399" s="99"/>
      <c r="BE399" s="101"/>
      <c r="BF399" s="99"/>
      <c r="BG399" s="99" t="s">
        <v>1356</v>
      </c>
      <c r="BH399" s="99"/>
      <c r="BI399" s="101"/>
      <c r="BJ399" s="99"/>
      <c r="BK399" s="101"/>
      <c r="BL399" s="99"/>
      <c r="BM399" s="99" t="s">
        <v>1356</v>
      </c>
      <c r="BN399" s="99"/>
      <c r="BO399" s="101"/>
      <c r="BP399" s="99"/>
      <c r="BQ399" s="101"/>
      <c r="BR399" s="99"/>
      <c r="BS399" s="99" t="s">
        <v>1356</v>
      </c>
      <c r="BT399" s="99"/>
      <c r="BU399" s="101"/>
      <c r="BV399" s="99"/>
      <c r="BW399" s="101"/>
      <c r="BX399" s="119"/>
      <c r="BY399" s="119" t="s">
        <v>1356</v>
      </c>
      <c r="BZ399" s="119"/>
      <c r="CA399" s="120"/>
      <c r="CB399" s="119"/>
      <c r="CC399" s="120"/>
      <c r="CD399" s="119"/>
      <c r="CE399" s="119" t="s">
        <v>1356</v>
      </c>
      <c r="CF399" s="119"/>
      <c r="CG399" s="120"/>
      <c r="CH399" s="119"/>
      <c r="CI399" s="120"/>
      <c r="CJ399" s="119"/>
      <c r="CK399" s="119" t="s">
        <v>1356</v>
      </c>
      <c r="CL399" s="119"/>
      <c r="CM399" s="120"/>
      <c r="CN399" s="119"/>
      <c r="CO399" s="120"/>
      <c r="CP399" s="119"/>
      <c r="CQ399" s="119" t="s">
        <v>1356</v>
      </c>
      <c r="CR399" s="119"/>
      <c r="CS399" s="120"/>
      <c r="CT399" s="119"/>
      <c r="CU399" s="120"/>
      <c r="CV399" s="119"/>
      <c r="CW399" s="119" t="s">
        <v>1356</v>
      </c>
      <c r="CX399" s="119"/>
      <c r="CY399" s="120"/>
      <c r="CZ399" s="119"/>
      <c r="DA399" s="120"/>
      <c r="DB399" s="128" t="s">
        <v>7085</v>
      </c>
      <c r="DC399" s="131" t="s">
        <v>105</v>
      </c>
    </row>
    <row r="400" spans="1:107" s="40" customFormat="1" x14ac:dyDescent="0.3">
      <c r="A400" s="35" t="s">
        <v>4219</v>
      </c>
      <c r="B400" s="35" t="s">
        <v>4252</v>
      </c>
      <c r="C400" s="35" t="s">
        <v>4253</v>
      </c>
      <c r="D400" s="35" t="s">
        <v>4254</v>
      </c>
      <c r="E400" s="35" t="s">
        <v>70</v>
      </c>
      <c r="F400" s="35" t="s">
        <v>56</v>
      </c>
      <c r="G400" s="35" t="s">
        <v>461</v>
      </c>
      <c r="H400" s="27" t="s">
        <v>6933</v>
      </c>
      <c r="I400" s="62">
        <v>1321</v>
      </c>
      <c r="J400" s="62">
        <v>132150</v>
      </c>
      <c r="K400" s="63">
        <v>4</v>
      </c>
      <c r="L400" s="35" t="s">
        <v>4255</v>
      </c>
      <c r="M400" s="35"/>
      <c r="N400" s="35"/>
      <c r="O400" s="35"/>
      <c r="P400" s="35"/>
      <c r="Q400" s="35"/>
      <c r="R400" s="35"/>
      <c r="S400" s="35"/>
      <c r="T400" s="35"/>
      <c r="U400" s="35" t="s">
        <v>4256</v>
      </c>
      <c r="V400" s="35" t="s">
        <v>4257</v>
      </c>
      <c r="W400" s="35" t="s">
        <v>4258</v>
      </c>
      <c r="X400" s="35" t="s">
        <v>4259</v>
      </c>
      <c r="Y400" s="35" t="s">
        <v>4260</v>
      </c>
      <c r="Z400" s="35"/>
      <c r="AA400" s="35"/>
      <c r="AB400" s="35"/>
      <c r="AC400" s="35"/>
      <c r="AD400" s="35"/>
      <c r="AE400" s="63">
        <v>2</v>
      </c>
      <c r="AF400" s="63" t="s">
        <v>64</v>
      </c>
      <c r="AG400" s="29" t="s">
        <v>65</v>
      </c>
      <c r="AH400" s="75"/>
      <c r="AI400" s="65" t="s">
        <v>66</v>
      </c>
      <c r="AJ400" s="32" t="s">
        <v>6938</v>
      </c>
      <c r="AK400" s="33" t="s">
        <v>67</v>
      </c>
      <c r="AL400" s="58">
        <v>45561</v>
      </c>
      <c r="AM400" s="35" t="s">
        <v>66</v>
      </c>
      <c r="AN400" s="35"/>
      <c r="AO400" s="35"/>
      <c r="AP400" s="35"/>
      <c r="AQ400" s="37">
        <f t="shared" si="21"/>
        <v>0</v>
      </c>
      <c r="AR400" s="38">
        <f t="shared" si="22"/>
        <v>0</v>
      </c>
      <c r="AS400" s="39">
        <f t="shared" si="23"/>
        <v>0</v>
      </c>
      <c r="AT400" s="99"/>
      <c r="AU400" s="99" t="s">
        <v>1356</v>
      </c>
      <c r="AV400" s="99"/>
      <c r="AW400" s="100"/>
      <c r="AX400" s="99"/>
      <c r="AY400" s="101"/>
      <c r="AZ400" s="99"/>
      <c r="BA400" s="99" t="s">
        <v>1356</v>
      </c>
      <c r="BB400" s="99"/>
      <c r="BC400" s="101"/>
      <c r="BD400" s="99"/>
      <c r="BE400" s="101"/>
      <c r="BF400" s="99"/>
      <c r="BG400" s="99" t="s">
        <v>1356</v>
      </c>
      <c r="BH400" s="99"/>
      <c r="BI400" s="101"/>
      <c r="BJ400" s="99"/>
      <c r="BK400" s="101"/>
      <c r="BL400" s="99"/>
      <c r="BM400" s="99" t="s">
        <v>1356</v>
      </c>
      <c r="BN400" s="99"/>
      <c r="BO400" s="101"/>
      <c r="BP400" s="99"/>
      <c r="BQ400" s="101"/>
      <c r="BR400" s="99"/>
      <c r="BS400" s="99" t="s">
        <v>1356</v>
      </c>
      <c r="BT400" s="99"/>
      <c r="BU400" s="101"/>
      <c r="BV400" s="99"/>
      <c r="BW400" s="101"/>
      <c r="BX400" s="119"/>
      <c r="BY400" s="119" t="s">
        <v>1356</v>
      </c>
      <c r="BZ400" s="119"/>
      <c r="CA400" s="120"/>
      <c r="CB400" s="119"/>
      <c r="CC400" s="120"/>
      <c r="CD400" s="119"/>
      <c r="CE400" s="119" t="s">
        <v>1356</v>
      </c>
      <c r="CF400" s="119"/>
      <c r="CG400" s="120"/>
      <c r="CH400" s="119"/>
      <c r="CI400" s="120"/>
      <c r="CJ400" s="119"/>
      <c r="CK400" s="119" t="s">
        <v>1356</v>
      </c>
      <c r="CL400" s="119"/>
      <c r="CM400" s="120"/>
      <c r="CN400" s="119"/>
      <c r="CO400" s="120"/>
      <c r="CP400" s="119"/>
      <c r="CQ400" s="119" t="s">
        <v>1356</v>
      </c>
      <c r="CR400" s="119"/>
      <c r="CS400" s="120"/>
      <c r="CT400" s="119"/>
      <c r="CU400" s="120"/>
      <c r="CV400" s="119"/>
      <c r="CW400" s="119" t="s">
        <v>1356</v>
      </c>
      <c r="CX400" s="119"/>
      <c r="CY400" s="120"/>
      <c r="CZ400" s="119"/>
      <c r="DA400" s="120"/>
      <c r="DB400" s="128" t="s">
        <v>7085</v>
      </c>
      <c r="DC400" s="131" t="s">
        <v>6751</v>
      </c>
    </row>
    <row r="401" spans="1:107" s="40" customFormat="1" x14ac:dyDescent="0.3">
      <c r="A401" s="35" t="s">
        <v>4219</v>
      </c>
      <c r="B401" s="35" t="s">
        <v>4261</v>
      </c>
      <c r="C401" s="35" t="s">
        <v>4262</v>
      </c>
      <c r="D401" s="35" t="s">
        <v>4263</v>
      </c>
      <c r="E401" s="35" t="s">
        <v>70</v>
      </c>
      <c r="F401" s="35" t="s">
        <v>56</v>
      </c>
      <c r="G401" s="35" t="s">
        <v>4237</v>
      </c>
      <c r="H401" s="27" t="s">
        <v>686</v>
      </c>
      <c r="I401" s="62">
        <v>901</v>
      </c>
      <c r="J401" s="62">
        <v>90150</v>
      </c>
      <c r="K401" s="63">
        <v>4</v>
      </c>
      <c r="L401" s="35" t="s">
        <v>4264</v>
      </c>
      <c r="M401" s="35" t="s">
        <v>258</v>
      </c>
      <c r="N401" s="35" t="s">
        <v>4265</v>
      </c>
      <c r="O401" s="35"/>
      <c r="P401" s="35"/>
      <c r="Q401" s="35"/>
      <c r="R401" s="35"/>
      <c r="S401" s="35"/>
      <c r="T401" s="35"/>
      <c r="U401" s="35"/>
      <c r="V401" s="35"/>
      <c r="W401" s="35" t="s">
        <v>4266</v>
      </c>
      <c r="X401" s="35"/>
      <c r="Y401" s="35" t="s">
        <v>4267</v>
      </c>
      <c r="Z401" s="35"/>
      <c r="AA401" s="35"/>
      <c r="AB401" s="35"/>
      <c r="AC401" s="35"/>
      <c r="AD401" s="35"/>
      <c r="AE401" s="63">
        <v>2</v>
      </c>
      <c r="AF401" s="63" t="s">
        <v>64</v>
      </c>
      <c r="AG401" s="29" t="s">
        <v>65</v>
      </c>
      <c r="AH401" s="75"/>
      <c r="AI401" s="65" t="s">
        <v>65</v>
      </c>
      <c r="AJ401" s="32" t="s">
        <v>6939</v>
      </c>
      <c r="AK401" s="33" t="s">
        <v>92</v>
      </c>
      <c r="AL401" s="58"/>
      <c r="AM401" s="35"/>
      <c r="AN401" s="35"/>
      <c r="AO401" s="35"/>
      <c r="AP401" s="35"/>
      <c r="AQ401" s="37">
        <f t="shared" si="21"/>
        <v>0</v>
      </c>
      <c r="AR401" s="38">
        <f t="shared" si="22"/>
        <v>0</v>
      </c>
      <c r="AS401" s="39">
        <f t="shared" si="23"/>
        <v>0</v>
      </c>
      <c r="AT401" s="99"/>
      <c r="AU401" s="99"/>
      <c r="AV401" s="99"/>
      <c r="AW401" s="100"/>
      <c r="AX401" s="99"/>
      <c r="AY401" s="101"/>
      <c r="AZ401" s="99"/>
      <c r="BA401" s="99" t="s">
        <v>1356</v>
      </c>
      <c r="BB401" s="99"/>
      <c r="BC401" s="101"/>
      <c r="BD401" s="99"/>
      <c r="BE401" s="101"/>
      <c r="BF401" s="99"/>
      <c r="BG401" s="99" t="s">
        <v>1356</v>
      </c>
      <c r="BH401" s="99"/>
      <c r="BI401" s="101"/>
      <c r="BJ401" s="99"/>
      <c r="BK401" s="101"/>
      <c r="BL401" s="99"/>
      <c r="BM401" s="99" t="s">
        <v>1356</v>
      </c>
      <c r="BN401" s="99"/>
      <c r="BO401" s="101"/>
      <c r="BP401" s="99"/>
      <c r="BQ401" s="101"/>
      <c r="BR401" s="99"/>
      <c r="BS401" s="99" t="s">
        <v>1356</v>
      </c>
      <c r="BT401" s="99"/>
      <c r="BU401" s="101"/>
      <c r="BV401" s="99"/>
      <c r="BW401" s="101"/>
      <c r="BX401" s="119"/>
      <c r="BY401" s="119" t="s">
        <v>1356</v>
      </c>
      <c r="BZ401" s="119"/>
      <c r="CA401" s="120"/>
      <c r="CB401" s="119"/>
      <c r="CC401" s="120"/>
      <c r="CD401" s="119"/>
      <c r="CE401" s="119" t="s">
        <v>1356</v>
      </c>
      <c r="CF401" s="119"/>
      <c r="CG401" s="120"/>
      <c r="CH401" s="119"/>
      <c r="CI401" s="120"/>
      <c r="CJ401" s="119"/>
      <c r="CK401" s="119" t="s">
        <v>1356</v>
      </c>
      <c r="CL401" s="119"/>
      <c r="CM401" s="120"/>
      <c r="CN401" s="119"/>
      <c r="CO401" s="120"/>
      <c r="CP401" s="119"/>
      <c r="CQ401" s="119" t="s">
        <v>1356</v>
      </c>
      <c r="CR401" s="119"/>
      <c r="CS401" s="120"/>
      <c r="CT401" s="119"/>
      <c r="CU401" s="120"/>
      <c r="CV401" s="119"/>
      <c r="CW401" s="119" t="s">
        <v>1356</v>
      </c>
      <c r="CX401" s="119"/>
      <c r="CY401" s="120"/>
      <c r="CZ401" s="119"/>
      <c r="DA401" s="120"/>
      <c r="DB401" s="35"/>
      <c r="DC401" s="59"/>
    </row>
    <row r="402" spans="1:107" s="40" customFormat="1" x14ac:dyDescent="0.3">
      <c r="A402" s="35" t="s">
        <v>4219</v>
      </c>
      <c r="B402" s="35" t="s">
        <v>4268</v>
      </c>
      <c r="C402" s="35" t="s">
        <v>4269</v>
      </c>
      <c r="D402" s="35" t="s">
        <v>4270</v>
      </c>
      <c r="E402" s="35" t="s">
        <v>4271</v>
      </c>
      <c r="F402" s="35" t="s">
        <v>56</v>
      </c>
      <c r="G402" s="35" t="s">
        <v>461</v>
      </c>
      <c r="H402" s="27" t="s">
        <v>6933</v>
      </c>
      <c r="I402" s="62">
        <v>1308</v>
      </c>
      <c r="J402" s="62">
        <v>130850</v>
      </c>
      <c r="K402" s="63">
        <v>4</v>
      </c>
      <c r="L402" s="35" t="s">
        <v>4272</v>
      </c>
      <c r="M402" s="35" t="s">
        <v>258</v>
      </c>
      <c r="N402" s="35" t="s">
        <v>4273</v>
      </c>
      <c r="O402" s="35"/>
      <c r="P402" s="35"/>
      <c r="Q402" s="35"/>
      <c r="R402" s="35"/>
      <c r="S402" s="35"/>
      <c r="T402" s="35"/>
      <c r="U402" s="35" t="s">
        <v>4274</v>
      </c>
      <c r="V402" s="35"/>
      <c r="W402" s="35" t="s">
        <v>4275</v>
      </c>
      <c r="X402" s="35" t="s">
        <v>4276</v>
      </c>
      <c r="Y402" s="35" t="s">
        <v>4277</v>
      </c>
      <c r="Z402" s="35"/>
      <c r="AA402" s="35"/>
      <c r="AB402" s="35">
        <v>130850022</v>
      </c>
      <c r="AC402" s="35">
        <v>130850022002</v>
      </c>
      <c r="AD402" s="35">
        <v>130850022002001</v>
      </c>
      <c r="AE402" s="63">
        <v>2</v>
      </c>
      <c r="AF402" s="63" t="s">
        <v>64</v>
      </c>
      <c r="AG402" s="29" t="s">
        <v>65</v>
      </c>
      <c r="AH402" s="75"/>
      <c r="AI402" s="65" t="s">
        <v>66</v>
      </c>
      <c r="AJ402" s="32" t="s">
        <v>6938</v>
      </c>
      <c r="AK402" s="33" t="s">
        <v>67</v>
      </c>
      <c r="AL402" s="58">
        <v>45567</v>
      </c>
      <c r="AM402" s="35" t="s">
        <v>66</v>
      </c>
      <c r="AN402" s="35"/>
      <c r="AO402" s="35"/>
      <c r="AP402" s="35"/>
      <c r="AQ402" s="37">
        <f t="shared" si="21"/>
        <v>0</v>
      </c>
      <c r="AR402" s="38">
        <f t="shared" si="22"/>
        <v>0</v>
      </c>
      <c r="AS402" s="39">
        <f t="shared" si="23"/>
        <v>0</v>
      </c>
      <c r="AT402" s="99"/>
      <c r="AU402" s="99" t="s">
        <v>1356</v>
      </c>
      <c r="AV402" s="99"/>
      <c r="AW402" s="100"/>
      <c r="AX402" s="99"/>
      <c r="AY402" s="101"/>
      <c r="AZ402" s="99"/>
      <c r="BA402" s="99" t="s">
        <v>1356</v>
      </c>
      <c r="BB402" s="99"/>
      <c r="BC402" s="101"/>
      <c r="BD402" s="99"/>
      <c r="BE402" s="101"/>
      <c r="BF402" s="99"/>
      <c r="BG402" s="99" t="s">
        <v>1356</v>
      </c>
      <c r="BH402" s="99"/>
      <c r="BI402" s="101"/>
      <c r="BJ402" s="99"/>
      <c r="BK402" s="101"/>
      <c r="BL402" s="99"/>
      <c r="BM402" s="99" t="s">
        <v>1356</v>
      </c>
      <c r="BN402" s="99"/>
      <c r="BO402" s="101"/>
      <c r="BP402" s="99"/>
      <c r="BQ402" s="101"/>
      <c r="BR402" s="99"/>
      <c r="BS402" s="99" t="s">
        <v>1356</v>
      </c>
      <c r="BT402" s="99"/>
      <c r="BU402" s="101"/>
      <c r="BV402" s="99"/>
      <c r="BW402" s="101"/>
      <c r="BX402" s="119"/>
      <c r="BY402" s="119" t="s">
        <v>1356</v>
      </c>
      <c r="BZ402" s="119"/>
      <c r="CA402" s="120"/>
      <c r="CB402" s="119"/>
      <c r="CC402" s="120"/>
      <c r="CD402" s="119"/>
      <c r="CE402" s="119" t="s">
        <v>1356</v>
      </c>
      <c r="CF402" s="119"/>
      <c r="CG402" s="120"/>
      <c r="CH402" s="119"/>
      <c r="CI402" s="120"/>
      <c r="CJ402" s="119"/>
      <c r="CK402" s="119" t="s">
        <v>1356</v>
      </c>
      <c r="CL402" s="119"/>
      <c r="CM402" s="120"/>
      <c r="CN402" s="119"/>
      <c r="CO402" s="120"/>
      <c r="CP402" s="119"/>
      <c r="CQ402" s="119" t="s">
        <v>1356</v>
      </c>
      <c r="CR402" s="119"/>
      <c r="CS402" s="120"/>
      <c r="CT402" s="119"/>
      <c r="CU402" s="120"/>
      <c r="CV402" s="119"/>
      <c r="CW402" s="119" t="s">
        <v>1356</v>
      </c>
      <c r="CX402" s="119"/>
      <c r="CY402" s="120"/>
      <c r="CZ402" s="119"/>
      <c r="DA402" s="120"/>
      <c r="DB402" s="36" t="s">
        <v>7085</v>
      </c>
      <c r="DC402" s="59" t="s">
        <v>2935</v>
      </c>
    </row>
    <row r="403" spans="1:107" s="40" customFormat="1" x14ac:dyDescent="0.3">
      <c r="A403" s="35" t="s">
        <v>4219</v>
      </c>
      <c r="B403" s="35" t="s">
        <v>4278</v>
      </c>
      <c r="C403" s="35" t="s">
        <v>4279</v>
      </c>
      <c r="D403" s="35" t="s">
        <v>4280</v>
      </c>
      <c r="E403" s="35" t="s">
        <v>70</v>
      </c>
      <c r="F403" s="35" t="s">
        <v>56</v>
      </c>
      <c r="G403" s="35" t="s">
        <v>461</v>
      </c>
      <c r="H403" s="27" t="s">
        <v>6933</v>
      </c>
      <c r="I403" s="62">
        <v>1308</v>
      </c>
      <c r="J403" s="62">
        <v>130850</v>
      </c>
      <c r="K403" s="63">
        <v>3</v>
      </c>
      <c r="L403" s="35" t="s">
        <v>4281</v>
      </c>
      <c r="M403" s="35" t="s">
        <v>258</v>
      </c>
      <c r="N403" s="35" t="s">
        <v>4282</v>
      </c>
      <c r="O403" s="35"/>
      <c r="P403" s="35"/>
      <c r="Q403" s="35"/>
      <c r="R403" s="35"/>
      <c r="S403" s="35"/>
      <c r="T403" s="35"/>
      <c r="U403" s="35"/>
      <c r="V403" s="35"/>
      <c r="W403" s="35" t="s">
        <v>4283</v>
      </c>
      <c r="X403" s="35"/>
      <c r="Y403" s="35" t="s">
        <v>4284</v>
      </c>
      <c r="Z403" s="35"/>
      <c r="AA403" s="35"/>
      <c r="AB403" s="35"/>
      <c r="AC403" s="35"/>
      <c r="AD403" s="35"/>
      <c r="AE403" s="63">
        <v>2</v>
      </c>
      <c r="AF403" s="63" t="s">
        <v>64</v>
      </c>
      <c r="AG403" s="29" t="s">
        <v>65</v>
      </c>
      <c r="AH403" s="75"/>
      <c r="AI403" s="65" t="s">
        <v>66</v>
      </c>
      <c r="AJ403" s="32" t="s">
        <v>6938</v>
      </c>
      <c r="AK403" s="33" t="s">
        <v>67</v>
      </c>
      <c r="AL403" s="34">
        <v>45580</v>
      </c>
      <c r="AM403" s="35" t="s">
        <v>66</v>
      </c>
      <c r="AN403" s="35"/>
      <c r="AO403" s="35"/>
      <c r="AP403" s="35"/>
      <c r="AQ403" s="37">
        <f t="shared" si="21"/>
        <v>0</v>
      </c>
      <c r="AR403" s="38">
        <f t="shared" si="22"/>
        <v>0</v>
      </c>
      <c r="AS403" s="39">
        <f t="shared" si="23"/>
        <v>0</v>
      </c>
      <c r="AT403" s="99"/>
      <c r="AU403" s="99" t="s">
        <v>1356</v>
      </c>
      <c r="AV403" s="99"/>
      <c r="AW403" s="100"/>
      <c r="AX403" s="99"/>
      <c r="AY403" s="101"/>
      <c r="AZ403" s="99"/>
      <c r="BA403" s="99" t="s">
        <v>1356</v>
      </c>
      <c r="BB403" s="99"/>
      <c r="BC403" s="101"/>
      <c r="BD403" s="99"/>
      <c r="BE403" s="101"/>
      <c r="BF403" s="99"/>
      <c r="BG403" s="99" t="s">
        <v>1356</v>
      </c>
      <c r="BH403" s="99"/>
      <c r="BI403" s="101"/>
      <c r="BJ403" s="99"/>
      <c r="BK403" s="101"/>
      <c r="BL403" s="99"/>
      <c r="BM403" s="99" t="s">
        <v>1356</v>
      </c>
      <c r="BN403" s="99"/>
      <c r="BO403" s="101"/>
      <c r="BP403" s="99"/>
      <c r="BQ403" s="101"/>
      <c r="BR403" s="99"/>
      <c r="BS403" s="99" t="s">
        <v>1356</v>
      </c>
      <c r="BT403" s="99"/>
      <c r="BU403" s="101"/>
      <c r="BV403" s="99"/>
      <c r="BW403" s="101"/>
      <c r="BX403" s="119"/>
      <c r="BY403" s="119" t="s">
        <v>1356</v>
      </c>
      <c r="BZ403" s="119"/>
      <c r="CA403" s="120"/>
      <c r="CB403" s="119"/>
      <c r="CC403" s="120"/>
      <c r="CD403" s="119"/>
      <c r="CE403" s="119" t="s">
        <v>1356</v>
      </c>
      <c r="CF403" s="119"/>
      <c r="CG403" s="120"/>
      <c r="CH403" s="119"/>
      <c r="CI403" s="120"/>
      <c r="CJ403" s="119"/>
      <c r="CK403" s="119" t="s">
        <v>1356</v>
      </c>
      <c r="CL403" s="119"/>
      <c r="CM403" s="120"/>
      <c r="CN403" s="119"/>
      <c r="CO403" s="120"/>
      <c r="CP403" s="119"/>
      <c r="CQ403" s="119" t="s">
        <v>1356</v>
      </c>
      <c r="CR403" s="119"/>
      <c r="CS403" s="120"/>
      <c r="CT403" s="119"/>
      <c r="CU403" s="120"/>
      <c r="CV403" s="119"/>
      <c r="CW403" s="119" t="s">
        <v>1356</v>
      </c>
      <c r="CX403" s="119"/>
      <c r="CY403" s="120"/>
      <c r="CZ403" s="119"/>
      <c r="DA403" s="120"/>
      <c r="DB403" s="36" t="s">
        <v>7085</v>
      </c>
      <c r="DC403" s="59" t="s">
        <v>6751</v>
      </c>
    </row>
    <row r="404" spans="1:107" s="40" customFormat="1" x14ac:dyDescent="0.3">
      <c r="A404" s="35" t="s">
        <v>4219</v>
      </c>
      <c r="B404" s="35" t="s">
        <v>4285</v>
      </c>
      <c r="C404" s="35" t="s">
        <v>4286</v>
      </c>
      <c r="D404" s="35" t="s">
        <v>4287</v>
      </c>
      <c r="E404" s="35" t="s">
        <v>4288</v>
      </c>
      <c r="F404" s="35" t="s">
        <v>4289</v>
      </c>
      <c r="G404" s="35" t="s">
        <v>4230</v>
      </c>
      <c r="H404" s="27" t="s">
        <v>6934</v>
      </c>
      <c r="I404" s="62">
        <v>2401</v>
      </c>
      <c r="J404" s="62">
        <v>240150</v>
      </c>
      <c r="K404" s="63">
        <v>3</v>
      </c>
      <c r="L404" s="35" t="s">
        <v>4290</v>
      </c>
      <c r="M404" s="35" t="s">
        <v>258</v>
      </c>
      <c r="N404" s="35"/>
      <c r="O404" s="35"/>
      <c r="P404" s="35"/>
      <c r="Q404" s="35"/>
      <c r="R404" s="35"/>
      <c r="S404" s="35"/>
      <c r="T404" s="35"/>
      <c r="U404" s="35"/>
      <c r="V404" s="35"/>
      <c r="W404" s="35" t="s">
        <v>4291</v>
      </c>
      <c r="X404" s="35"/>
      <c r="Y404" s="35" t="s">
        <v>4292</v>
      </c>
      <c r="Z404" s="35"/>
      <c r="AA404" s="35"/>
      <c r="AB404" s="35"/>
      <c r="AC404" s="35"/>
      <c r="AD404" s="35"/>
      <c r="AE404" s="63">
        <v>2</v>
      </c>
      <c r="AF404" s="63" t="s">
        <v>64</v>
      </c>
      <c r="AG404" s="29" t="s">
        <v>65</v>
      </c>
      <c r="AH404" s="75"/>
      <c r="AI404" s="65" t="s">
        <v>66</v>
      </c>
      <c r="AJ404" s="32" t="s">
        <v>6938</v>
      </c>
      <c r="AK404" s="33" t="s">
        <v>67</v>
      </c>
      <c r="AL404" s="34">
        <v>45562</v>
      </c>
      <c r="AM404" s="35" t="s">
        <v>66</v>
      </c>
      <c r="AN404" s="35"/>
      <c r="AO404" s="35"/>
      <c r="AP404" s="35"/>
      <c r="AQ404" s="37">
        <f t="shared" si="21"/>
        <v>0</v>
      </c>
      <c r="AR404" s="38">
        <f t="shared" si="22"/>
        <v>0</v>
      </c>
      <c r="AS404" s="39">
        <f t="shared" si="23"/>
        <v>0</v>
      </c>
      <c r="AT404" s="99"/>
      <c r="AU404" s="99" t="s">
        <v>1356</v>
      </c>
      <c r="AV404" s="99"/>
      <c r="AW404" s="100"/>
      <c r="AX404" s="99"/>
      <c r="AY404" s="101"/>
      <c r="AZ404" s="99"/>
      <c r="BA404" s="99" t="s">
        <v>1356</v>
      </c>
      <c r="BB404" s="99"/>
      <c r="BC404" s="101"/>
      <c r="BD404" s="99"/>
      <c r="BE404" s="101"/>
      <c r="BF404" s="99"/>
      <c r="BG404" s="99" t="s">
        <v>1356</v>
      </c>
      <c r="BH404" s="99"/>
      <c r="BI404" s="101"/>
      <c r="BJ404" s="99"/>
      <c r="BK404" s="101"/>
      <c r="BL404" s="99"/>
      <c r="BM404" s="99" t="s">
        <v>1356</v>
      </c>
      <c r="BN404" s="99"/>
      <c r="BO404" s="101"/>
      <c r="BP404" s="99"/>
      <c r="BQ404" s="101"/>
      <c r="BR404" s="99"/>
      <c r="BS404" s="99" t="s">
        <v>1356</v>
      </c>
      <c r="BT404" s="99"/>
      <c r="BU404" s="101"/>
      <c r="BV404" s="99"/>
      <c r="BW404" s="101"/>
      <c r="BX404" s="119"/>
      <c r="BY404" s="119" t="s">
        <v>1356</v>
      </c>
      <c r="BZ404" s="119"/>
      <c r="CA404" s="120"/>
      <c r="CB404" s="119"/>
      <c r="CC404" s="120"/>
      <c r="CD404" s="119"/>
      <c r="CE404" s="119" t="s">
        <v>1356</v>
      </c>
      <c r="CF404" s="119"/>
      <c r="CG404" s="120"/>
      <c r="CH404" s="119"/>
      <c r="CI404" s="120"/>
      <c r="CJ404" s="119"/>
      <c r="CK404" s="119" t="s">
        <v>1356</v>
      </c>
      <c r="CL404" s="119"/>
      <c r="CM404" s="120"/>
      <c r="CN404" s="119"/>
      <c r="CO404" s="120"/>
      <c r="CP404" s="119"/>
      <c r="CQ404" s="119" t="s">
        <v>1356</v>
      </c>
      <c r="CR404" s="119"/>
      <c r="CS404" s="120"/>
      <c r="CT404" s="119"/>
      <c r="CU404" s="120"/>
      <c r="CV404" s="119"/>
      <c r="CW404" s="119" t="s">
        <v>1356</v>
      </c>
      <c r="CX404" s="119"/>
      <c r="CY404" s="120"/>
      <c r="CZ404" s="119"/>
      <c r="DA404" s="120"/>
      <c r="DB404" s="36" t="s">
        <v>7085</v>
      </c>
      <c r="DC404" s="59" t="s">
        <v>6751</v>
      </c>
    </row>
    <row r="405" spans="1:107" s="40" customFormat="1" x14ac:dyDescent="0.3">
      <c r="A405" s="35" t="s">
        <v>4219</v>
      </c>
      <c r="B405" s="35" t="s">
        <v>4293</v>
      </c>
      <c r="C405" s="35" t="s">
        <v>4294</v>
      </c>
      <c r="D405" s="35" t="s">
        <v>4295</v>
      </c>
      <c r="E405" s="35" t="s">
        <v>70</v>
      </c>
      <c r="F405" s="35" t="s">
        <v>4289</v>
      </c>
      <c r="G405" s="35" t="s">
        <v>4230</v>
      </c>
      <c r="H405" s="27" t="s">
        <v>6934</v>
      </c>
      <c r="I405" s="62">
        <v>2401</v>
      </c>
      <c r="J405" s="62">
        <v>240150</v>
      </c>
      <c r="K405" s="63">
        <v>3</v>
      </c>
      <c r="L405" s="35" t="s">
        <v>4296</v>
      </c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 t="s">
        <v>4297</v>
      </c>
      <c r="Z405" s="35"/>
      <c r="AA405" s="35"/>
      <c r="AB405" s="35"/>
      <c r="AC405" s="35"/>
      <c r="AD405" s="35"/>
      <c r="AE405" s="63">
        <v>2</v>
      </c>
      <c r="AF405" s="63" t="s">
        <v>64</v>
      </c>
      <c r="AG405" s="29" t="s">
        <v>65</v>
      </c>
      <c r="AH405" s="75"/>
      <c r="AI405" s="65" t="s">
        <v>66</v>
      </c>
      <c r="AJ405" s="32" t="s">
        <v>6938</v>
      </c>
      <c r="AK405" s="33" t="s">
        <v>67</v>
      </c>
      <c r="AL405" s="34">
        <v>45579</v>
      </c>
      <c r="AM405" s="35" t="s">
        <v>66</v>
      </c>
      <c r="AN405" s="35"/>
      <c r="AO405" s="35"/>
      <c r="AP405" s="35"/>
      <c r="AQ405" s="37">
        <f t="shared" si="21"/>
        <v>0</v>
      </c>
      <c r="AR405" s="38">
        <f t="shared" si="22"/>
        <v>0</v>
      </c>
      <c r="AS405" s="39">
        <f t="shared" si="23"/>
        <v>0</v>
      </c>
      <c r="AT405" s="99"/>
      <c r="AU405" s="99" t="s">
        <v>1356</v>
      </c>
      <c r="AV405" s="99"/>
      <c r="AW405" s="100"/>
      <c r="AX405" s="99"/>
      <c r="AY405" s="101"/>
      <c r="AZ405" s="99"/>
      <c r="BA405" s="99" t="s">
        <v>1356</v>
      </c>
      <c r="BB405" s="99"/>
      <c r="BC405" s="101"/>
      <c r="BD405" s="99"/>
      <c r="BE405" s="101"/>
      <c r="BF405" s="99"/>
      <c r="BG405" s="99" t="s">
        <v>1356</v>
      </c>
      <c r="BH405" s="99"/>
      <c r="BI405" s="101"/>
      <c r="BJ405" s="99"/>
      <c r="BK405" s="101"/>
      <c r="BL405" s="99"/>
      <c r="BM405" s="99" t="s">
        <v>1356</v>
      </c>
      <c r="BN405" s="99"/>
      <c r="BO405" s="101"/>
      <c r="BP405" s="99"/>
      <c r="BQ405" s="101"/>
      <c r="BR405" s="99"/>
      <c r="BS405" s="99" t="s">
        <v>1356</v>
      </c>
      <c r="BT405" s="99"/>
      <c r="BU405" s="101"/>
      <c r="BV405" s="99"/>
      <c r="BW405" s="101"/>
      <c r="BX405" s="119"/>
      <c r="BY405" s="119" t="s">
        <v>1356</v>
      </c>
      <c r="BZ405" s="119"/>
      <c r="CA405" s="120"/>
      <c r="CB405" s="119"/>
      <c r="CC405" s="120"/>
      <c r="CD405" s="119"/>
      <c r="CE405" s="119" t="s">
        <v>1356</v>
      </c>
      <c r="CF405" s="119"/>
      <c r="CG405" s="120"/>
      <c r="CH405" s="119"/>
      <c r="CI405" s="120"/>
      <c r="CJ405" s="119"/>
      <c r="CK405" s="119" t="s">
        <v>1356</v>
      </c>
      <c r="CL405" s="119"/>
      <c r="CM405" s="120"/>
      <c r="CN405" s="119"/>
      <c r="CO405" s="120"/>
      <c r="CP405" s="119"/>
      <c r="CQ405" s="119" t="s">
        <v>1356</v>
      </c>
      <c r="CR405" s="119"/>
      <c r="CS405" s="120"/>
      <c r="CT405" s="119"/>
      <c r="CU405" s="120"/>
      <c r="CV405" s="119"/>
      <c r="CW405" s="119" t="s">
        <v>1356</v>
      </c>
      <c r="CX405" s="119"/>
      <c r="CY405" s="120"/>
      <c r="CZ405" s="119"/>
      <c r="DA405" s="120"/>
      <c r="DB405" s="36" t="s">
        <v>7085</v>
      </c>
      <c r="DC405" s="59" t="s">
        <v>6751</v>
      </c>
    </row>
    <row r="406" spans="1:107" s="40" customFormat="1" ht="14.55" customHeight="1" x14ac:dyDescent="0.3">
      <c r="A406" s="35" t="s">
        <v>4219</v>
      </c>
      <c r="B406" s="35" t="s">
        <v>4298</v>
      </c>
      <c r="C406" s="35" t="s">
        <v>4299</v>
      </c>
      <c r="D406" s="35" t="s">
        <v>4300</v>
      </c>
      <c r="E406" s="35" t="s">
        <v>70</v>
      </c>
      <c r="F406" s="35" t="s">
        <v>4289</v>
      </c>
      <c r="G406" s="35" t="s">
        <v>4237</v>
      </c>
      <c r="H406" s="27" t="s">
        <v>686</v>
      </c>
      <c r="I406" s="62">
        <v>901</v>
      </c>
      <c r="J406" s="62">
        <v>90150</v>
      </c>
      <c r="K406" s="63">
        <v>3</v>
      </c>
      <c r="L406" s="35" t="s">
        <v>4301</v>
      </c>
      <c r="M406" s="35" t="s">
        <v>4302</v>
      </c>
      <c r="N406" s="35" t="s">
        <v>4303</v>
      </c>
      <c r="O406" s="35"/>
      <c r="P406" s="35"/>
      <c r="Q406" s="35"/>
      <c r="R406" s="35"/>
      <c r="S406" s="35"/>
      <c r="T406" s="35"/>
      <c r="U406" s="35"/>
      <c r="V406" s="35"/>
      <c r="W406" s="35" t="s">
        <v>4304</v>
      </c>
      <c r="X406" s="35" t="s">
        <v>4305</v>
      </c>
      <c r="Y406" s="35" t="s">
        <v>4306</v>
      </c>
      <c r="Z406" s="35"/>
      <c r="AA406" s="35"/>
      <c r="AB406" s="35"/>
      <c r="AC406" s="35"/>
      <c r="AD406" s="35"/>
      <c r="AE406" s="63">
        <v>2</v>
      </c>
      <c r="AF406" s="63" t="s">
        <v>64</v>
      </c>
      <c r="AG406" s="29" t="s">
        <v>65</v>
      </c>
      <c r="AH406" s="75"/>
      <c r="AI406" s="65" t="s">
        <v>66</v>
      </c>
      <c r="AJ406" s="32" t="s">
        <v>6938</v>
      </c>
      <c r="AK406" s="33" t="s">
        <v>67</v>
      </c>
      <c r="AL406" s="34">
        <v>45568</v>
      </c>
      <c r="AM406" s="35" t="s">
        <v>66</v>
      </c>
      <c r="AN406" s="35"/>
      <c r="AO406" s="35"/>
      <c r="AP406" s="35"/>
      <c r="AQ406" s="37">
        <f t="shared" si="21"/>
        <v>0</v>
      </c>
      <c r="AR406" s="38">
        <f t="shared" si="22"/>
        <v>0</v>
      </c>
      <c r="AS406" s="39">
        <f t="shared" si="23"/>
        <v>0</v>
      </c>
      <c r="AT406" s="99"/>
      <c r="AU406" s="99" t="s">
        <v>1356</v>
      </c>
      <c r="AV406" s="99"/>
      <c r="AW406" s="100"/>
      <c r="AX406" s="99"/>
      <c r="AY406" s="101"/>
      <c r="AZ406" s="99"/>
      <c r="BA406" s="99" t="s">
        <v>1356</v>
      </c>
      <c r="BB406" s="99"/>
      <c r="BC406" s="101"/>
      <c r="BD406" s="99"/>
      <c r="BE406" s="101"/>
      <c r="BF406" s="99"/>
      <c r="BG406" s="99" t="s">
        <v>1356</v>
      </c>
      <c r="BH406" s="99"/>
      <c r="BI406" s="101"/>
      <c r="BJ406" s="99"/>
      <c r="BK406" s="101"/>
      <c r="BL406" s="99"/>
      <c r="BM406" s="99" t="s">
        <v>1356</v>
      </c>
      <c r="BN406" s="99"/>
      <c r="BO406" s="101"/>
      <c r="BP406" s="99"/>
      <c r="BQ406" s="101"/>
      <c r="BR406" s="99"/>
      <c r="BS406" s="99" t="s">
        <v>1356</v>
      </c>
      <c r="BT406" s="99"/>
      <c r="BU406" s="101"/>
      <c r="BV406" s="99"/>
      <c r="BW406" s="101"/>
      <c r="BX406" s="119"/>
      <c r="BY406" s="119" t="s">
        <v>1356</v>
      </c>
      <c r="BZ406" s="119"/>
      <c r="CA406" s="120"/>
      <c r="CB406" s="119"/>
      <c r="CC406" s="120"/>
      <c r="CD406" s="119"/>
      <c r="CE406" s="119" t="s">
        <v>1356</v>
      </c>
      <c r="CF406" s="119"/>
      <c r="CG406" s="120"/>
      <c r="CH406" s="119"/>
      <c r="CI406" s="120"/>
      <c r="CJ406" s="119"/>
      <c r="CK406" s="119" t="s">
        <v>1356</v>
      </c>
      <c r="CL406" s="119"/>
      <c r="CM406" s="120"/>
      <c r="CN406" s="119"/>
      <c r="CO406" s="120"/>
      <c r="CP406" s="119"/>
      <c r="CQ406" s="119" t="s">
        <v>1356</v>
      </c>
      <c r="CR406" s="119"/>
      <c r="CS406" s="120"/>
      <c r="CT406" s="119"/>
      <c r="CU406" s="120"/>
      <c r="CV406" s="119"/>
      <c r="CW406" s="119" t="s">
        <v>1356</v>
      </c>
      <c r="CX406" s="119"/>
      <c r="CY406" s="120"/>
      <c r="CZ406" s="119"/>
      <c r="DA406" s="120"/>
      <c r="DB406" s="36" t="s">
        <v>7085</v>
      </c>
      <c r="DC406" s="59" t="s">
        <v>105</v>
      </c>
    </row>
    <row r="407" spans="1:107" s="40" customFormat="1" x14ac:dyDescent="0.3">
      <c r="A407" s="66" t="s">
        <v>3500</v>
      </c>
      <c r="B407" s="66" t="s">
        <v>3687</v>
      </c>
      <c r="C407" s="66" t="s">
        <v>3688</v>
      </c>
      <c r="D407" s="66" t="s">
        <v>1056</v>
      </c>
      <c r="E407" s="66" t="s">
        <v>1057</v>
      </c>
      <c r="F407" s="66" t="s">
        <v>81</v>
      </c>
      <c r="G407" s="68" t="s">
        <v>57</v>
      </c>
      <c r="H407" s="43" t="s">
        <v>6922</v>
      </c>
      <c r="I407" s="68">
        <v>805</v>
      </c>
      <c r="J407" s="68">
        <v>80554</v>
      </c>
      <c r="K407" s="69">
        <v>4</v>
      </c>
      <c r="L407" s="66" t="s">
        <v>1058</v>
      </c>
      <c r="M407" s="66"/>
      <c r="N407" s="66" t="s">
        <v>258</v>
      </c>
      <c r="O407" s="66" t="s">
        <v>1059</v>
      </c>
      <c r="P407" s="66"/>
      <c r="Q407" s="66"/>
      <c r="R407" s="66" t="s">
        <v>60</v>
      </c>
      <c r="S407" s="66"/>
      <c r="T407" s="66"/>
      <c r="U407" s="66"/>
      <c r="V407" s="66"/>
      <c r="W407" s="66" t="s">
        <v>1060</v>
      </c>
      <c r="X407" s="66" t="s">
        <v>1061</v>
      </c>
      <c r="Y407" s="66" t="s">
        <v>1062</v>
      </c>
      <c r="Z407" s="66"/>
      <c r="AA407" s="66"/>
      <c r="AB407" s="66">
        <v>80554999</v>
      </c>
      <c r="AC407" s="66">
        <v>80554999002</v>
      </c>
      <c r="AD407" s="66"/>
      <c r="AE407" s="69">
        <v>5</v>
      </c>
      <c r="AF407" s="69" t="s">
        <v>772</v>
      </c>
      <c r="AG407" s="46" t="s">
        <v>66</v>
      </c>
      <c r="AH407" s="70">
        <v>40879</v>
      </c>
      <c r="AI407" s="71" t="s">
        <v>66</v>
      </c>
      <c r="AJ407" s="49" t="s">
        <v>6938</v>
      </c>
      <c r="AK407" s="50" t="s">
        <v>67</v>
      </c>
      <c r="AL407" s="58">
        <v>45583</v>
      </c>
      <c r="AM407" s="52" t="s">
        <v>66</v>
      </c>
      <c r="AN407" s="52"/>
      <c r="AO407" s="52"/>
      <c r="AP407" s="52"/>
      <c r="AQ407" s="53">
        <f t="shared" si="21"/>
        <v>2</v>
      </c>
      <c r="AR407" s="54">
        <f t="shared" si="22"/>
        <v>0</v>
      </c>
      <c r="AS407" s="55">
        <f t="shared" si="23"/>
        <v>2</v>
      </c>
      <c r="AT407" s="102" t="s">
        <v>386</v>
      </c>
      <c r="AU407" s="103" t="s">
        <v>5215</v>
      </c>
      <c r="AV407" s="104">
        <v>950</v>
      </c>
      <c r="AW407" s="105">
        <v>45583</v>
      </c>
      <c r="AX407" s="104">
        <v>1300</v>
      </c>
      <c r="AY407" s="106">
        <v>45610</v>
      </c>
      <c r="AZ407" s="102" t="s">
        <v>1063</v>
      </c>
      <c r="BA407" s="103" t="s">
        <v>6713</v>
      </c>
      <c r="BB407" s="104">
        <v>185</v>
      </c>
      <c r="BC407" s="106">
        <v>45583</v>
      </c>
      <c r="BD407" s="104">
        <v>205</v>
      </c>
      <c r="BE407" s="106">
        <v>45610</v>
      </c>
      <c r="BF407" s="102"/>
      <c r="BG407" s="103" t="s">
        <v>1356</v>
      </c>
      <c r="BH407" s="104"/>
      <c r="BI407" s="106"/>
      <c r="BJ407" s="104"/>
      <c r="BK407" s="106"/>
      <c r="BL407" s="102"/>
      <c r="BM407" s="103" t="s">
        <v>1356</v>
      </c>
      <c r="BN407" s="104"/>
      <c r="BO407" s="106"/>
      <c r="BP407" s="104"/>
      <c r="BQ407" s="106"/>
      <c r="BR407" s="102"/>
      <c r="BS407" s="103" t="s">
        <v>1356</v>
      </c>
      <c r="BT407" s="104"/>
      <c r="BU407" s="106"/>
      <c r="BV407" s="104"/>
      <c r="BW407" s="106"/>
      <c r="BX407" s="121"/>
      <c r="BY407" s="122" t="s">
        <v>1356</v>
      </c>
      <c r="BZ407" s="123"/>
      <c r="CA407" s="124"/>
      <c r="CB407" s="123"/>
      <c r="CC407" s="124"/>
      <c r="CD407" s="121"/>
      <c r="CE407" s="122" t="s">
        <v>1356</v>
      </c>
      <c r="CF407" s="123"/>
      <c r="CG407" s="124"/>
      <c r="CH407" s="123"/>
      <c r="CI407" s="124"/>
      <c r="CJ407" s="121"/>
      <c r="CK407" s="122" t="s">
        <v>1356</v>
      </c>
      <c r="CL407" s="123"/>
      <c r="CM407" s="124"/>
      <c r="CN407" s="123"/>
      <c r="CO407" s="124"/>
      <c r="CP407" s="121"/>
      <c r="CQ407" s="122" t="s">
        <v>1356</v>
      </c>
      <c r="CR407" s="123"/>
      <c r="CS407" s="124"/>
      <c r="CT407" s="123"/>
      <c r="CU407" s="124"/>
      <c r="CV407" s="121"/>
      <c r="CW407" s="122" t="s">
        <v>1356</v>
      </c>
      <c r="CX407" s="123"/>
      <c r="CY407" s="124"/>
      <c r="CZ407" s="123"/>
      <c r="DA407" s="124"/>
      <c r="DB407" s="52" t="s">
        <v>6962</v>
      </c>
      <c r="DC407" s="73" t="s">
        <v>105</v>
      </c>
    </row>
    <row r="408" spans="1:107" s="40" customFormat="1" x14ac:dyDescent="0.3">
      <c r="A408" s="35" t="s">
        <v>4219</v>
      </c>
      <c r="B408" s="35" t="s">
        <v>4317</v>
      </c>
      <c r="C408" s="35" t="s">
        <v>4318</v>
      </c>
      <c r="D408" s="35" t="s">
        <v>4319</v>
      </c>
      <c r="E408" s="35" t="s">
        <v>70</v>
      </c>
      <c r="F408" s="35" t="s">
        <v>4289</v>
      </c>
      <c r="G408" s="35" t="s">
        <v>461</v>
      </c>
      <c r="H408" s="27" t="s">
        <v>6933</v>
      </c>
      <c r="I408" s="62">
        <v>1308</v>
      </c>
      <c r="J408" s="62">
        <v>130850</v>
      </c>
      <c r="K408" s="63">
        <v>4</v>
      </c>
      <c r="L408" s="35" t="s">
        <v>4320</v>
      </c>
      <c r="M408" s="35"/>
      <c r="N408" s="35" t="s">
        <v>4321</v>
      </c>
      <c r="O408" s="35"/>
      <c r="P408" s="35"/>
      <c r="Q408" s="35"/>
      <c r="R408" s="35"/>
      <c r="S408" s="35"/>
      <c r="T408" s="35" t="s">
        <v>4322</v>
      </c>
      <c r="U408" s="35" t="s">
        <v>4323</v>
      </c>
      <c r="V408" s="35"/>
      <c r="W408" s="35" t="s">
        <v>4324</v>
      </c>
      <c r="X408" s="35"/>
      <c r="Y408" s="35"/>
      <c r="Z408" s="35"/>
      <c r="AA408" s="35"/>
      <c r="AB408" s="35"/>
      <c r="AC408" s="35"/>
      <c r="AD408" s="35"/>
      <c r="AE408" s="63">
        <v>2</v>
      </c>
      <c r="AF408" s="63" t="s">
        <v>64</v>
      </c>
      <c r="AG408" s="29" t="s">
        <v>65</v>
      </c>
      <c r="AH408" s="75"/>
      <c r="AI408" s="65" t="s">
        <v>66</v>
      </c>
      <c r="AJ408" s="32" t="s">
        <v>6938</v>
      </c>
      <c r="AK408" s="33" t="s">
        <v>67</v>
      </c>
      <c r="AL408" s="58">
        <v>45569</v>
      </c>
      <c r="AM408" s="35" t="s">
        <v>66</v>
      </c>
      <c r="AN408" s="35"/>
      <c r="AO408" s="35"/>
      <c r="AP408" s="35"/>
      <c r="AQ408" s="37">
        <f t="shared" si="21"/>
        <v>0</v>
      </c>
      <c r="AR408" s="38">
        <f t="shared" si="22"/>
        <v>0</v>
      </c>
      <c r="AS408" s="39">
        <f t="shared" si="23"/>
        <v>0</v>
      </c>
      <c r="AT408" s="99"/>
      <c r="AU408" s="99" t="s">
        <v>1356</v>
      </c>
      <c r="AV408" s="99"/>
      <c r="AW408" s="100"/>
      <c r="AX408" s="99"/>
      <c r="AY408" s="101"/>
      <c r="AZ408" s="99"/>
      <c r="BA408" s="99" t="s">
        <v>1356</v>
      </c>
      <c r="BB408" s="99"/>
      <c r="BC408" s="101"/>
      <c r="BD408" s="99"/>
      <c r="BE408" s="101"/>
      <c r="BF408" s="99"/>
      <c r="BG408" s="99" t="s">
        <v>1356</v>
      </c>
      <c r="BH408" s="99"/>
      <c r="BI408" s="101"/>
      <c r="BJ408" s="99"/>
      <c r="BK408" s="101"/>
      <c r="BL408" s="99"/>
      <c r="BM408" s="99" t="s">
        <v>1356</v>
      </c>
      <c r="BN408" s="99"/>
      <c r="BO408" s="101"/>
      <c r="BP408" s="99"/>
      <c r="BQ408" s="101"/>
      <c r="BR408" s="99"/>
      <c r="BS408" s="99" t="s">
        <v>1356</v>
      </c>
      <c r="BT408" s="99"/>
      <c r="BU408" s="101"/>
      <c r="BV408" s="99"/>
      <c r="BW408" s="101"/>
      <c r="BX408" s="119"/>
      <c r="BY408" s="119" t="s">
        <v>1356</v>
      </c>
      <c r="BZ408" s="119"/>
      <c r="CA408" s="120"/>
      <c r="CB408" s="119"/>
      <c r="CC408" s="120"/>
      <c r="CD408" s="119"/>
      <c r="CE408" s="119" t="s">
        <v>1356</v>
      </c>
      <c r="CF408" s="119"/>
      <c r="CG408" s="120"/>
      <c r="CH408" s="119"/>
      <c r="CI408" s="120"/>
      <c r="CJ408" s="119"/>
      <c r="CK408" s="119" t="s">
        <v>1356</v>
      </c>
      <c r="CL408" s="119"/>
      <c r="CM408" s="120"/>
      <c r="CN408" s="119"/>
      <c r="CO408" s="120"/>
      <c r="CP408" s="119"/>
      <c r="CQ408" s="119" t="s">
        <v>1356</v>
      </c>
      <c r="CR408" s="119"/>
      <c r="CS408" s="120"/>
      <c r="CT408" s="119"/>
      <c r="CU408" s="120"/>
      <c r="CV408" s="119"/>
      <c r="CW408" s="119" t="s">
        <v>1356</v>
      </c>
      <c r="CX408" s="119"/>
      <c r="CY408" s="120"/>
      <c r="CZ408" s="119"/>
      <c r="DA408" s="120"/>
      <c r="DB408" s="36" t="s">
        <v>7085</v>
      </c>
      <c r="DC408" s="59" t="s">
        <v>6751</v>
      </c>
    </row>
    <row r="409" spans="1:107" s="40" customFormat="1" x14ac:dyDescent="0.3">
      <c r="A409" s="35" t="s">
        <v>4219</v>
      </c>
      <c r="B409" s="35" t="s">
        <v>4325</v>
      </c>
      <c r="C409" s="35" t="s">
        <v>4326</v>
      </c>
      <c r="D409" s="35" t="s">
        <v>4327</v>
      </c>
      <c r="E409" s="35" t="s">
        <v>4328</v>
      </c>
      <c r="F409" s="35" t="s">
        <v>81</v>
      </c>
      <c r="G409" s="35" t="s">
        <v>4329</v>
      </c>
      <c r="H409" s="27" t="s">
        <v>6935</v>
      </c>
      <c r="I409" s="62">
        <v>2302</v>
      </c>
      <c r="J409" s="62">
        <v>230253</v>
      </c>
      <c r="K409" s="63">
        <v>4</v>
      </c>
      <c r="L409" s="35" t="s">
        <v>4330</v>
      </c>
      <c r="M409" s="35"/>
      <c r="N409" s="35"/>
      <c r="O409" s="35" t="s">
        <v>4331</v>
      </c>
      <c r="P409" s="35"/>
      <c r="Q409" s="35" t="s">
        <v>4332</v>
      </c>
      <c r="R409" s="35"/>
      <c r="S409" s="35"/>
      <c r="T409" s="35"/>
      <c r="U409" s="35"/>
      <c r="V409" s="35"/>
      <c r="W409" s="35" t="s">
        <v>4333</v>
      </c>
      <c r="X409" s="35" t="s">
        <v>4334</v>
      </c>
      <c r="Y409" s="35" t="s">
        <v>4335</v>
      </c>
      <c r="Z409" s="35"/>
      <c r="AA409" s="35"/>
      <c r="AB409" s="35">
        <v>230253999</v>
      </c>
      <c r="AC409" s="35">
        <v>230253999009</v>
      </c>
      <c r="AD409" s="35">
        <v>230253999009001</v>
      </c>
      <c r="AE409" s="63">
        <v>2</v>
      </c>
      <c r="AF409" s="63" t="s">
        <v>64</v>
      </c>
      <c r="AG409" s="29" t="s">
        <v>65</v>
      </c>
      <c r="AH409" s="75"/>
      <c r="AI409" s="65" t="s">
        <v>66</v>
      </c>
      <c r="AJ409" s="32" t="s">
        <v>6938</v>
      </c>
      <c r="AK409" s="33" t="s">
        <v>67</v>
      </c>
      <c r="AL409" s="34">
        <v>45573</v>
      </c>
      <c r="AM409" s="35" t="s">
        <v>66</v>
      </c>
      <c r="AN409" s="35"/>
      <c r="AO409" s="35"/>
      <c r="AP409" s="35"/>
      <c r="AQ409" s="37">
        <f t="shared" si="21"/>
        <v>0</v>
      </c>
      <c r="AR409" s="38">
        <f t="shared" si="22"/>
        <v>0</v>
      </c>
      <c r="AS409" s="39">
        <f t="shared" si="23"/>
        <v>0</v>
      </c>
      <c r="AT409" s="99"/>
      <c r="AU409" s="99" t="s">
        <v>1356</v>
      </c>
      <c r="AV409" s="99"/>
      <c r="AW409" s="100"/>
      <c r="AX409" s="99"/>
      <c r="AY409" s="101"/>
      <c r="AZ409" s="99"/>
      <c r="BA409" s="99" t="s">
        <v>1356</v>
      </c>
      <c r="BB409" s="99"/>
      <c r="BC409" s="101"/>
      <c r="BD409" s="99"/>
      <c r="BE409" s="101"/>
      <c r="BF409" s="99"/>
      <c r="BG409" s="99" t="s">
        <v>1356</v>
      </c>
      <c r="BH409" s="99"/>
      <c r="BI409" s="101"/>
      <c r="BJ409" s="99"/>
      <c r="BK409" s="101"/>
      <c r="BL409" s="99"/>
      <c r="BM409" s="99" t="s">
        <v>1356</v>
      </c>
      <c r="BN409" s="99"/>
      <c r="BO409" s="101"/>
      <c r="BP409" s="99"/>
      <c r="BQ409" s="101"/>
      <c r="BR409" s="99"/>
      <c r="BS409" s="99" t="s">
        <v>1356</v>
      </c>
      <c r="BT409" s="99"/>
      <c r="BU409" s="101"/>
      <c r="BV409" s="99"/>
      <c r="BW409" s="101"/>
      <c r="BX409" s="119"/>
      <c r="BY409" s="119" t="s">
        <v>1356</v>
      </c>
      <c r="BZ409" s="119"/>
      <c r="CA409" s="120"/>
      <c r="CB409" s="119"/>
      <c r="CC409" s="120"/>
      <c r="CD409" s="119"/>
      <c r="CE409" s="119" t="s">
        <v>1356</v>
      </c>
      <c r="CF409" s="119"/>
      <c r="CG409" s="120"/>
      <c r="CH409" s="119"/>
      <c r="CI409" s="120"/>
      <c r="CJ409" s="119"/>
      <c r="CK409" s="119" t="s">
        <v>1356</v>
      </c>
      <c r="CL409" s="119"/>
      <c r="CM409" s="120"/>
      <c r="CN409" s="119"/>
      <c r="CO409" s="120"/>
      <c r="CP409" s="119"/>
      <c r="CQ409" s="119" t="s">
        <v>1356</v>
      </c>
      <c r="CR409" s="119"/>
      <c r="CS409" s="120"/>
      <c r="CT409" s="119"/>
      <c r="CU409" s="120"/>
      <c r="CV409" s="119"/>
      <c r="CW409" s="119" t="s">
        <v>1356</v>
      </c>
      <c r="CX409" s="119"/>
      <c r="CY409" s="120"/>
      <c r="CZ409" s="119"/>
      <c r="DA409" s="120"/>
      <c r="DB409" s="36" t="s">
        <v>7085</v>
      </c>
      <c r="DC409" s="59" t="s">
        <v>105</v>
      </c>
    </row>
    <row r="410" spans="1:107" s="40" customFormat="1" x14ac:dyDescent="0.3">
      <c r="A410" s="35" t="s">
        <v>4219</v>
      </c>
      <c r="B410" s="35" t="s">
        <v>4336</v>
      </c>
      <c r="C410" s="35" t="s">
        <v>4337</v>
      </c>
      <c r="D410" s="35" t="s">
        <v>4338</v>
      </c>
      <c r="E410" s="35" t="s">
        <v>4339</v>
      </c>
      <c r="F410" s="35" t="s">
        <v>836</v>
      </c>
      <c r="G410" s="35" t="s">
        <v>4329</v>
      </c>
      <c r="H410" s="27" t="s">
        <v>6935</v>
      </c>
      <c r="I410" s="62">
        <v>2301</v>
      </c>
      <c r="J410" s="62">
        <v>230155</v>
      </c>
      <c r="K410" s="63">
        <v>4</v>
      </c>
      <c r="L410" s="35" t="s">
        <v>4340</v>
      </c>
      <c r="M410" s="35"/>
      <c r="N410" s="35"/>
      <c r="O410" s="35" t="s">
        <v>4341</v>
      </c>
      <c r="P410" s="35"/>
      <c r="Q410" s="35"/>
      <c r="R410" s="35"/>
      <c r="S410" s="35"/>
      <c r="T410" s="35"/>
      <c r="U410" s="35" t="s">
        <v>4342</v>
      </c>
      <c r="V410" s="35"/>
      <c r="W410" s="35" t="s">
        <v>4343</v>
      </c>
      <c r="X410" s="35" t="s">
        <v>4344</v>
      </c>
      <c r="Y410" s="35" t="s">
        <v>4345</v>
      </c>
      <c r="Z410" s="35">
        <v>-79.318376000000001</v>
      </c>
      <c r="AA410" s="35">
        <v>-8.3865999999999996E-2</v>
      </c>
      <c r="AB410" s="35">
        <v>230155001</v>
      </c>
      <c r="AC410" s="35">
        <v>230155001005</v>
      </c>
      <c r="AD410" s="35">
        <v>230155001005009</v>
      </c>
      <c r="AE410" s="63">
        <v>2</v>
      </c>
      <c r="AF410" s="63" t="s">
        <v>64</v>
      </c>
      <c r="AG410" s="29" t="s">
        <v>65</v>
      </c>
      <c r="AH410" s="75"/>
      <c r="AI410" s="65" t="s">
        <v>66</v>
      </c>
      <c r="AJ410" s="32" t="s">
        <v>6938</v>
      </c>
      <c r="AK410" s="33" t="s">
        <v>67</v>
      </c>
      <c r="AL410" s="58">
        <v>45573</v>
      </c>
      <c r="AM410" s="35" t="s">
        <v>66</v>
      </c>
      <c r="AN410" s="35"/>
      <c r="AO410" s="35"/>
      <c r="AP410" s="35"/>
      <c r="AQ410" s="37">
        <f t="shared" si="21"/>
        <v>0</v>
      </c>
      <c r="AR410" s="38">
        <f t="shared" si="22"/>
        <v>0</v>
      </c>
      <c r="AS410" s="39">
        <f t="shared" si="23"/>
        <v>0</v>
      </c>
      <c r="AT410" s="99"/>
      <c r="AU410" s="99" t="s">
        <v>1356</v>
      </c>
      <c r="AV410" s="99"/>
      <c r="AW410" s="100"/>
      <c r="AX410" s="99"/>
      <c r="AY410" s="101"/>
      <c r="AZ410" s="99"/>
      <c r="BA410" s="99" t="s">
        <v>1356</v>
      </c>
      <c r="BB410" s="99"/>
      <c r="BC410" s="101"/>
      <c r="BD410" s="99"/>
      <c r="BE410" s="101"/>
      <c r="BF410" s="99"/>
      <c r="BG410" s="99" t="s">
        <v>1356</v>
      </c>
      <c r="BH410" s="99"/>
      <c r="BI410" s="101"/>
      <c r="BJ410" s="99"/>
      <c r="BK410" s="101"/>
      <c r="BL410" s="99"/>
      <c r="BM410" s="99" t="s">
        <v>1356</v>
      </c>
      <c r="BN410" s="99"/>
      <c r="BO410" s="101"/>
      <c r="BP410" s="99"/>
      <c r="BQ410" s="101"/>
      <c r="BR410" s="99"/>
      <c r="BS410" s="99" t="s">
        <v>1356</v>
      </c>
      <c r="BT410" s="99"/>
      <c r="BU410" s="101"/>
      <c r="BV410" s="99"/>
      <c r="BW410" s="101"/>
      <c r="BX410" s="119"/>
      <c r="BY410" s="119" t="s">
        <v>1356</v>
      </c>
      <c r="BZ410" s="119"/>
      <c r="CA410" s="120"/>
      <c r="CB410" s="119"/>
      <c r="CC410" s="120"/>
      <c r="CD410" s="119"/>
      <c r="CE410" s="119" t="s">
        <v>1356</v>
      </c>
      <c r="CF410" s="119"/>
      <c r="CG410" s="120"/>
      <c r="CH410" s="119"/>
      <c r="CI410" s="120"/>
      <c r="CJ410" s="119"/>
      <c r="CK410" s="119" t="s">
        <v>1356</v>
      </c>
      <c r="CL410" s="119"/>
      <c r="CM410" s="120"/>
      <c r="CN410" s="119"/>
      <c r="CO410" s="120"/>
      <c r="CP410" s="119"/>
      <c r="CQ410" s="119" t="s">
        <v>1356</v>
      </c>
      <c r="CR410" s="119"/>
      <c r="CS410" s="120"/>
      <c r="CT410" s="119"/>
      <c r="CU410" s="120"/>
      <c r="CV410" s="119"/>
      <c r="CW410" s="119" t="s">
        <v>1356</v>
      </c>
      <c r="CX410" s="119"/>
      <c r="CY410" s="120"/>
      <c r="CZ410" s="119"/>
      <c r="DA410" s="120"/>
      <c r="DB410" s="36" t="s">
        <v>7085</v>
      </c>
      <c r="DC410" s="59" t="s">
        <v>105</v>
      </c>
    </row>
    <row r="411" spans="1:107" s="40" customFormat="1" ht="14.55" customHeight="1" x14ac:dyDescent="0.3">
      <c r="A411" s="35" t="s">
        <v>4219</v>
      </c>
      <c r="B411" s="35" t="s">
        <v>4346</v>
      </c>
      <c r="C411" s="35" t="s">
        <v>4347</v>
      </c>
      <c r="D411" s="35" t="s">
        <v>4348</v>
      </c>
      <c r="E411" s="35" t="s">
        <v>70</v>
      </c>
      <c r="F411" s="35" t="s">
        <v>836</v>
      </c>
      <c r="G411" s="35" t="s">
        <v>461</v>
      </c>
      <c r="H411" s="27" t="s">
        <v>6933</v>
      </c>
      <c r="I411" s="62">
        <v>1308</v>
      </c>
      <c r="J411" s="62">
        <v>130850</v>
      </c>
      <c r="K411" s="63">
        <v>4</v>
      </c>
      <c r="L411" s="35" t="s">
        <v>4349</v>
      </c>
      <c r="M411" s="35"/>
      <c r="N411" s="35" t="s">
        <v>4350</v>
      </c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63">
        <v>2</v>
      </c>
      <c r="AF411" s="63" t="s">
        <v>64</v>
      </c>
      <c r="AG411" s="29" t="s">
        <v>65</v>
      </c>
      <c r="AH411" s="75"/>
      <c r="AI411" s="65" t="s">
        <v>65</v>
      </c>
      <c r="AJ411" s="32" t="s">
        <v>6938</v>
      </c>
      <c r="AK411" s="33" t="s">
        <v>92</v>
      </c>
      <c r="AL411" s="34">
        <v>45560</v>
      </c>
      <c r="AM411" s="35"/>
      <c r="AN411" s="35"/>
      <c r="AO411" s="35"/>
      <c r="AP411" s="35"/>
      <c r="AQ411" s="37">
        <f t="shared" si="21"/>
        <v>0</v>
      </c>
      <c r="AR411" s="38">
        <f t="shared" si="22"/>
        <v>0</v>
      </c>
      <c r="AS411" s="39">
        <f t="shared" si="23"/>
        <v>0</v>
      </c>
      <c r="AT411" s="99"/>
      <c r="AU411" s="99" t="s">
        <v>1356</v>
      </c>
      <c r="AV411" s="99"/>
      <c r="AW411" s="100"/>
      <c r="AX411" s="99"/>
      <c r="AY411" s="101"/>
      <c r="AZ411" s="99"/>
      <c r="BA411" s="99" t="s">
        <v>1356</v>
      </c>
      <c r="BB411" s="99"/>
      <c r="BC411" s="101"/>
      <c r="BD411" s="99"/>
      <c r="BE411" s="101"/>
      <c r="BF411" s="99"/>
      <c r="BG411" s="99" t="s">
        <v>1356</v>
      </c>
      <c r="BH411" s="99"/>
      <c r="BI411" s="101"/>
      <c r="BJ411" s="99"/>
      <c r="BK411" s="101"/>
      <c r="BL411" s="99"/>
      <c r="BM411" s="99" t="s">
        <v>1356</v>
      </c>
      <c r="BN411" s="99"/>
      <c r="BO411" s="101"/>
      <c r="BP411" s="99"/>
      <c r="BQ411" s="101"/>
      <c r="BR411" s="99"/>
      <c r="BS411" s="99" t="s">
        <v>1356</v>
      </c>
      <c r="BT411" s="99"/>
      <c r="BU411" s="101"/>
      <c r="BV411" s="99"/>
      <c r="BW411" s="101"/>
      <c r="BX411" s="119"/>
      <c r="BY411" s="119" t="s">
        <v>1356</v>
      </c>
      <c r="BZ411" s="119"/>
      <c r="CA411" s="120"/>
      <c r="CB411" s="119"/>
      <c r="CC411" s="120"/>
      <c r="CD411" s="119"/>
      <c r="CE411" s="119" t="s">
        <v>1356</v>
      </c>
      <c r="CF411" s="119"/>
      <c r="CG411" s="120"/>
      <c r="CH411" s="119"/>
      <c r="CI411" s="120"/>
      <c r="CJ411" s="119"/>
      <c r="CK411" s="119" t="s">
        <v>1356</v>
      </c>
      <c r="CL411" s="119"/>
      <c r="CM411" s="120"/>
      <c r="CN411" s="119"/>
      <c r="CO411" s="120"/>
      <c r="CP411" s="119"/>
      <c r="CQ411" s="119" t="s">
        <v>1356</v>
      </c>
      <c r="CR411" s="119"/>
      <c r="CS411" s="120"/>
      <c r="CT411" s="119"/>
      <c r="CU411" s="120"/>
      <c r="CV411" s="119"/>
      <c r="CW411" s="119" t="s">
        <v>1356</v>
      </c>
      <c r="CX411" s="119"/>
      <c r="CY411" s="120"/>
      <c r="CZ411" s="119"/>
      <c r="DA411" s="120"/>
      <c r="DB411" s="36" t="s">
        <v>7085</v>
      </c>
      <c r="DC411" s="59" t="s">
        <v>92</v>
      </c>
    </row>
    <row r="412" spans="1:107" s="40" customFormat="1" ht="14.55" customHeight="1" x14ac:dyDescent="0.3">
      <c r="A412" s="35" t="s">
        <v>4219</v>
      </c>
      <c r="B412" s="35" t="s">
        <v>4351</v>
      </c>
      <c r="C412" s="35" t="s">
        <v>4352</v>
      </c>
      <c r="D412" s="35" t="s">
        <v>4353</v>
      </c>
      <c r="E412" s="35" t="s">
        <v>70</v>
      </c>
      <c r="F412" s="35" t="s">
        <v>836</v>
      </c>
      <c r="G412" s="35" t="s">
        <v>4329</v>
      </c>
      <c r="H412" s="27" t="s">
        <v>6935</v>
      </c>
      <c r="I412" s="62">
        <v>2301</v>
      </c>
      <c r="J412" s="62">
        <v>230150</v>
      </c>
      <c r="K412" s="63">
        <v>4</v>
      </c>
      <c r="L412" s="35" t="s">
        <v>4354</v>
      </c>
      <c r="M412" s="35"/>
      <c r="N412" s="35" t="s">
        <v>4355</v>
      </c>
      <c r="O412" s="35"/>
      <c r="P412" s="35"/>
      <c r="Q412" s="35"/>
      <c r="R412" s="35"/>
      <c r="S412" s="35"/>
      <c r="T412" s="35"/>
      <c r="U412" s="35"/>
      <c r="V412" s="35"/>
      <c r="W412" s="35" t="s">
        <v>4356</v>
      </c>
      <c r="X412" s="35"/>
      <c r="Y412" s="35"/>
      <c r="Z412" s="35"/>
      <c r="AA412" s="35"/>
      <c r="AB412" s="35"/>
      <c r="AC412" s="35"/>
      <c r="AD412" s="35"/>
      <c r="AE412" s="63">
        <v>2</v>
      </c>
      <c r="AF412" s="63" t="s">
        <v>64</v>
      </c>
      <c r="AG412" s="29" t="s">
        <v>65</v>
      </c>
      <c r="AH412" s="75"/>
      <c r="AI412" s="65" t="s">
        <v>65</v>
      </c>
      <c r="AJ412" s="32" t="s">
        <v>6938</v>
      </c>
      <c r="AK412" s="33" t="s">
        <v>92</v>
      </c>
      <c r="AL412" s="58">
        <v>45560</v>
      </c>
      <c r="AM412" s="35"/>
      <c r="AN412" s="35"/>
      <c r="AO412" s="35"/>
      <c r="AP412" s="35"/>
      <c r="AQ412" s="37">
        <f t="shared" si="21"/>
        <v>0</v>
      </c>
      <c r="AR412" s="38">
        <f t="shared" si="22"/>
        <v>0</v>
      </c>
      <c r="AS412" s="39">
        <f t="shared" si="23"/>
        <v>0</v>
      </c>
      <c r="AT412" s="99"/>
      <c r="AU412" s="99" t="s">
        <v>1356</v>
      </c>
      <c r="AV412" s="99"/>
      <c r="AW412" s="100"/>
      <c r="AX412" s="99"/>
      <c r="AY412" s="101"/>
      <c r="AZ412" s="99"/>
      <c r="BA412" s="99" t="s">
        <v>1356</v>
      </c>
      <c r="BB412" s="99"/>
      <c r="BC412" s="101"/>
      <c r="BD412" s="99"/>
      <c r="BE412" s="101"/>
      <c r="BF412" s="99"/>
      <c r="BG412" s="99" t="s">
        <v>1356</v>
      </c>
      <c r="BH412" s="99"/>
      <c r="BI412" s="101"/>
      <c r="BJ412" s="99"/>
      <c r="BK412" s="101"/>
      <c r="BL412" s="99"/>
      <c r="BM412" s="99" t="s">
        <v>1356</v>
      </c>
      <c r="BN412" s="99"/>
      <c r="BO412" s="101"/>
      <c r="BP412" s="99"/>
      <c r="BQ412" s="101"/>
      <c r="BR412" s="99"/>
      <c r="BS412" s="99" t="s">
        <v>1356</v>
      </c>
      <c r="BT412" s="99"/>
      <c r="BU412" s="101"/>
      <c r="BV412" s="99"/>
      <c r="BW412" s="101"/>
      <c r="BX412" s="119"/>
      <c r="BY412" s="119" t="s">
        <v>1356</v>
      </c>
      <c r="BZ412" s="119"/>
      <c r="CA412" s="120"/>
      <c r="CB412" s="119"/>
      <c r="CC412" s="120"/>
      <c r="CD412" s="119"/>
      <c r="CE412" s="119" t="s">
        <v>1356</v>
      </c>
      <c r="CF412" s="119"/>
      <c r="CG412" s="120"/>
      <c r="CH412" s="119"/>
      <c r="CI412" s="120"/>
      <c r="CJ412" s="119"/>
      <c r="CK412" s="119" t="s">
        <v>1356</v>
      </c>
      <c r="CL412" s="119"/>
      <c r="CM412" s="120"/>
      <c r="CN412" s="119"/>
      <c r="CO412" s="120"/>
      <c r="CP412" s="119"/>
      <c r="CQ412" s="119" t="s">
        <v>1356</v>
      </c>
      <c r="CR412" s="119"/>
      <c r="CS412" s="120"/>
      <c r="CT412" s="119"/>
      <c r="CU412" s="120"/>
      <c r="CV412" s="119"/>
      <c r="CW412" s="119" t="s">
        <v>1356</v>
      </c>
      <c r="CX412" s="119"/>
      <c r="CY412" s="120"/>
      <c r="CZ412" s="119"/>
      <c r="DA412" s="120"/>
      <c r="DB412" s="36" t="s">
        <v>7085</v>
      </c>
      <c r="DC412" s="59" t="s">
        <v>92</v>
      </c>
    </row>
    <row r="413" spans="1:107" s="40" customFormat="1" ht="14.55" customHeight="1" x14ac:dyDescent="0.3">
      <c r="A413" s="35" t="s">
        <v>4219</v>
      </c>
      <c r="B413" s="35" t="s">
        <v>4357</v>
      </c>
      <c r="C413" s="35" t="s">
        <v>4358</v>
      </c>
      <c r="D413" s="35" t="s">
        <v>4359</v>
      </c>
      <c r="E413" s="35" t="s">
        <v>4361</v>
      </c>
      <c r="F413" s="35" t="s">
        <v>89</v>
      </c>
      <c r="G413" s="35" t="s">
        <v>4329</v>
      </c>
      <c r="H413" s="27" t="s">
        <v>6935</v>
      </c>
      <c r="I413" s="62">
        <v>2301</v>
      </c>
      <c r="J413" s="62">
        <v>230150</v>
      </c>
      <c r="K413" s="63">
        <v>3</v>
      </c>
      <c r="L413" s="35" t="s">
        <v>4354</v>
      </c>
      <c r="M413" s="35"/>
      <c r="N413" s="35" t="s">
        <v>4355</v>
      </c>
      <c r="O413" s="35" t="s">
        <v>60</v>
      </c>
      <c r="P413" s="35"/>
      <c r="Q413" s="35"/>
      <c r="R413" s="35"/>
      <c r="S413" s="35"/>
      <c r="T413" s="35"/>
      <c r="U413" s="35"/>
      <c r="V413" s="35"/>
      <c r="W413" s="35" t="s">
        <v>4362</v>
      </c>
      <c r="X413" s="35"/>
      <c r="Y413" s="35" t="s">
        <v>4363</v>
      </c>
      <c r="Z413" s="35"/>
      <c r="AA413" s="35"/>
      <c r="AB413" s="35"/>
      <c r="AC413" s="35"/>
      <c r="AD413" s="35"/>
      <c r="AE413" s="63">
        <v>2</v>
      </c>
      <c r="AF413" s="63" t="s">
        <v>64</v>
      </c>
      <c r="AG413" s="29" t="s">
        <v>65</v>
      </c>
      <c r="AH413" s="75"/>
      <c r="AI413" s="65" t="s">
        <v>66</v>
      </c>
      <c r="AJ413" s="32" t="s">
        <v>6938</v>
      </c>
      <c r="AK413" s="33" t="s">
        <v>67</v>
      </c>
      <c r="AL413" s="34">
        <v>45561</v>
      </c>
      <c r="AM413" s="35" t="s">
        <v>66</v>
      </c>
      <c r="AN413" s="35"/>
      <c r="AO413" s="35"/>
      <c r="AP413" s="35"/>
      <c r="AQ413" s="37">
        <f t="shared" si="21"/>
        <v>0</v>
      </c>
      <c r="AR413" s="38">
        <f t="shared" si="22"/>
        <v>0</v>
      </c>
      <c r="AS413" s="39">
        <f t="shared" si="23"/>
        <v>0</v>
      </c>
      <c r="AT413" s="99"/>
      <c r="AU413" s="99" t="s">
        <v>1356</v>
      </c>
      <c r="AV413" s="99"/>
      <c r="AW413" s="100"/>
      <c r="AX413" s="99"/>
      <c r="AY413" s="101"/>
      <c r="AZ413" s="99"/>
      <c r="BA413" s="99" t="s">
        <v>1356</v>
      </c>
      <c r="BB413" s="99"/>
      <c r="BC413" s="101"/>
      <c r="BD413" s="99"/>
      <c r="BE413" s="101"/>
      <c r="BF413" s="99"/>
      <c r="BG413" s="99" t="s">
        <v>1356</v>
      </c>
      <c r="BH413" s="99"/>
      <c r="BI413" s="101"/>
      <c r="BJ413" s="99"/>
      <c r="BK413" s="101"/>
      <c r="BL413" s="99"/>
      <c r="BM413" s="99" t="s">
        <v>1356</v>
      </c>
      <c r="BN413" s="99"/>
      <c r="BO413" s="101"/>
      <c r="BP413" s="99"/>
      <c r="BQ413" s="101"/>
      <c r="BR413" s="99"/>
      <c r="BS413" s="99" t="s">
        <v>1356</v>
      </c>
      <c r="BT413" s="99"/>
      <c r="BU413" s="101"/>
      <c r="BV413" s="99"/>
      <c r="BW413" s="101"/>
      <c r="BX413" s="119"/>
      <c r="BY413" s="119" t="s">
        <v>1356</v>
      </c>
      <c r="BZ413" s="119"/>
      <c r="CA413" s="120"/>
      <c r="CB413" s="119"/>
      <c r="CC413" s="120"/>
      <c r="CD413" s="119"/>
      <c r="CE413" s="119" t="s">
        <v>1356</v>
      </c>
      <c r="CF413" s="119"/>
      <c r="CG413" s="120"/>
      <c r="CH413" s="119"/>
      <c r="CI413" s="120"/>
      <c r="CJ413" s="119"/>
      <c r="CK413" s="119" t="s">
        <v>1356</v>
      </c>
      <c r="CL413" s="119"/>
      <c r="CM413" s="120"/>
      <c r="CN413" s="119"/>
      <c r="CO413" s="120"/>
      <c r="CP413" s="119"/>
      <c r="CQ413" s="119" t="s">
        <v>1356</v>
      </c>
      <c r="CR413" s="119"/>
      <c r="CS413" s="120"/>
      <c r="CT413" s="119"/>
      <c r="CU413" s="120"/>
      <c r="CV413" s="119"/>
      <c r="CW413" s="119" t="s">
        <v>1356</v>
      </c>
      <c r="CX413" s="119"/>
      <c r="CY413" s="120"/>
      <c r="CZ413" s="119"/>
      <c r="DA413" s="120"/>
      <c r="DB413" s="36" t="s">
        <v>7085</v>
      </c>
      <c r="DC413" s="59" t="s">
        <v>105</v>
      </c>
    </row>
    <row r="414" spans="1:107" s="40" customFormat="1" ht="14.55" customHeight="1" x14ac:dyDescent="0.3">
      <c r="A414" s="35" t="s">
        <v>4219</v>
      </c>
      <c r="B414" s="35" t="s">
        <v>4364</v>
      </c>
      <c r="C414" s="35" t="s">
        <v>4365</v>
      </c>
      <c r="D414" s="35" t="s">
        <v>4366</v>
      </c>
      <c r="E414" s="35" t="s">
        <v>4368</v>
      </c>
      <c r="F414" s="35" t="s">
        <v>1453</v>
      </c>
      <c r="G414" s="35" t="s">
        <v>4237</v>
      </c>
      <c r="H414" s="27" t="s">
        <v>686</v>
      </c>
      <c r="I414" s="62">
        <v>901</v>
      </c>
      <c r="J414" s="62">
        <v>90150</v>
      </c>
      <c r="K414" s="63">
        <v>4</v>
      </c>
      <c r="L414" s="35" t="s">
        <v>4369</v>
      </c>
      <c r="M414" s="35" t="s">
        <v>4370</v>
      </c>
      <c r="N414" s="35" t="s">
        <v>4281</v>
      </c>
      <c r="O414" s="35"/>
      <c r="P414" s="35"/>
      <c r="Q414" s="35" t="s">
        <v>4371</v>
      </c>
      <c r="R414" s="35" t="s">
        <v>403</v>
      </c>
      <c r="S414" s="35" t="s">
        <v>403</v>
      </c>
      <c r="T414" s="35"/>
      <c r="U414" s="35"/>
      <c r="V414" s="35"/>
      <c r="W414" s="35" t="s">
        <v>4372</v>
      </c>
      <c r="X414" s="35" t="s">
        <v>4373</v>
      </c>
      <c r="Y414" s="35" t="s">
        <v>4374</v>
      </c>
      <c r="Z414" s="35"/>
      <c r="AA414" s="35"/>
      <c r="AB414" s="35"/>
      <c r="AC414" s="35"/>
      <c r="AD414" s="35"/>
      <c r="AE414" s="63">
        <v>2</v>
      </c>
      <c r="AF414" s="63" t="s">
        <v>64</v>
      </c>
      <c r="AG414" s="29" t="s">
        <v>65</v>
      </c>
      <c r="AH414" s="75"/>
      <c r="AI414" s="65" t="s">
        <v>65</v>
      </c>
      <c r="AJ414" s="32" t="s">
        <v>6938</v>
      </c>
      <c r="AK414" s="33" t="s">
        <v>92</v>
      </c>
      <c r="AL414" s="34">
        <v>45553</v>
      </c>
      <c r="AM414" s="35"/>
      <c r="AN414" s="35"/>
      <c r="AO414" s="35"/>
      <c r="AP414" s="35"/>
      <c r="AQ414" s="37">
        <f t="shared" si="21"/>
        <v>0</v>
      </c>
      <c r="AR414" s="38">
        <f t="shared" si="22"/>
        <v>0</v>
      </c>
      <c r="AS414" s="39">
        <f t="shared" si="23"/>
        <v>0</v>
      </c>
      <c r="AT414" s="99"/>
      <c r="AU414" s="99" t="s">
        <v>1356</v>
      </c>
      <c r="AV414" s="99"/>
      <c r="AW414" s="100"/>
      <c r="AX414" s="99"/>
      <c r="AY414" s="101"/>
      <c r="AZ414" s="99"/>
      <c r="BA414" s="99" t="s">
        <v>1356</v>
      </c>
      <c r="BB414" s="99"/>
      <c r="BC414" s="101"/>
      <c r="BD414" s="99"/>
      <c r="BE414" s="101"/>
      <c r="BF414" s="99"/>
      <c r="BG414" s="99" t="s">
        <v>1356</v>
      </c>
      <c r="BH414" s="99"/>
      <c r="BI414" s="101"/>
      <c r="BJ414" s="99"/>
      <c r="BK414" s="101"/>
      <c r="BL414" s="99"/>
      <c r="BM414" s="99" t="s">
        <v>1356</v>
      </c>
      <c r="BN414" s="99"/>
      <c r="BO414" s="101"/>
      <c r="BP414" s="99"/>
      <c r="BQ414" s="101"/>
      <c r="BR414" s="99"/>
      <c r="BS414" s="99" t="s">
        <v>1356</v>
      </c>
      <c r="BT414" s="99"/>
      <c r="BU414" s="101"/>
      <c r="BV414" s="99"/>
      <c r="BW414" s="101"/>
      <c r="BX414" s="119"/>
      <c r="BY414" s="119" t="s">
        <v>1356</v>
      </c>
      <c r="BZ414" s="119"/>
      <c r="CA414" s="120"/>
      <c r="CB414" s="119"/>
      <c r="CC414" s="120"/>
      <c r="CD414" s="119"/>
      <c r="CE414" s="119" t="s">
        <v>1356</v>
      </c>
      <c r="CF414" s="119"/>
      <c r="CG414" s="120"/>
      <c r="CH414" s="119"/>
      <c r="CI414" s="120"/>
      <c r="CJ414" s="119"/>
      <c r="CK414" s="119" t="s">
        <v>1356</v>
      </c>
      <c r="CL414" s="119"/>
      <c r="CM414" s="120"/>
      <c r="CN414" s="119"/>
      <c r="CO414" s="120"/>
      <c r="CP414" s="119"/>
      <c r="CQ414" s="119" t="s">
        <v>1356</v>
      </c>
      <c r="CR414" s="119"/>
      <c r="CS414" s="120"/>
      <c r="CT414" s="119"/>
      <c r="CU414" s="120"/>
      <c r="CV414" s="119"/>
      <c r="CW414" s="119" t="s">
        <v>1356</v>
      </c>
      <c r="CX414" s="119"/>
      <c r="CY414" s="120"/>
      <c r="CZ414" s="119"/>
      <c r="DA414" s="120"/>
      <c r="DB414" s="36" t="s">
        <v>7085</v>
      </c>
      <c r="DC414" s="59" t="s">
        <v>92</v>
      </c>
    </row>
    <row r="415" spans="1:107" s="40" customFormat="1" x14ac:dyDescent="0.3">
      <c r="A415" s="35" t="s">
        <v>4219</v>
      </c>
      <c r="B415" s="35" t="s">
        <v>4375</v>
      </c>
      <c r="C415" s="35" t="s">
        <v>4376</v>
      </c>
      <c r="D415" s="35" t="s">
        <v>4377</v>
      </c>
      <c r="E415" s="35" t="s">
        <v>4377</v>
      </c>
      <c r="F415" s="35" t="s">
        <v>1453</v>
      </c>
      <c r="G415" s="35" t="s">
        <v>4230</v>
      </c>
      <c r="H415" s="27" t="s">
        <v>6934</v>
      </c>
      <c r="I415" s="62">
        <v>2403</v>
      </c>
      <c r="J415" s="62">
        <v>240352</v>
      </c>
      <c r="K415" s="63">
        <v>4</v>
      </c>
      <c r="L415" s="35" t="s">
        <v>4379</v>
      </c>
      <c r="M415" s="35" t="s">
        <v>4380</v>
      </c>
      <c r="N415" s="35"/>
      <c r="O415" s="35"/>
      <c r="P415" s="35"/>
      <c r="Q415" s="35"/>
      <c r="R415" s="35"/>
      <c r="S415" s="35"/>
      <c r="T415" s="35"/>
      <c r="U415" s="35" t="s">
        <v>4381</v>
      </c>
      <c r="V415" s="35"/>
      <c r="W415" s="35" t="s">
        <v>4382</v>
      </c>
      <c r="X415" s="35" t="s">
        <v>4383</v>
      </c>
      <c r="Y415" s="35" t="s">
        <v>4384</v>
      </c>
      <c r="Z415" s="35"/>
      <c r="AA415" s="35"/>
      <c r="AB415" s="35"/>
      <c r="AC415" s="35"/>
      <c r="AD415" s="35"/>
      <c r="AE415" s="63">
        <v>2</v>
      </c>
      <c r="AF415" s="63" t="s">
        <v>64</v>
      </c>
      <c r="AG415" s="29" t="s">
        <v>65</v>
      </c>
      <c r="AH415" s="75"/>
      <c r="AI415" s="65" t="s">
        <v>66</v>
      </c>
      <c r="AJ415" s="32" t="s">
        <v>6938</v>
      </c>
      <c r="AK415" s="33" t="s">
        <v>67</v>
      </c>
      <c r="AL415" s="34">
        <v>45561</v>
      </c>
      <c r="AM415" s="35" t="s">
        <v>66</v>
      </c>
      <c r="AN415" s="35"/>
      <c r="AO415" s="35"/>
      <c r="AP415" s="35"/>
      <c r="AQ415" s="37">
        <f t="shared" si="21"/>
        <v>0</v>
      </c>
      <c r="AR415" s="38">
        <f t="shared" si="22"/>
        <v>0</v>
      </c>
      <c r="AS415" s="39">
        <f t="shared" si="23"/>
        <v>0</v>
      </c>
      <c r="AT415" s="99"/>
      <c r="AU415" s="99" t="s">
        <v>1356</v>
      </c>
      <c r="AV415" s="99"/>
      <c r="AW415" s="100"/>
      <c r="AX415" s="99"/>
      <c r="AY415" s="101"/>
      <c r="AZ415" s="99"/>
      <c r="BA415" s="99" t="s">
        <v>1356</v>
      </c>
      <c r="BB415" s="99"/>
      <c r="BC415" s="101"/>
      <c r="BD415" s="99"/>
      <c r="BE415" s="101"/>
      <c r="BF415" s="99"/>
      <c r="BG415" s="99" t="s">
        <v>1356</v>
      </c>
      <c r="BH415" s="99"/>
      <c r="BI415" s="101"/>
      <c r="BJ415" s="99"/>
      <c r="BK415" s="101"/>
      <c r="BL415" s="99"/>
      <c r="BM415" s="99" t="s">
        <v>1356</v>
      </c>
      <c r="BN415" s="99"/>
      <c r="BO415" s="101"/>
      <c r="BP415" s="99"/>
      <c r="BQ415" s="101"/>
      <c r="BR415" s="99"/>
      <c r="BS415" s="99" t="s">
        <v>1356</v>
      </c>
      <c r="BT415" s="99"/>
      <c r="BU415" s="101"/>
      <c r="BV415" s="99"/>
      <c r="BW415" s="101"/>
      <c r="BX415" s="119"/>
      <c r="BY415" s="119" t="s">
        <v>1356</v>
      </c>
      <c r="BZ415" s="119"/>
      <c r="CA415" s="120"/>
      <c r="CB415" s="119"/>
      <c r="CC415" s="120"/>
      <c r="CD415" s="119"/>
      <c r="CE415" s="119" t="s">
        <v>1356</v>
      </c>
      <c r="CF415" s="119"/>
      <c r="CG415" s="120"/>
      <c r="CH415" s="119"/>
      <c r="CI415" s="120"/>
      <c r="CJ415" s="119"/>
      <c r="CK415" s="119" t="s">
        <v>1356</v>
      </c>
      <c r="CL415" s="119"/>
      <c r="CM415" s="120"/>
      <c r="CN415" s="119"/>
      <c r="CO415" s="120"/>
      <c r="CP415" s="119"/>
      <c r="CQ415" s="119" t="s">
        <v>1356</v>
      </c>
      <c r="CR415" s="119"/>
      <c r="CS415" s="120"/>
      <c r="CT415" s="119"/>
      <c r="CU415" s="120"/>
      <c r="CV415" s="119"/>
      <c r="CW415" s="119" t="s">
        <v>1356</v>
      </c>
      <c r="CX415" s="119"/>
      <c r="CY415" s="120"/>
      <c r="CZ415" s="119"/>
      <c r="DA415" s="120"/>
      <c r="DB415" s="36" t="s">
        <v>7085</v>
      </c>
      <c r="DC415" s="59" t="s">
        <v>105</v>
      </c>
    </row>
    <row r="416" spans="1:107" s="40" customFormat="1" x14ac:dyDescent="0.3">
      <c r="A416" s="35" t="s">
        <v>4219</v>
      </c>
      <c r="B416" s="35" t="s">
        <v>4385</v>
      </c>
      <c r="C416" s="35" t="s">
        <v>4386</v>
      </c>
      <c r="D416" s="35" t="s">
        <v>4387</v>
      </c>
      <c r="E416" s="35" t="s">
        <v>4388</v>
      </c>
      <c r="F416" s="35" t="s">
        <v>1453</v>
      </c>
      <c r="G416" s="35" t="s">
        <v>4237</v>
      </c>
      <c r="H416" s="27" t="s">
        <v>686</v>
      </c>
      <c r="I416" s="62">
        <v>901</v>
      </c>
      <c r="J416" s="62">
        <v>90150</v>
      </c>
      <c r="K416" s="63">
        <v>4</v>
      </c>
      <c r="L416" s="35" t="s">
        <v>4389</v>
      </c>
      <c r="M416" s="35"/>
      <c r="N416" s="35" t="s">
        <v>4390</v>
      </c>
      <c r="O416" s="35"/>
      <c r="P416" s="35"/>
      <c r="Q416" s="35"/>
      <c r="R416" s="35"/>
      <c r="S416" s="35"/>
      <c r="T416" s="35"/>
      <c r="U416" s="35"/>
      <c r="V416" s="35"/>
      <c r="W416" s="35" t="s">
        <v>4391</v>
      </c>
      <c r="X416" s="35" t="s">
        <v>4392</v>
      </c>
      <c r="Y416" s="35" t="s">
        <v>4393</v>
      </c>
      <c r="Z416" s="35">
        <v>-79.941552758216858</v>
      </c>
      <c r="AA416" s="35">
        <v>-2.0984001159668</v>
      </c>
      <c r="AB416" s="35">
        <v>90150517</v>
      </c>
      <c r="AC416" s="35">
        <v>90150517002</v>
      </c>
      <c r="AD416" s="35">
        <v>90150517002006</v>
      </c>
      <c r="AE416" s="63">
        <v>2</v>
      </c>
      <c r="AF416" s="63" t="s">
        <v>64</v>
      </c>
      <c r="AG416" s="29" t="s">
        <v>65</v>
      </c>
      <c r="AH416" s="75"/>
      <c r="AI416" s="65" t="s">
        <v>66</v>
      </c>
      <c r="AJ416" s="32" t="s">
        <v>6938</v>
      </c>
      <c r="AK416" s="33" t="s">
        <v>67</v>
      </c>
      <c r="AL416" s="34">
        <v>45562</v>
      </c>
      <c r="AM416" s="35" t="s">
        <v>66</v>
      </c>
      <c r="AN416" s="35"/>
      <c r="AO416" s="35"/>
      <c r="AP416" s="35"/>
      <c r="AQ416" s="37">
        <f t="shared" si="21"/>
        <v>0</v>
      </c>
      <c r="AR416" s="38">
        <f t="shared" si="22"/>
        <v>0</v>
      </c>
      <c r="AS416" s="39">
        <f t="shared" si="23"/>
        <v>0</v>
      </c>
      <c r="AT416" s="99"/>
      <c r="AU416" s="99" t="s">
        <v>1356</v>
      </c>
      <c r="AV416" s="99"/>
      <c r="AW416" s="100"/>
      <c r="AX416" s="99"/>
      <c r="AY416" s="101"/>
      <c r="AZ416" s="99"/>
      <c r="BA416" s="99" t="s">
        <v>1356</v>
      </c>
      <c r="BB416" s="99"/>
      <c r="BC416" s="101"/>
      <c r="BD416" s="99"/>
      <c r="BE416" s="101"/>
      <c r="BF416" s="99"/>
      <c r="BG416" s="99" t="s">
        <v>1356</v>
      </c>
      <c r="BH416" s="99"/>
      <c r="BI416" s="101"/>
      <c r="BJ416" s="99"/>
      <c r="BK416" s="101"/>
      <c r="BL416" s="99"/>
      <c r="BM416" s="99" t="s">
        <v>1356</v>
      </c>
      <c r="BN416" s="99"/>
      <c r="BO416" s="101"/>
      <c r="BP416" s="99"/>
      <c r="BQ416" s="101"/>
      <c r="BR416" s="99"/>
      <c r="BS416" s="99" t="s">
        <v>1356</v>
      </c>
      <c r="BT416" s="99"/>
      <c r="BU416" s="101"/>
      <c r="BV416" s="99"/>
      <c r="BW416" s="101"/>
      <c r="BX416" s="119"/>
      <c r="BY416" s="119" t="s">
        <v>1356</v>
      </c>
      <c r="BZ416" s="119"/>
      <c r="CA416" s="120"/>
      <c r="CB416" s="119"/>
      <c r="CC416" s="120"/>
      <c r="CD416" s="119"/>
      <c r="CE416" s="119" t="s">
        <v>1356</v>
      </c>
      <c r="CF416" s="119"/>
      <c r="CG416" s="120"/>
      <c r="CH416" s="119"/>
      <c r="CI416" s="120"/>
      <c r="CJ416" s="119"/>
      <c r="CK416" s="119" t="s">
        <v>1356</v>
      </c>
      <c r="CL416" s="119"/>
      <c r="CM416" s="120"/>
      <c r="CN416" s="119"/>
      <c r="CO416" s="120"/>
      <c r="CP416" s="119"/>
      <c r="CQ416" s="119" t="s">
        <v>1356</v>
      </c>
      <c r="CR416" s="119"/>
      <c r="CS416" s="120"/>
      <c r="CT416" s="119"/>
      <c r="CU416" s="120"/>
      <c r="CV416" s="119"/>
      <c r="CW416" s="119" t="s">
        <v>1356</v>
      </c>
      <c r="CX416" s="119"/>
      <c r="CY416" s="120"/>
      <c r="CZ416" s="119"/>
      <c r="DA416" s="120"/>
      <c r="DB416" s="36" t="s">
        <v>7085</v>
      </c>
      <c r="DC416" s="59" t="s">
        <v>6751</v>
      </c>
    </row>
    <row r="417" spans="1:107" s="40" customFormat="1" x14ac:dyDescent="0.3">
      <c r="A417" s="35" t="s">
        <v>4219</v>
      </c>
      <c r="B417" s="35" t="s">
        <v>4394</v>
      </c>
      <c r="C417" s="35" t="s">
        <v>4395</v>
      </c>
      <c r="D417" s="35" t="s">
        <v>4396</v>
      </c>
      <c r="E417" s="35" t="s">
        <v>4397</v>
      </c>
      <c r="F417" s="35" t="s">
        <v>142</v>
      </c>
      <c r="G417" s="35" t="s">
        <v>4237</v>
      </c>
      <c r="H417" s="27" t="s">
        <v>686</v>
      </c>
      <c r="I417" s="62">
        <v>907</v>
      </c>
      <c r="J417" s="62">
        <v>90750</v>
      </c>
      <c r="K417" s="63">
        <v>4</v>
      </c>
      <c r="L417" s="35" t="s">
        <v>4398</v>
      </c>
      <c r="M417" s="35" t="s">
        <v>4399</v>
      </c>
      <c r="N417" s="35"/>
      <c r="O417" s="35" t="s">
        <v>4400</v>
      </c>
      <c r="P417" s="35"/>
      <c r="Q417" s="35"/>
      <c r="R417" s="35"/>
      <c r="S417" s="35"/>
      <c r="T417" s="35"/>
      <c r="U417" s="35"/>
      <c r="V417" s="35"/>
      <c r="W417" s="35" t="s">
        <v>4401</v>
      </c>
      <c r="X417" s="35" t="s">
        <v>4402</v>
      </c>
      <c r="Y417" s="35" t="s">
        <v>4403</v>
      </c>
      <c r="Z417" s="35">
        <v>-79.830498000000006</v>
      </c>
      <c r="AA417" s="35">
        <v>-2.185613</v>
      </c>
      <c r="AB417" s="35">
        <v>90750011</v>
      </c>
      <c r="AC417" s="35">
        <v>90750011008</v>
      </c>
      <c r="AD417" s="35">
        <v>90750011008001</v>
      </c>
      <c r="AE417" s="63">
        <v>2</v>
      </c>
      <c r="AF417" s="63" t="s">
        <v>64</v>
      </c>
      <c r="AG417" s="29" t="s">
        <v>65</v>
      </c>
      <c r="AH417" s="75"/>
      <c r="AI417" s="65" t="s">
        <v>66</v>
      </c>
      <c r="AJ417" s="32" t="s">
        <v>6938</v>
      </c>
      <c r="AK417" s="33" t="s">
        <v>67</v>
      </c>
      <c r="AL417" s="34">
        <v>45565</v>
      </c>
      <c r="AM417" s="35" t="s">
        <v>66</v>
      </c>
      <c r="AN417" s="35"/>
      <c r="AO417" s="35"/>
      <c r="AP417" s="35"/>
      <c r="AQ417" s="37">
        <f t="shared" si="21"/>
        <v>0</v>
      </c>
      <c r="AR417" s="38">
        <f t="shared" si="22"/>
        <v>0</v>
      </c>
      <c r="AS417" s="39">
        <f t="shared" si="23"/>
        <v>0</v>
      </c>
      <c r="AT417" s="99"/>
      <c r="AU417" s="99" t="s">
        <v>1356</v>
      </c>
      <c r="AV417" s="99"/>
      <c r="AW417" s="100"/>
      <c r="AX417" s="99"/>
      <c r="AY417" s="101"/>
      <c r="AZ417" s="99"/>
      <c r="BA417" s="99" t="s">
        <v>1356</v>
      </c>
      <c r="BB417" s="99"/>
      <c r="BC417" s="101"/>
      <c r="BD417" s="99"/>
      <c r="BE417" s="101"/>
      <c r="BF417" s="99"/>
      <c r="BG417" s="99" t="s">
        <v>1356</v>
      </c>
      <c r="BH417" s="99"/>
      <c r="BI417" s="101"/>
      <c r="BJ417" s="99"/>
      <c r="BK417" s="101"/>
      <c r="BL417" s="99"/>
      <c r="BM417" s="99" t="s">
        <v>1356</v>
      </c>
      <c r="BN417" s="99"/>
      <c r="BO417" s="101"/>
      <c r="BP417" s="99"/>
      <c r="BQ417" s="101"/>
      <c r="BR417" s="99"/>
      <c r="BS417" s="99" t="s">
        <v>1356</v>
      </c>
      <c r="BT417" s="99"/>
      <c r="BU417" s="101"/>
      <c r="BV417" s="99"/>
      <c r="BW417" s="101"/>
      <c r="BX417" s="119"/>
      <c r="BY417" s="119" t="s">
        <v>1356</v>
      </c>
      <c r="BZ417" s="119"/>
      <c r="CA417" s="120"/>
      <c r="CB417" s="119"/>
      <c r="CC417" s="120"/>
      <c r="CD417" s="119"/>
      <c r="CE417" s="119" t="s">
        <v>1356</v>
      </c>
      <c r="CF417" s="119"/>
      <c r="CG417" s="120"/>
      <c r="CH417" s="119"/>
      <c r="CI417" s="120"/>
      <c r="CJ417" s="119"/>
      <c r="CK417" s="119" t="s">
        <v>1356</v>
      </c>
      <c r="CL417" s="119"/>
      <c r="CM417" s="120"/>
      <c r="CN417" s="119"/>
      <c r="CO417" s="120"/>
      <c r="CP417" s="119"/>
      <c r="CQ417" s="119" t="s">
        <v>1356</v>
      </c>
      <c r="CR417" s="119"/>
      <c r="CS417" s="120"/>
      <c r="CT417" s="119"/>
      <c r="CU417" s="120"/>
      <c r="CV417" s="119"/>
      <c r="CW417" s="119" t="s">
        <v>1356</v>
      </c>
      <c r="CX417" s="119"/>
      <c r="CY417" s="120"/>
      <c r="CZ417" s="119"/>
      <c r="DA417" s="120"/>
      <c r="DB417" s="36" t="s">
        <v>7085</v>
      </c>
      <c r="DC417" s="59" t="s">
        <v>2935</v>
      </c>
    </row>
    <row r="418" spans="1:107" s="40" customFormat="1" ht="14.55" customHeight="1" x14ac:dyDescent="0.3">
      <c r="A418" s="35" t="s">
        <v>4219</v>
      </c>
      <c r="B418" s="35" t="s">
        <v>4404</v>
      </c>
      <c r="C418" s="35" t="s">
        <v>4405</v>
      </c>
      <c r="D418" s="35" t="s">
        <v>4406</v>
      </c>
      <c r="E418" s="35" t="s">
        <v>70</v>
      </c>
      <c r="F418" s="35" t="s">
        <v>567</v>
      </c>
      <c r="G418" s="35" t="s">
        <v>4237</v>
      </c>
      <c r="H418" s="27" t="s">
        <v>686</v>
      </c>
      <c r="I418" s="62">
        <v>901</v>
      </c>
      <c r="J418" s="62">
        <v>90150</v>
      </c>
      <c r="K418" s="63">
        <v>8</v>
      </c>
      <c r="L418" s="35" t="s">
        <v>4407</v>
      </c>
      <c r="M418" s="35" t="s">
        <v>4408</v>
      </c>
      <c r="N418" s="35" t="s">
        <v>4409</v>
      </c>
      <c r="O418" s="35"/>
      <c r="P418" s="35"/>
      <c r="Q418" s="35"/>
      <c r="R418" s="35"/>
      <c r="S418" s="35"/>
      <c r="T418" s="35" t="s">
        <v>4410</v>
      </c>
      <c r="U418" s="35"/>
      <c r="V418" s="35" t="s">
        <v>4411</v>
      </c>
      <c r="W418" s="35" t="s">
        <v>4412</v>
      </c>
      <c r="X418" s="35"/>
      <c r="Y418" s="35" t="s">
        <v>4413</v>
      </c>
      <c r="Z418" s="35"/>
      <c r="AA418" s="35"/>
      <c r="AB418" s="35"/>
      <c r="AC418" s="35"/>
      <c r="AD418" s="35"/>
      <c r="AE418" s="63">
        <v>2</v>
      </c>
      <c r="AF418" s="63" t="s">
        <v>64</v>
      </c>
      <c r="AG418" s="29" t="s">
        <v>65</v>
      </c>
      <c r="AH418" s="75"/>
      <c r="AI418" s="65" t="s">
        <v>65</v>
      </c>
      <c r="AJ418" s="32" t="s">
        <v>6938</v>
      </c>
      <c r="AK418" s="33" t="s">
        <v>92</v>
      </c>
      <c r="AL418" s="34">
        <v>45580</v>
      </c>
      <c r="AM418" s="35"/>
      <c r="AN418" s="35"/>
      <c r="AO418" s="35"/>
      <c r="AP418" s="35"/>
      <c r="AQ418" s="37">
        <f t="shared" si="21"/>
        <v>0</v>
      </c>
      <c r="AR418" s="38">
        <f t="shared" si="22"/>
        <v>0</v>
      </c>
      <c r="AS418" s="39">
        <f t="shared" si="23"/>
        <v>0</v>
      </c>
      <c r="AT418" s="99"/>
      <c r="AU418" s="99" t="s">
        <v>1356</v>
      </c>
      <c r="AV418" s="99"/>
      <c r="AW418" s="100"/>
      <c r="AX418" s="99"/>
      <c r="AY418" s="101"/>
      <c r="AZ418" s="99"/>
      <c r="BA418" s="99" t="s">
        <v>1356</v>
      </c>
      <c r="BB418" s="99"/>
      <c r="BC418" s="101"/>
      <c r="BD418" s="99"/>
      <c r="BE418" s="101"/>
      <c r="BF418" s="99"/>
      <c r="BG418" s="99" t="s">
        <v>1356</v>
      </c>
      <c r="BH418" s="99"/>
      <c r="BI418" s="101"/>
      <c r="BJ418" s="99"/>
      <c r="BK418" s="101"/>
      <c r="BL418" s="99"/>
      <c r="BM418" s="99" t="s">
        <v>1356</v>
      </c>
      <c r="BN418" s="99"/>
      <c r="BO418" s="101"/>
      <c r="BP418" s="99"/>
      <c r="BQ418" s="101"/>
      <c r="BR418" s="99"/>
      <c r="BS418" s="99" t="s">
        <v>1356</v>
      </c>
      <c r="BT418" s="99"/>
      <c r="BU418" s="101"/>
      <c r="BV418" s="99"/>
      <c r="BW418" s="101"/>
      <c r="BX418" s="119"/>
      <c r="BY418" s="119" t="s">
        <v>1356</v>
      </c>
      <c r="BZ418" s="119"/>
      <c r="CA418" s="120"/>
      <c r="CB418" s="119"/>
      <c r="CC418" s="120"/>
      <c r="CD418" s="119"/>
      <c r="CE418" s="119" t="s">
        <v>1356</v>
      </c>
      <c r="CF418" s="119"/>
      <c r="CG418" s="120"/>
      <c r="CH418" s="119"/>
      <c r="CI418" s="120"/>
      <c r="CJ418" s="119"/>
      <c r="CK418" s="119" t="s">
        <v>1356</v>
      </c>
      <c r="CL418" s="119"/>
      <c r="CM418" s="120"/>
      <c r="CN418" s="119"/>
      <c r="CO418" s="120"/>
      <c r="CP418" s="119"/>
      <c r="CQ418" s="119" t="s">
        <v>1356</v>
      </c>
      <c r="CR418" s="119"/>
      <c r="CS418" s="120"/>
      <c r="CT418" s="119"/>
      <c r="CU418" s="120"/>
      <c r="CV418" s="119"/>
      <c r="CW418" s="119" t="s">
        <v>1356</v>
      </c>
      <c r="CX418" s="119"/>
      <c r="CY418" s="120"/>
      <c r="CZ418" s="119"/>
      <c r="DA418" s="120"/>
      <c r="DB418" s="36" t="s">
        <v>7085</v>
      </c>
      <c r="DC418" s="59" t="s">
        <v>92</v>
      </c>
    </row>
    <row r="419" spans="1:107" s="40" customFormat="1" x14ac:dyDescent="0.3">
      <c r="A419" s="35" t="s">
        <v>4219</v>
      </c>
      <c r="B419" s="35" t="s">
        <v>4414</v>
      </c>
      <c r="C419" s="35" t="s">
        <v>4415</v>
      </c>
      <c r="D419" s="35" t="s">
        <v>4416</v>
      </c>
      <c r="E419" s="35" t="s">
        <v>70</v>
      </c>
      <c r="F419" s="35" t="s">
        <v>596</v>
      </c>
      <c r="G419" s="35" t="s">
        <v>4237</v>
      </c>
      <c r="H419" s="27" t="s">
        <v>686</v>
      </c>
      <c r="I419" s="62">
        <v>901</v>
      </c>
      <c r="J419" s="62">
        <v>90150</v>
      </c>
      <c r="K419" s="63">
        <v>3</v>
      </c>
      <c r="L419" s="35"/>
      <c r="M419" s="35" t="s">
        <v>4417</v>
      </c>
      <c r="N419" s="35"/>
      <c r="O419" s="35"/>
      <c r="P419" s="35"/>
      <c r="Q419" s="35"/>
      <c r="R419" s="35"/>
      <c r="S419" s="35"/>
      <c r="T419" s="35"/>
      <c r="U419" s="35"/>
      <c r="V419" s="35" t="s">
        <v>4418</v>
      </c>
      <c r="W419" s="35" t="s">
        <v>4419</v>
      </c>
      <c r="X419" s="35"/>
      <c r="Y419" s="35" t="s">
        <v>4420</v>
      </c>
      <c r="Z419" s="35"/>
      <c r="AA419" s="35"/>
      <c r="AB419" s="35"/>
      <c r="AC419" s="35"/>
      <c r="AD419" s="35"/>
      <c r="AE419" s="63">
        <v>2</v>
      </c>
      <c r="AF419" s="63" t="s">
        <v>64</v>
      </c>
      <c r="AG419" s="29" t="s">
        <v>65</v>
      </c>
      <c r="AH419" s="75"/>
      <c r="AI419" s="65" t="s">
        <v>66</v>
      </c>
      <c r="AJ419" s="32" t="s">
        <v>6938</v>
      </c>
      <c r="AK419" s="33" t="s">
        <v>67</v>
      </c>
      <c r="AL419" s="34">
        <v>45573</v>
      </c>
      <c r="AM419" s="35" t="s">
        <v>66</v>
      </c>
      <c r="AN419" s="35"/>
      <c r="AO419" s="35"/>
      <c r="AP419" s="35"/>
      <c r="AQ419" s="37">
        <f t="shared" si="21"/>
        <v>0</v>
      </c>
      <c r="AR419" s="38">
        <f t="shared" si="22"/>
        <v>0</v>
      </c>
      <c r="AS419" s="39">
        <f t="shared" si="23"/>
        <v>0</v>
      </c>
      <c r="AT419" s="99"/>
      <c r="AU419" s="99" t="s">
        <v>1356</v>
      </c>
      <c r="AV419" s="99"/>
      <c r="AW419" s="100"/>
      <c r="AX419" s="99"/>
      <c r="AY419" s="101"/>
      <c r="AZ419" s="99"/>
      <c r="BA419" s="99" t="s">
        <v>1356</v>
      </c>
      <c r="BB419" s="99"/>
      <c r="BC419" s="101"/>
      <c r="BD419" s="99"/>
      <c r="BE419" s="101"/>
      <c r="BF419" s="99"/>
      <c r="BG419" s="99" t="s">
        <v>1356</v>
      </c>
      <c r="BH419" s="99"/>
      <c r="BI419" s="101"/>
      <c r="BJ419" s="99"/>
      <c r="BK419" s="101"/>
      <c r="BL419" s="99"/>
      <c r="BM419" s="99" t="s">
        <v>1356</v>
      </c>
      <c r="BN419" s="99"/>
      <c r="BO419" s="101"/>
      <c r="BP419" s="99"/>
      <c r="BQ419" s="101"/>
      <c r="BR419" s="99"/>
      <c r="BS419" s="99" t="s">
        <v>1356</v>
      </c>
      <c r="BT419" s="99"/>
      <c r="BU419" s="101"/>
      <c r="BV419" s="99"/>
      <c r="BW419" s="101"/>
      <c r="BX419" s="119"/>
      <c r="BY419" s="119" t="s">
        <v>1356</v>
      </c>
      <c r="BZ419" s="119"/>
      <c r="CA419" s="120"/>
      <c r="CB419" s="119"/>
      <c r="CC419" s="120"/>
      <c r="CD419" s="119"/>
      <c r="CE419" s="119" t="s">
        <v>1356</v>
      </c>
      <c r="CF419" s="119"/>
      <c r="CG419" s="120"/>
      <c r="CH419" s="119"/>
      <c r="CI419" s="120"/>
      <c r="CJ419" s="119"/>
      <c r="CK419" s="119" t="s">
        <v>1356</v>
      </c>
      <c r="CL419" s="119"/>
      <c r="CM419" s="120"/>
      <c r="CN419" s="119"/>
      <c r="CO419" s="120"/>
      <c r="CP419" s="119"/>
      <c r="CQ419" s="119" t="s">
        <v>1356</v>
      </c>
      <c r="CR419" s="119"/>
      <c r="CS419" s="120"/>
      <c r="CT419" s="119"/>
      <c r="CU419" s="120"/>
      <c r="CV419" s="119"/>
      <c r="CW419" s="119" t="s">
        <v>1356</v>
      </c>
      <c r="CX419" s="119"/>
      <c r="CY419" s="120"/>
      <c r="CZ419" s="119"/>
      <c r="DA419" s="120"/>
      <c r="DB419" s="36" t="s">
        <v>7085</v>
      </c>
      <c r="DC419" s="59" t="s">
        <v>6751</v>
      </c>
    </row>
    <row r="420" spans="1:107" s="40" customFormat="1" ht="14.55" customHeight="1" x14ac:dyDescent="0.3">
      <c r="A420" s="35" t="s">
        <v>4219</v>
      </c>
      <c r="B420" s="35" t="s">
        <v>4421</v>
      </c>
      <c r="C420" s="35" t="s">
        <v>4422</v>
      </c>
      <c r="D420" s="35" t="s">
        <v>4423</v>
      </c>
      <c r="E420" s="35" t="s">
        <v>4424</v>
      </c>
      <c r="F420" s="35" t="s">
        <v>596</v>
      </c>
      <c r="G420" s="35" t="s">
        <v>4237</v>
      </c>
      <c r="H420" s="27" t="s">
        <v>686</v>
      </c>
      <c r="I420" s="62">
        <v>901</v>
      </c>
      <c r="J420" s="62">
        <v>90150</v>
      </c>
      <c r="K420" s="63">
        <v>4</v>
      </c>
      <c r="L420" s="35" t="s">
        <v>4425</v>
      </c>
      <c r="M420" s="35" t="s">
        <v>4426</v>
      </c>
      <c r="N420" s="35" t="s">
        <v>4427</v>
      </c>
      <c r="O420" s="35" t="s">
        <v>4428</v>
      </c>
      <c r="P420" s="35"/>
      <c r="Q420" s="35" t="s">
        <v>4429</v>
      </c>
      <c r="R420" s="35"/>
      <c r="S420" s="35"/>
      <c r="T420" s="35"/>
      <c r="U420" s="35" t="s">
        <v>4430</v>
      </c>
      <c r="V420" s="35" t="s">
        <v>4431</v>
      </c>
      <c r="W420" s="35" t="s">
        <v>4432</v>
      </c>
      <c r="X420" s="35" t="s">
        <v>4433</v>
      </c>
      <c r="Y420" s="35" t="s">
        <v>4434</v>
      </c>
      <c r="Z420" s="35">
        <v>-79.93977963924408</v>
      </c>
      <c r="AA420" s="35">
        <v>-2.1041704399953489</v>
      </c>
      <c r="AB420" s="35">
        <v>90150517</v>
      </c>
      <c r="AC420" s="35">
        <v>90150517006</v>
      </c>
      <c r="AD420" s="35">
        <v>90150517006017</v>
      </c>
      <c r="AE420" s="63">
        <v>2</v>
      </c>
      <c r="AF420" s="63" t="s">
        <v>64</v>
      </c>
      <c r="AG420" s="29" t="s">
        <v>65</v>
      </c>
      <c r="AH420" s="75"/>
      <c r="AI420" s="65" t="s">
        <v>65</v>
      </c>
      <c r="AJ420" s="32" t="s">
        <v>6938</v>
      </c>
      <c r="AK420" s="33" t="s">
        <v>92</v>
      </c>
      <c r="AL420" s="34">
        <v>45581</v>
      </c>
      <c r="AM420" s="35"/>
      <c r="AN420" s="35"/>
      <c r="AO420" s="35"/>
      <c r="AP420" s="35"/>
      <c r="AQ420" s="37">
        <f t="shared" si="21"/>
        <v>0</v>
      </c>
      <c r="AR420" s="38">
        <f t="shared" si="22"/>
        <v>0</v>
      </c>
      <c r="AS420" s="39">
        <f t="shared" si="23"/>
        <v>0</v>
      </c>
      <c r="AT420" s="99"/>
      <c r="AU420" s="99" t="s">
        <v>1356</v>
      </c>
      <c r="AV420" s="99"/>
      <c r="AW420" s="100"/>
      <c r="AX420" s="99"/>
      <c r="AY420" s="101"/>
      <c r="AZ420" s="99"/>
      <c r="BA420" s="99" t="s">
        <v>1356</v>
      </c>
      <c r="BB420" s="99"/>
      <c r="BC420" s="101"/>
      <c r="BD420" s="99"/>
      <c r="BE420" s="101"/>
      <c r="BF420" s="99"/>
      <c r="BG420" s="99" t="s">
        <v>1356</v>
      </c>
      <c r="BH420" s="99"/>
      <c r="BI420" s="101"/>
      <c r="BJ420" s="99"/>
      <c r="BK420" s="101"/>
      <c r="BL420" s="99"/>
      <c r="BM420" s="99" t="s">
        <v>1356</v>
      </c>
      <c r="BN420" s="99"/>
      <c r="BO420" s="101"/>
      <c r="BP420" s="99"/>
      <c r="BQ420" s="101"/>
      <c r="BR420" s="99"/>
      <c r="BS420" s="99" t="s">
        <v>1356</v>
      </c>
      <c r="BT420" s="99"/>
      <c r="BU420" s="101"/>
      <c r="BV420" s="99"/>
      <c r="BW420" s="101"/>
      <c r="BX420" s="119"/>
      <c r="BY420" s="119" t="s">
        <v>1356</v>
      </c>
      <c r="BZ420" s="119"/>
      <c r="CA420" s="120"/>
      <c r="CB420" s="119"/>
      <c r="CC420" s="120"/>
      <c r="CD420" s="119"/>
      <c r="CE420" s="119" t="s">
        <v>1356</v>
      </c>
      <c r="CF420" s="119"/>
      <c r="CG420" s="120"/>
      <c r="CH420" s="119"/>
      <c r="CI420" s="120"/>
      <c r="CJ420" s="119"/>
      <c r="CK420" s="119" t="s">
        <v>1356</v>
      </c>
      <c r="CL420" s="119"/>
      <c r="CM420" s="120"/>
      <c r="CN420" s="119"/>
      <c r="CO420" s="120"/>
      <c r="CP420" s="119"/>
      <c r="CQ420" s="119" t="s">
        <v>1356</v>
      </c>
      <c r="CR420" s="119"/>
      <c r="CS420" s="120"/>
      <c r="CT420" s="119"/>
      <c r="CU420" s="120"/>
      <c r="CV420" s="119"/>
      <c r="CW420" s="119" t="s">
        <v>1356</v>
      </c>
      <c r="CX420" s="119"/>
      <c r="CY420" s="120"/>
      <c r="CZ420" s="119"/>
      <c r="DA420" s="120"/>
      <c r="DB420" s="36" t="s">
        <v>7085</v>
      </c>
      <c r="DC420" s="59" t="s">
        <v>92</v>
      </c>
    </row>
    <row r="421" spans="1:107" s="40" customFormat="1" x14ac:dyDescent="0.3">
      <c r="A421" s="35" t="s">
        <v>4219</v>
      </c>
      <c r="B421" s="35" t="s">
        <v>4435</v>
      </c>
      <c r="C421" s="35" t="s">
        <v>4436</v>
      </c>
      <c r="D421" s="35" t="s">
        <v>4437</v>
      </c>
      <c r="E421" s="35" t="s">
        <v>70</v>
      </c>
      <c r="F421" s="35" t="s">
        <v>596</v>
      </c>
      <c r="G421" s="35" t="s">
        <v>4237</v>
      </c>
      <c r="H421" s="27" t="s">
        <v>686</v>
      </c>
      <c r="I421" s="62">
        <v>901</v>
      </c>
      <c r="J421" s="62">
        <v>90150</v>
      </c>
      <c r="K421" s="63">
        <v>4</v>
      </c>
      <c r="L421" s="35"/>
      <c r="M421" s="35" t="s">
        <v>4438</v>
      </c>
      <c r="N421" s="35"/>
      <c r="O421" s="35"/>
      <c r="P421" s="35"/>
      <c r="Q421" s="35"/>
      <c r="R421" s="35"/>
      <c r="S421" s="35"/>
      <c r="T421" s="35"/>
      <c r="U421" s="35" t="s">
        <v>4439</v>
      </c>
      <c r="V421" s="35" t="s">
        <v>4440</v>
      </c>
      <c r="W421" s="35" t="s">
        <v>4441</v>
      </c>
      <c r="X421" s="35"/>
      <c r="Y421" s="35"/>
      <c r="Z421" s="35"/>
      <c r="AA421" s="35"/>
      <c r="AB421" s="35"/>
      <c r="AC421" s="35"/>
      <c r="AD421" s="35"/>
      <c r="AE421" s="63">
        <v>2</v>
      </c>
      <c r="AF421" s="63" t="s">
        <v>64</v>
      </c>
      <c r="AG421" s="29" t="s">
        <v>65</v>
      </c>
      <c r="AH421" s="75"/>
      <c r="AI421" s="65" t="s">
        <v>66</v>
      </c>
      <c r="AJ421" s="32" t="s">
        <v>6938</v>
      </c>
      <c r="AK421" s="33" t="s">
        <v>67</v>
      </c>
      <c r="AL421" s="58">
        <v>45573</v>
      </c>
      <c r="AM421" s="35" t="s">
        <v>66</v>
      </c>
      <c r="AN421" s="35"/>
      <c r="AO421" s="35"/>
      <c r="AP421" s="35"/>
      <c r="AQ421" s="37">
        <f t="shared" si="21"/>
        <v>0</v>
      </c>
      <c r="AR421" s="38">
        <f t="shared" si="22"/>
        <v>0</v>
      </c>
      <c r="AS421" s="39">
        <f t="shared" si="23"/>
        <v>0</v>
      </c>
      <c r="AT421" s="99"/>
      <c r="AU421" s="99" t="s">
        <v>1356</v>
      </c>
      <c r="AV421" s="99"/>
      <c r="AW421" s="100"/>
      <c r="AX421" s="99"/>
      <c r="AY421" s="101"/>
      <c r="AZ421" s="99"/>
      <c r="BA421" s="99" t="s">
        <v>1356</v>
      </c>
      <c r="BB421" s="99"/>
      <c r="BC421" s="101"/>
      <c r="BD421" s="99"/>
      <c r="BE421" s="101"/>
      <c r="BF421" s="99"/>
      <c r="BG421" s="99" t="s">
        <v>1356</v>
      </c>
      <c r="BH421" s="99"/>
      <c r="BI421" s="101"/>
      <c r="BJ421" s="99"/>
      <c r="BK421" s="101"/>
      <c r="BL421" s="99"/>
      <c r="BM421" s="99" t="s">
        <v>1356</v>
      </c>
      <c r="BN421" s="99"/>
      <c r="BO421" s="101"/>
      <c r="BP421" s="99"/>
      <c r="BQ421" s="101"/>
      <c r="BR421" s="99"/>
      <c r="BS421" s="99" t="s">
        <v>1356</v>
      </c>
      <c r="BT421" s="99"/>
      <c r="BU421" s="101"/>
      <c r="BV421" s="99"/>
      <c r="BW421" s="101"/>
      <c r="BX421" s="119"/>
      <c r="BY421" s="119" t="s">
        <v>1356</v>
      </c>
      <c r="BZ421" s="119"/>
      <c r="CA421" s="120"/>
      <c r="CB421" s="119"/>
      <c r="CC421" s="120"/>
      <c r="CD421" s="119"/>
      <c r="CE421" s="119" t="s">
        <v>1356</v>
      </c>
      <c r="CF421" s="119"/>
      <c r="CG421" s="120"/>
      <c r="CH421" s="119"/>
      <c r="CI421" s="120"/>
      <c r="CJ421" s="119"/>
      <c r="CK421" s="119" t="s">
        <v>1356</v>
      </c>
      <c r="CL421" s="119"/>
      <c r="CM421" s="120"/>
      <c r="CN421" s="119"/>
      <c r="CO421" s="120"/>
      <c r="CP421" s="119"/>
      <c r="CQ421" s="119" t="s">
        <v>1356</v>
      </c>
      <c r="CR421" s="119"/>
      <c r="CS421" s="120"/>
      <c r="CT421" s="119"/>
      <c r="CU421" s="120"/>
      <c r="CV421" s="119"/>
      <c r="CW421" s="119" t="s">
        <v>1356</v>
      </c>
      <c r="CX421" s="119"/>
      <c r="CY421" s="120"/>
      <c r="CZ421" s="119"/>
      <c r="DA421" s="120"/>
      <c r="DB421" s="36" t="s">
        <v>7085</v>
      </c>
      <c r="DC421" s="59" t="s">
        <v>6751</v>
      </c>
    </row>
    <row r="422" spans="1:107" s="40" customFormat="1" x14ac:dyDescent="0.3">
      <c r="A422" s="35" t="s">
        <v>4219</v>
      </c>
      <c r="B422" s="35" t="s">
        <v>4442</v>
      </c>
      <c r="C422" s="35" t="s">
        <v>4443</v>
      </c>
      <c r="D422" s="35" t="s">
        <v>4444</v>
      </c>
      <c r="E422" s="35" t="s">
        <v>4445</v>
      </c>
      <c r="F422" s="35" t="s">
        <v>190</v>
      </c>
      <c r="G422" s="35" t="s">
        <v>4237</v>
      </c>
      <c r="H422" s="27" t="s">
        <v>686</v>
      </c>
      <c r="I422" s="62">
        <v>901</v>
      </c>
      <c r="J422" s="62">
        <v>90150</v>
      </c>
      <c r="K422" s="63">
        <v>4</v>
      </c>
      <c r="L422" s="35" t="s">
        <v>4446</v>
      </c>
      <c r="M422" s="35" t="s">
        <v>4370</v>
      </c>
      <c r="N422" s="35"/>
      <c r="O422" s="35" t="s">
        <v>4447</v>
      </c>
      <c r="P422" s="35"/>
      <c r="Q422" s="35"/>
      <c r="R422" s="35"/>
      <c r="S422" s="35"/>
      <c r="T422" s="35"/>
      <c r="U422" s="35"/>
      <c r="V422" s="35"/>
      <c r="W422" s="35" t="s">
        <v>4448</v>
      </c>
      <c r="X422" s="35"/>
      <c r="Y422" s="35"/>
      <c r="Z422" s="35"/>
      <c r="AA422" s="35"/>
      <c r="AB422" s="35"/>
      <c r="AC422" s="35"/>
      <c r="AD422" s="35"/>
      <c r="AE422" s="63">
        <v>2</v>
      </c>
      <c r="AF422" s="63" t="s">
        <v>64</v>
      </c>
      <c r="AG422" s="29" t="s">
        <v>65</v>
      </c>
      <c r="AH422" s="75"/>
      <c r="AI422" s="65" t="s">
        <v>66</v>
      </c>
      <c r="AJ422" s="32" t="s">
        <v>6938</v>
      </c>
      <c r="AK422" s="33" t="s">
        <v>67</v>
      </c>
      <c r="AL422" s="58">
        <v>45582</v>
      </c>
      <c r="AM422" s="35" t="s">
        <v>66</v>
      </c>
      <c r="AN422" s="35"/>
      <c r="AO422" s="35"/>
      <c r="AP422" s="35"/>
      <c r="AQ422" s="37">
        <f t="shared" si="21"/>
        <v>0</v>
      </c>
      <c r="AR422" s="38">
        <f t="shared" si="22"/>
        <v>0</v>
      </c>
      <c r="AS422" s="39">
        <f t="shared" si="23"/>
        <v>0</v>
      </c>
      <c r="AT422" s="99"/>
      <c r="AU422" s="99" t="s">
        <v>1356</v>
      </c>
      <c r="AV422" s="99"/>
      <c r="AW422" s="100"/>
      <c r="AX422" s="99"/>
      <c r="AY422" s="101"/>
      <c r="AZ422" s="99"/>
      <c r="BA422" s="99" t="s">
        <v>1356</v>
      </c>
      <c r="BB422" s="99"/>
      <c r="BC422" s="101"/>
      <c r="BD422" s="99"/>
      <c r="BE422" s="101"/>
      <c r="BF422" s="99"/>
      <c r="BG422" s="99" t="s">
        <v>1356</v>
      </c>
      <c r="BH422" s="99"/>
      <c r="BI422" s="101"/>
      <c r="BJ422" s="99"/>
      <c r="BK422" s="101"/>
      <c r="BL422" s="99"/>
      <c r="BM422" s="99" t="s">
        <v>1356</v>
      </c>
      <c r="BN422" s="99"/>
      <c r="BO422" s="101"/>
      <c r="BP422" s="99"/>
      <c r="BQ422" s="101"/>
      <c r="BR422" s="99"/>
      <c r="BS422" s="99" t="s">
        <v>1356</v>
      </c>
      <c r="BT422" s="99"/>
      <c r="BU422" s="101"/>
      <c r="BV422" s="99"/>
      <c r="BW422" s="101"/>
      <c r="BX422" s="119"/>
      <c r="BY422" s="119" t="s">
        <v>1356</v>
      </c>
      <c r="BZ422" s="119"/>
      <c r="CA422" s="120"/>
      <c r="CB422" s="119"/>
      <c r="CC422" s="120"/>
      <c r="CD422" s="119"/>
      <c r="CE422" s="119" t="s">
        <v>1356</v>
      </c>
      <c r="CF422" s="119"/>
      <c r="CG422" s="120"/>
      <c r="CH422" s="119"/>
      <c r="CI422" s="120"/>
      <c r="CJ422" s="119"/>
      <c r="CK422" s="119" t="s">
        <v>1356</v>
      </c>
      <c r="CL422" s="119"/>
      <c r="CM422" s="120"/>
      <c r="CN422" s="119"/>
      <c r="CO422" s="120"/>
      <c r="CP422" s="119"/>
      <c r="CQ422" s="119" t="s">
        <v>1356</v>
      </c>
      <c r="CR422" s="119"/>
      <c r="CS422" s="120"/>
      <c r="CT422" s="119"/>
      <c r="CU422" s="120"/>
      <c r="CV422" s="119"/>
      <c r="CW422" s="119" t="s">
        <v>1356</v>
      </c>
      <c r="CX422" s="119"/>
      <c r="CY422" s="120"/>
      <c r="CZ422" s="119"/>
      <c r="DA422" s="120"/>
      <c r="DB422" s="36" t="s">
        <v>7085</v>
      </c>
      <c r="DC422" s="59" t="s">
        <v>6751</v>
      </c>
    </row>
    <row r="423" spans="1:107" s="40" customFormat="1" x14ac:dyDescent="0.3">
      <c r="A423" s="35" t="s">
        <v>4219</v>
      </c>
      <c r="B423" s="35" t="s">
        <v>4449</v>
      </c>
      <c r="C423" s="35" t="s">
        <v>4450</v>
      </c>
      <c r="D423" s="35" t="s">
        <v>4451</v>
      </c>
      <c r="E423" s="35" t="s">
        <v>4452</v>
      </c>
      <c r="F423" s="35" t="s">
        <v>190</v>
      </c>
      <c r="G423" s="35" t="s">
        <v>4329</v>
      </c>
      <c r="H423" s="27" t="s">
        <v>6935</v>
      </c>
      <c r="I423" s="62">
        <v>2301</v>
      </c>
      <c r="J423" s="62">
        <v>230150</v>
      </c>
      <c r="K423" s="63">
        <v>3</v>
      </c>
      <c r="L423" s="35" t="s">
        <v>4453</v>
      </c>
      <c r="M423" s="35" t="s">
        <v>441</v>
      </c>
      <c r="N423" s="35" t="s">
        <v>2591</v>
      </c>
      <c r="O423" s="35"/>
      <c r="P423" s="35"/>
      <c r="Q423" s="35"/>
      <c r="R423" s="35"/>
      <c r="S423" s="35"/>
      <c r="T423" s="35"/>
      <c r="U423" s="35"/>
      <c r="V423" s="35"/>
      <c r="W423" s="35" t="s">
        <v>4454</v>
      </c>
      <c r="X423" s="35"/>
      <c r="Y423" s="35" t="s">
        <v>4455</v>
      </c>
      <c r="Z423" s="35"/>
      <c r="AA423" s="35"/>
      <c r="AB423" s="35"/>
      <c r="AC423" s="35"/>
      <c r="AD423" s="35"/>
      <c r="AE423" s="63">
        <v>2</v>
      </c>
      <c r="AF423" s="63" t="s">
        <v>64</v>
      </c>
      <c r="AG423" s="29" t="s">
        <v>65</v>
      </c>
      <c r="AH423" s="75"/>
      <c r="AI423" s="65" t="s">
        <v>66</v>
      </c>
      <c r="AJ423" s="32" t="s">
        <v>6938</v>
      </c>
      <c r="AK423" s="33" t="s">
        <v>67</v>
      </c>
      <c r="AL423" s="34">
        <v>45562</v>
      </c>
      <c r="AM423" s="35" t="s">
        <v>66</v>
      </c>
      <c r="AN423" s="35"/>
      <c r="AO423" s="35"/>
      <c r="AP423" s="35"/>
      <c r="AQ423" s="37">
        <f t="shared" si="21"/>
        <v>0</v>
      </c>
      <c r="AR423" s="38">
        <f t="shared" si="22"/>
        <v>0</v>
      </c>
      <c r="AS423" s="39">
        <f t="shared" si="23"/>
        <v>0</v>
      </c>
      <c r="AT423" s="99"/>
      <c r="AU423" s="99" t="s">
        <v>1356</v>
      </c>
      <c r="AV423" s="99"/>
      <c r="AW423" s="100"/>
      <c r="AX423" s="99"/>
      <c r="AY423" s="101"/>
      <c r="AZ423" s="99"/>
      <c r="BA423" s="99" t="s">
        <v>1356</v>
      </c>
      <c r="BB423" s="99"/>
      <c r="BC423" s="101"/>
      <c r="BD423" s="99"/>
      <c r="BE423" s="101"/>
      <c r="BF423" s="99"/>
      <c r="BG423" s="99" t="s">
        <v>1356</v>
      </c>
      <c r="BH423" s="99"/>
      <c r="BI423" s="101"/>
      <c r="BJ423" s="99"/>
      <c r="BK423" s="101"/>
      <c r="BL423" s="99"/>
      <c r="BM423" s="99" t="s">
        <v>1356</v>
      </c>
      <c r="BN423" s="99"/>
      <c r="BO423" s="101"/>
      <c r="BP423" s="99"/>
      <c r="BQ423" s="101"/>
      <c r="BR423" s="99"/>
      <c r="BS423" s="99" t="s">
        <v>1356</v>
      </c>
      <c r="BT423" s="99"/>
      <c r="BU423" s="101"/>
      <c r="BV423" s="99"/>
      <c r="BW423" s="101"/>
      <c r="BX423" s="119"/>
      <c r="BY423" s="119" t="s">
        <v>1356</v>
      </c>
      <c r="BZ423" s="119"/>
      <c r="CA423" s="120"/>
      <c r="CB423" s="119"/>
      <c r="CC423" s="120"/>
      <c r="CD423" s="119"/>
      <c r="CE423" s="119" t="s">
        <v>1356</v>
      </c>
      <c r="CF423" s="119"/>
      <c r="CG423" s="120"/>
      <c r="CH423" s="119"/>
      <c r="CI423" s="120"/>
      <c r="CJ423" s="119"/>
      <c r="CK423" s="119" t="s">
        <v>1356</v>
      </c>
      <c r="CL423" s="119"/>
      <c r="CM423" s="120"/>
      <c r="CN423" s="119"/>
      <c r="CO423" s="120"/>
      <c r="CP423" s="119"/>
      <c r="CQ423" s="119" t="s">
        <v>1356</v>
      </c>
      <c r="CR423" s="119"/>
      <c r="CS423" s="120"/>
      <c r="CT423" s="119"/>
      <c r="CU423" s="120"/>
      <c r="CV423" s="119"/>
      <c r="CW423" s="119" t="s">
        <v>1356</v>
      </c>
      <c r="CX423" s="119"/>
      <c r="CY423" s="120"/>
      <c r="CZ423" s="119"/>
      <c r="DA423" s="120"/>
      <c r="DB423" s="36" t="s">
        <v>7085</v>
      </c>
      <c r="DC423" s="59" t="s">
        <v>6751</v>
      </c>
    </row>
    <row r="424" spans="1:107" s="40" customFormat="1" x14ac:dyDescent="0.3">
      <c r="A424" s="35" t="s">
        <v>4219</v>
      </c>
      <c r="B424" s="35" t="s">
        <v>4456</v>
      </c>
      <c r="C424" s="35" t="s">
        <v>4457</v>
      </c>
      <c r="D424" s="35" t="s">
        <v>4458</v>
      </c>
      <c r="E424" s="35" t="s">
        <v>4459</v>
      </c>
      <c r="F424" s="35" t="s">
        <v>190</v>
      </c>
      <c r="G424" s="35" t="s">
        <v>4329</v>
      </c>
      <c r="H424" s="27" t="s">
        <v>6935</v>
      </c>
      <c r="I424" s="62">
        <v>2301</v>
      </c>
      <c r="J424" s="62">
        <v>230153</v>
      </c>
      <c r="K424" s="63">
        <v>4</v>
      </c>
      <c r="L424" s="35" t="s">
        <v>4460</v>
      </c>
      <c r="M424" s="35" t="s">
        <v>810</v>
      </c>
      <c r="N424" s="35"/>
      <c r="O424" s="35" t="s">
        <v>4230</v>
      </c>
      <c r="P424" s="35"/>
      <c r="Q424" s="35"/>
      <c r="R424" s="35"/>
      <c r="S424" s="35"/>
      <c r="T424" s="35"/>
      <c r="U424" s="35"/>
      <c r="V424" s="35"/>
      <c r="W424" s="35" t="s">
        <v>4461</v>
      </c>
      <c r="X424" s="35" t="s">
        <v>4462</v>
      </c>
      <c r="Y424" s="35" t="s">
        <v>1671</v>
      </c>
      <c r="Z424" s="35"/>
      <c r="AA424" s="35"/>
      <c r="AB424" s="35"/>
      <c r="AC424" s="35"/>
      <c r="AD424" s="35"/>
      <c r="AE424" s="63">
        <v>2</v>
      </c>
      <c r="AF424" s="63" t="s">
        <v>64</v>
      </c>
      <c r="AG424" s="29" t="s">
        <v>65</v>
      </c>
      <c r="AH424" s="75"/>
      <c r="AI424" s="65" t="s">
        <v>66</v>
      </c>
      <c r="AJ424" s="32" t="s">
        <v>6938</v>
      </c>
      <c r="AK424" s="33" t="s">
        <v>67</v>
      </c>
      <c r="AL424" s="34">
        <v>45561</v>
      </c>
      <c r="AM424" s="35" t="s">
        <v>66</v>
      </c>
      <c r="AN424" s="35"/>
      <c r="AO424" s="35"/>
      <c r="AP424" s="35"/>
      <c r="AQ424" s="37">
        <f t="shared" si="21"/>
        <v>0</v>
      </c>
      <c r="AR424" s="38">
        <f t="shared" si="22"/>
        <v>0</v>
      </c>
      <c r="AS424" s="39">
        <f t="shared" si="23"/>
        <v>0</v>
      </c>
      <c r="AT424" s="99"/>
      <c r="AU424" s="99" t="s">
        <v>1356</v>
      </c>
      <c r="AV424" s="99"/>
      <c r="AW424" s="100"/>
      <c r="AX424" s="99"/>
      <c r="AY424" s="101"/>
      <c r="AZ424" s="99"/>
      <c r="BA424" s="99" t="s">
        <v>1356</v>
      </c>
      <c r="BB424" s="99"/>
      <c r="BC424" s="101"/>
      <c r="BD424" s="99"/>
      <c r="BE424" s="101"/>
      <c r="BF424" s="99"/>
      <c r="BG424" s="99" t="s">
        <v>1356</v>
      </c>
      <c r="BH424" s="99"/>
      <c r="BI424" s="101"/>
      <c r="BJ424" s="99"/>
      <c r="BK424" s="101"/>
      <c r="BL424" s="99"/>
      <c r="BM424" s="99" t="s">
        <v>1356</v>
      </c>
      <c r="BN424" s="99"/>
      <c r="BO424" s="101"/>
      <c r="BP424" s="99"/>
      <c r="BQ424" s="101"/>
      <c r="BR424" s="99"/>
      <c r="BS424" s="99" t="s">
        <v>1356</v>
      </c>
      <c r="BT424" s="99"/>
      <c r="BU424" s="101"/>
      <c r="BV424" s="99"/>
      <c r="BW424" s="101"/>
      <c r="BX424" s="119"/>
      <c r="BY424" s="119" t="s">
        <v>1356</v>
      </c>
      <c r="BZ424" s="119"/>
      <c r="CA424" s="120"/>
      <c r="CB424" s="119"/>
      <c r="CC424" s="120"/>
      <c r="CD424" s="119"/>
      <c r="CE424" s="119" t="s">
        <v>1356</v>
      </c>
      <c r="CF424" s="119"/>
      <c r="CG424" s="120"/>
      <c r="CH424" s="119"/>
      <c r="CI424" s="120"/>
      <c r="CJ424" s="119"/>
      <c r="CK424" s="119" t="s">
        <v>1356</v>
      </c>
      <c r="CL424" s="119"/>
      <c r="CM424" s="120"/>
      <c r="CN424" s="119"/>
      <c r="CO424" s="120"/>
      <c r="CP424" s="119"/>
      <c r="CQ424" s="119" t="s">
        <v>1356</v>
      </c>
      <c r="CR424" s="119"/>
      <c r="CS424" s="120"/>
      <c r="CT424" s="119"/>
      <c r="CU424" s="120"/>
      <c r="CV424" s="119"/>
      <c r="CW424" s="119" t="s">
        <v>1356</v>
      </c>
      <c r="CX424" s="119"/>
      <c r="CY424" s="120"/>
      <c r="CZ424" s="119"/>
      <c r="DA424" s="120"/>
      <c r="DB424" s="36" t="s">
        <v>7085</v>
      </c>
      <c r="DC424" s="59" t="s">
        <v>6751</v>
      </c>
    </row>
    <row r="425" spans="1:107" s="40" customFormat="1" x14ac:dyDescent="0.3">
      <c r="A425" s="35" t="s">
        <v>4219</v>
      </c>
      <c r="B425" s="35" t="s">
        <v>4463</v>
      </c>
      <c r="C425" s="35" t="s">
        <v>4464</v>
      </c>
      <c r="D425" s="35" t="s">
        <v>4465</v>
      </c>
      <c r="E425" s="35" t="s">
        <v>70</v>
      </c>
      <c r="F425" s="35" t="s">
        <v>190</v>
      </c>
      <c r="G425" s="35" t="s">
        <v>461</v>
      </c>
      <c r="H425" s="27" t="s">
        <v>6933</v>
      </c>
      <c r="I425" s="62">
        <v>1311</v>
      </c>
      <c r="J425" s="62">
        <v>131150</v>
      </c>
      <c r="K425" s="63">
        <v>3</v>
      </c>
      <c r="L425" s="35" t="s">
        <v>4466</v>
      </c>
      <c r="M425" s="35"/>
      <c r="N425" s="35"/>
      <c r="O425" s="35" t="s">
        <v>4467</v>
      </c>
      <c r="P425" s="35"/>
      <c r="Q425" s="35"/>
      <c r="R425" s="35"/>
      <c r="S425" s="35"/>
      <c r="T425" s="35"/>
      <c r="U425" s="35" t="s">
        <v>3398</v>
      </c>
      <c r="V425" s="35"/>
      <c r="W425" s="35" t="s">
        <v>4468</v>
      </c>
      <c r="X425" s="35"/>
      <c r="Y425" s="35" t="s">
        <v>4469</v>
      </c>
      <c r="Z425" s="35"/>
      <c r="AA425" s="35"/>
      <c r="AB425" s="35"/>
      <c r="AC425" s="35"/>
      <c r="AD425" s="35"/>
      <c r="AE425" s="63">
        <v>2</v>
      </c>
      <c r="AF425" s="63" t="s">
        <v>64</v>
      </c>
      <c r="AG425" s="29" t="s">
        <v>65</v>
      </c>
      <c r="AH425" s="75"/>
      <c r="AI425" s="65" t="s">
        <v>66</v>
      </c>
      <c r="AJ425" s="32" t="s">
        <v>6938</v>
      </c>
      <c r="AK425" s="33" t="s">
        <v>67</v>
      </c>
      <c r="AL425" s="34">
        <v>45553</v>
      </c>
      <c r="AM425" s="35" t="s">
        <v>66</v>
      </c>
      <c r="AN425" s="35"/>
      <c r="AO425" s="35"/>
      <c r="AP425" s="35"/>
      <c r="AQ425" s="37">
        <f t="shared" si="21"/>
        <v>0</v>
      </c>
      <c r="AR425" s="38">
        <f t="shared" si="22"/>
        <v>0</v>
      </c>
      <c r="AS425" s="39">
        <f t="shared" si="23"/>
        <v>0</v>
      </c>
      <c r="AT425" s="99"/>
      <c r="AU425" s="99" t="s">
        <v>1356</v>
      </c>
      <c r="AV425" s="99"/>
      <c r="AW425" s="100"/>
      <c r="AX425" s="99"/>
      <c r="AY425" s="101"/>
      <c r="AZ425" s="99"/>
      <c r="BA425" s="99" t="s">
        <v>1356</v>
      </c>
      <c r="BB425" s="99"/>
      <c r="BC425" s="101"/>
      <c r="BD425" s="99"/>
      <c r="BE425" s="101"/>
      <c r="BF425" s="99"/>
      <c r="BG425" s="99" t="s">
        <v>1356</v>
      </c>
      <c r="BH425" s="99"/>
      <c r="BI425" s="101"/>
      <c r="BJ425" s="99"/>
      <c r="BK425" s="101"/>
      <c r="BL425" s="99"/>
      <c r="BM425" s="99" t="s">
        <v>1356</v>
      </c>
      <c r="BN425" s="99"/>
      <c r="BO425" s="101"/>
      <c r="BP425" s="99"/>
      <c r="BQ425" s="101"/>
      <c r="BR425" s="99"/>
      <c r="BS425" s="99" t="s">
        <v>1356</v>
      </c>
      <c r="BT425" s="99"/>
      <c r="BU425" s="101"/>
      <c r="BV425" s="99"/>
      <c r="BW425" s="101"/>
      <c r="BX425" s="119"/>
      <c r="BY425" s="119" t="s">
        <v>1356</v>
      </c>
      <c r="BZ425" s="119"/>
      <c r="CA425" s="120"/>
      <c r="CB425" s="119"/>
      <c r="CC425" s="120"/>
      <c r="CD425" s="119"/>
      <c r="CE425" s="119" t="s">
        <v>1356</v>
      </c>
      <c r="CF425" s="119"/>
      <c r="CG425" s="120"/>
      <c r="CH425" s="119"/>
      <c r="CI425" s="120"/>
      <c r="CJ425" s="119"/>
      <c r="CK425" s="119" t="s">
        <v>1356</v>
      </c>
      <c r="CL425" s="119"/>
      <c r="CM425" s="120"/>
      <c r="CN425" s="119"/>
      <c r="CO425" s="120"/>
      <c r="CP425" s="119"/>
      <c r="CQ425" s="119" t="s">
        <v>1356</v>
      </c>
      <c r="CR425" s="119"/>
      <c r="CS425" s="120"/>
      <c r="CT425" s="119"/>
      <c r="CU425" s="120"/>
      <c r="CV425" s="119"/>
      <c r="CW425" s="119" t="s">
        <v>1356</v>
      </c>
      <c r="CX425" s="119"/>
      <c r="CY425" s="120"/>
      <c r="CZ425" s="119"/>
      <c r="DA425" s="120"/>
      <c r="DB425" s="36" t="s">
        <v>7085</v>
      </c>
      <c r="DC425" s="59" t="s">
        <v>6751</v>
      </c>
    </row>
    <row r="426" spans="1:107" s="40" customFormat="1" x14ac:dyDescent="0.3">
      <c r="A426" s="35" t="s">
        <v>4219</v>
      </c>
      <c r="B426" s="35" t="s">
        <v>4470</v>
      </c>
      <c r="C426" s="35" t="s">
        <v>4471</v>
      </c>
      <c r="D426" s="35" t="s">
        <v>4472</v>
      </c>
      <c r="E426" s="35" t="s">
        <v>70</v>
      </c>
      <c r="F426" s="35" t="s">
        <v>201</v>
      </c>
      <c r="G426" s="35" t="s">
        <v>4237</v>
      </c>
      <c r="H426" s="27" t="s">
        <v>686</v>
      </c>
      <c r="I426" s="62">
        <v>907</v>
      </c>
      <c r="J426" s="62">
        <v>90750</v>
      </c>
      <c r="K426" s="63">
        <v>4</v>
      </c>
      <c r="L426" s="35" t="s">
        <v>4473</v>
      </c>
      <c r="M426" s="35" t="s">
        <v>4238</v>
      </c>
      <c r="N426" s="35"/>
      <c r="O426" s="35" t="s">
        <v>933</v>
      </c>
      <c r="P426" s="35"/>
      <c r="Q426" s="35"/>
      <c r="R426" s="35"/>
      <c r="S426" s="35"/>
      <c r="T426" s="35" t="s">
        <v>4474</v>
      </c>
      <c r="U426" s="35"/>
      <c r="V426" s="35" t="s">
        <v>4475</v>
      </c>
      <c r="W426" s="35" t="s">
        <v>4476</v>
      </c>
      <c r="X426" s="35"/>
      <c r="Y426" s="35" t="s">
        <v>4477</v>
      </c>
      <c r="Z426" s="35"/>
      <c r="AA426" s="35"/>
      <c r="AB426" s="35"/>
      <c r="AC426" s="35"/>
      <c r="AD426" s="35"/>
      <c r="AE426" s="63">
        <v>2</v>
      </c>
      <c r="AF426" s="63" t="s">
        <v>64</v>
      </c>
      <c r="AG426" s="29" t="s">
        <v>65</v>
      </c>
      <c r="AH426" s="75"/>
      <c r="AI426" s="65" t="s">
        <v>66</v>
      </c>
      <c r="AJ426" s="32" t="s">
        <v>6938</v>
      </c>
      <c r="AK426" s="33" t="s">
        <v>67</v>
      </c>
      <c r="AL426" s="34">
        <v>45562</v>
      </c>
      <c r="AM426" s="35" t="s">
        <v>66</v>
      </c>
      <c r="AN426" s="35"/>
      <c r="AO426" s="35"/>
      <c r="AP426" s="35"/>
      <c r="AQ426" s="37">
        <f t="shared" si="21"/>
        <v>0</v>
      </c>
      <c r="AR426" s="38">
        <f t="shared" si="22"/>
        <v>0</v>
      </c>
      <c r="AS426" s="39">
        <f t="shared" si="23"/>
        <v>0</v>
      </c>
      <c r="AT426" s="99"/>
      <c r="AU426" s="99" t="s">
        <v>1356</v>
      </c>
      <c r="AV426" s="99"/>
      <c r="AW426" s="100"/>
      <c r="AX426" s="99"/>
      <c r="AY426" s="101"/>
      <c r="AZ426" s="99"/>
      <c r="BA426" s="99" t="s">
        <v>1356</v>
      </c>
      <c r="BB426" s="99"/>
      <c r="BC426" s="101"/>
      <c r="BD426" s="99"/>
      <c r="BE426" s="101"/>
      <c r="BF426" s="99"/>
      <c r="BG426" s="99" t="s">
        <v>1356</v>
      </c>
      <c r="BH426" s="99"/>
      <c r="BI426" s="101"/>
      <c r="BJ426" s="99"/>
      <c r="BK426" s="101"/>
      <c r="BL426" s="99"/>
      <c r="BM426" s="99" t="s">
        <v>1356</v>
      </c>
      <c r="BN426" s="99"/>
      <c r="BO426" s="101"/>
      <c r="BP426" s="99"/>
      <c r="BQ426" s="101"/>
      <c r="BR426" s="99"/>
      <c r="BS426" s="99" t="s">
        <v>1356</v>
      </c>
      <c r="BT426" s="99"/>
      <c r="BU426" s="101"/>
      <c r="BV426" s="99"/>
      <c r="BW426" s="101"/>
      <c r="BX426" s="119"/>
      <c r="BY426" s="119" t="s">
        <v>1356</v>
      </c>
      <c r="BZ426" s="119"/>
      <c r="CA426" s="120"/>
      <c r="CB426" s="119"/>
      <c r="CC426" s="120"/>
      <c r="CD426" s="119"/>
      <c r="CE426" s="119" t="s">
        <v>1356</v>
      </c>
      <c r="CF426" s="119"/>
      <c r="CG426" s="120"/>
      <c r="CH426" s="119"/>
      <c r="CI426" s="120"/>
      <c r="CJ426" s="119"/>
      <c r="CK426" s="119" t="s">
        <v>1356</v>
      </c>
      <c r="CL426" s="119"/>
      <c r="CM426" s="120"/>
      <c r="CN426" s="119"/>
      <c r="CO426" s="120"/>
      <c r="CP426" s="119"/>
      <c r="CQ426" s="119" t="s">
        <v>1356</v>
      </c>
      <c r="CR426" s="119"/>
      <c r="CS426" s="120"/>
      <c r="CT426" s="119"/>
      <c r="CU426" s="120"/>
      <c r="CV426" s="119"/>
      <c r="CW426" s="119" t="s">
        <v>1356</v>
      </c>
      <c r="CX426" s="119"/>
      <c r="CY426" s="120"/>
      <c r="CZ426" s="119"/>
      <c r="DA426" s="120"/>
      <c r="DB426" s="36" t="s">
        <v>7085</v>
      </c>
      <c r="DC426" s="59" t="s">
        <v>2935</v>
      </c>
    </row>
    <row r="427" spans="1:107" s="40" customFormat="1" x14ac:dyDescent="0.3">
      <c r="A427" s="35" t="s">
        <v>4219</v>
      </c>
      <c r="B427" s="35" t="s">
        <v>4478</v>
      </c>
      <c r="C427" s="35" t="s">
        <v>4479</v>
      </c>
      <c r="D427" s="35" t="s">
        <v>4480</v>
      </c>
      <c r="E427" s="35" t="s">
        <v>70</v>
      </c>
      <c r="F427" s="35" t="s">
        <v>210</v>
      </c>
      <c r="G427" s="35" t="s">
        <v>4237</v>
      </c>
      <c r="H427" s="27" t="s">
        <v>686</v>
      </c>
      <c r="I427" s="62">
        <v>901</v>
      </c>
      <c r="J427" s="62">
        <v>90150</v>
      </c>
      <c r="K427" s="63">
        <v>4</v>
      </c>
      <c r="L427" s="35" t="s">
        <v>4481</v>
      </c>
      <c r="M427" s="35" t="s">
        <v>4482</v>
      </c>
      <c r="N427" s="35" t="s">
        <v>4483</v>
      </c>
      <c r="O427" s="35" t="s">
        <v>4484</v>
      </c>
      <c r="P427" s="35"/>
      <c r="Q427" s="35"/>
      <c r="R427" s="35"/>
      <c r="S427" s="35"/>
      <c r="T427" s="35" t="s">
        <v>4485</v>
      </c>
      <c r="U427" s="35"/>
      <c r="V427" s="35"/>
      <c r="W427" s="35" t="s">
        <v>4486</v>
      </c>
      <c r="X427" s="35" t="s">
        <v>4487</v>
      </c>
      <c r="Y427" s="35" t="s">
        <v>4488</v>
      </c>
      <c r="Z427" s="35"/>
      <c r="AA427" s="35"/>
      <c r="AB427" s="35"/>
      <c r="AC427" s="35"/>
      <c r="AD427" s="35"/>
      <c r="AE427" s="63">
        <v>2</v>
      </c>
      <c r="AF427" s="63" t="s">
        <v>64</v>
      </c>
      <c r="AG427" s="29" t="s">
        <v>65</v>
      </c>
      <c r="AH427" s="75"/>
      <c r="AI427" s="65" t="s">
        <v>66</v>
      </c>
      <c r="AJ427" s="32" t="s">
        <v>6938</v>
      </c>
      <c r="AK427" s="33" t="s">
        <v>67</v>
      </c>
      <c r="AL427" s="34">
        <v>45576</v>
      </c>
      <c r="AM427" s="35" t="s">
        <v>66</v>
      </c>
      <c r="AN427" s="35"/>
      <c r="AO427" s="35"/>
      <c r="AP427" s="35"/>
      <c r="AQ427" s="37">
        <f t="shared" si="21"/>
        <v>0</v>
      </c>
      <c r="AR427" s="38">
        <f t="shared" si="22"/>
        <v>0</v>
      </c>
      <c r="AS427" s="39">
        <f t="shared" si="23"/>
        <v>0</v>
      </c>
      <c r="AT427" s="99"/>
      <c r="AU427" s="99" t="s">
        <v>1356</v>
      </c>
      <c r="AV427" s="99"/>
      <c r="AW427" s="100"/>
      <c r="AX427" s="99"/>
      <c r="AY427" s="101"/>
      <c r="AZ427" s="99"/>
      <c r="BA427" s="99" t="s">
        <v>1356</v>
      </c>
      <c r="BB427" s="99"/>
      <c r="BC427" s="101"/>
      <c r="BD427" s="99"/>
      <c r="BE427" s="101"/>
      <c r="BF427" s="99"/>
      <c r="BG427" s="99" t="s">
        <v>1356</v>
      </c>
      <c r="BH427" s="99"/>
      <c r="BI427" s="101"/>
      <c r="BJ427" s="99"/>
      <c r="BK427" s="101"/>
      <c r="BL427" s="99"/>
      <c r="BM427" s="99" t="s">
        <v>1356</v>
      </c>
      <c r="BN427" s="99"/>
      <c r="BO427" s="101"/>
      <c r="BP427" s="99"/>
      <c r="BQ427" s="101"/>
      <c r="BR427" s="99"/>
      <c r="BS427" s="99" t="s">
        <v>1356</v>
      </c>
      <c r="BT427" s="99"/>
      <c r="BU427" s="101"/>
      <c r="BV427" s="99"/>
      <c r="BW427" s="101"/>
      <c r="BX427" s="119"/>
      <c r="BY427" s="119" t="s">
        <v>1356</v>
      </c>
      <c r="BZ427" s="119"/>
      <c r="CA427" s="120"/>
      <c r="CB427" s="119"/>
      <c r="CC427" s="120"/>
      <c r="CD427" s="119"/>
      <c r="CE427" s="119" t="s">
        <v>1356</v>
      </c>
      <c r="CF427" s="119"/>
      <c r="CG427" s="120"/>
      <c r="CH427" s="119"/>
      <c r="CI427" s="120"/>
      <c r="CJ427" s="119"/>
      <c r="CK427" s="119" t="s">
        <v>1356</v>
      </c>
      <c r="CL427" s="119"/>
      <c r="CM427" s="120"/>
      <c r="CN427" s="119"/>
      <c r="CO427" s="120"/>
      <c r="CP427" s="119"/>
      <c r="CQ427" s="119" t="s">
        <v>1356</v>
      </c>
      <c r="CR427" s="119"/>
      <c r="CS427" s="120"/>
      <c r="CT427" s="119"/>
      <c r="CU427" s="120"/>
      <c r="CV427" s="119"/>
      <c r="CW427" s="119" t="s">
        <v>1356</v>
      </c>
      <c r="CX427" s="119"/>
      <c r="CY427" s="120"/>
      <c r="CZ427" s="119"/>
      <c r="DA427" s="120"/>
      <c r="DB427" s="36" t="s">
        <v>7085</v>
      </c>
      <c r="DC427" s="59" t="s">
        <v>6751</v>
      </c>
    </row>
    <row r="428" spans="1:107" s="40" customFormat="1" x14ac:dyDescent="0.3">
      <c r="A428" s="35" t="s">
        <v>4219</v>
      </c>
      <c r="B428" s="35" t="s">
        <v>4489</v>
      </c>
      <c r="C428" s="35" t="s">
        <v>4490</v>
      </c>
      <c r="D428" s="35" t="s">
        <v>4491</v>
      </c>
      <c r="E428" s="35" t="s">
        <v>70</v>
      </c>
      <c r="F428" s="35" t="s">
        <v>210</v>
      </c>
      <c r="G428" s="35" t="s">
        <v>4237</v>
      </c>
      <c r="H428" s="27" t="s">
        <v>686</v>
      </c>
      <c r="I428" s="62">
        <v>907</v>
      </c>
      <c r="J428" s="62">
        <v>90750</v>
      </c>
      <c r="K428" s="63">
        <v>4</v>
      </c>
      <c r="L428" s="35"/>
      <c r="M428" s="35" t="s">
        <v>4492</v>
      </c>
      <c r="N428" s="35"/>
      <c r="O428" s="35"/>
      <c r="P428" s="35"/>
      <c r="Q428" s="35"/>
      <c r="R428" s="35"/>
      <c r="S428" s="35"/>
      <c r="T428" s="35"/>
      <c r="U428" s="35"/>
      <c r="V428" s="35"/>
      <c r="W428" s="35" t="s">
        <v>4493</v>
      </c>
      <c r="X428" s="35" t="s">
        <v>4494</v>
      </c>
      <c r="Y428" s="35"/>
      <c r="Z428" s="35"/>
      <c r="AA428" s="35"/>
      <c r="AB428" s="35"/>
      <c r="AC428" s="35"/>
      <c r="AD428" s="35"/>
      <c r="AE428" s="63">
        <v>2</v>
      </c>
      <c r="AF428" s="63" t="s">
        <v>64</v>
      </c>
      <c r="AG428" s="29" t="s">
        <v>65</v>
      </c>
      <c r="AH428" s="75"/>
      <c r="AI428" s="65" t="s">
        <v>66</v>
      </c>
      <c r="AJ428" s="32" t="s">
        <v>6938</v>
      </c>
      <c r="AK428" s="33" t="s">
        <v>67</v>
      </c>
      <c r="AL428" s="34">
        <v>45582</v>
      </c>
      <c r="AM428" s="35" t="s">
        <v>66</v>
      </c>
      <c r="AN428" s="35"/>
      <c r="AO428" s="35"/>
      <c r="AP428" s="35"/>
      <c r="AQ428" s="37">
        <f t="shared" si="21"/>
        <v>0</v>
      </c>
      <c r="AR428" s="38">
        <f t="shared" si="22"/>
        <v>0</v>
      </c>
      <c r="AS428" s="39">
        <f t="shared" si="23"/>
        <v>0</v>
      </c>
      <c r="AT428" s="99"/>
      <c r="AU428" s="99" t="s">
        <v>1356</v>
      </c>
      <c r="AV428" s="99"/>
      <c r="AW428" s="100"/>
      <c r="AX428" s="99"/>
      <c r="AY428" s="101"/>
      <c r="AZ428" s="99"/>
      <c r="BA428" s="99" t="s">
        <v>1356</v>
      </c>
      <c r="BB428" s="99"/>
      <c r="BC428" s="101"/>
      <c r="BD428" s="99"/>
      <c r="BE428" s="101"/>
      <c r="BF428" s="99"/>
      <c r="BG428" s="99" t="s">
        <v>1356</v>
      </c>
      <c r="BH428" s="99"/>
      <c r="BI428" s="101"/>
      <c r="BJ428" s="99"/>
      <c r="BK428" s="101"/>
      <c r="BL428" s="99"/>
      <c r="BM428" s="99" t="s">
        <v>1356</v>
      </c>
      <c r="BN428" s="99"/>
      <c r="BO428" s="101"/>
      <c r="BP428" s="99"/>
      <c r="BQ428" s="101"/>
      <c r="BR428" s="99"/>
      <c r="BS428" s="99" t="s">
        <v>1356</v>
      </c>
      <c r="BT428" s="99"/>
      <c r="BU428" s="101"/>
      <c r="BV428" s="99"/>
      <c r="BW428" s="101"/>
      <c r="BX428" s="119"/>
      <c r="BY428" s="119" t="s">
        <v>1356</v>
      </c>
      <c r="BZ428" s="119"/>
      <c r="CA428" s="120"/>
      <c r="CB428" s="119"/>
      <c r="CC428" s="120"/>
      <c r="CD428" s="119"/>
      <c r="CE428" s="119" t="s">
        <v>1356</v>
      </c>
      <c r="CF428" s="119"/>
      <c r="CG428" s="120"/>
      <c r="CH428" s="119"/>
      <c r="CI428" s="120"/>
      <c r="CJ428" s="119"/>
      <c r="CK428" s="119" t="s">
        <v>1356</v>
      </c>
      <c r="CL428" s="119"/>
      <c r="CM428" s="120"/>
      <c r="CN428" s="119"/>
      <c r="CO428" s="120"/>
      <c r="CP428" s="119"/>
      <c r="CQ428" s="119" t="s">
        <v>1356</v>
      </c>
      <c r="CR428" s="119"/>
      <c r="CS428" s="120"/>
      <c r="CT428" s="119"/>
      <c r="CU428" s="120"/>
      <c r="CV428" s="119"/>
      <c r="CW428" s="119" t="s">
        <v>1356</v>
      </c>
      <c r="CX428" s="119"/>
      <c r="CY428" s="120"/>
      <c r="CZ428" s="119"/>
      <c r="DA428" s="120"/>
      <c r="DB428" s="36" t="s">
        <v>7085</v>
      </c>
      <c r="DC428" s="59" t="s">
        <v>6751</v>
      </c>
    </row>
    <row r="429" spans="1:107" s="40" customFormat="1" x14ac:dyDescent="0.3">
      <c r="A429" s="35" t="s">
        <v>4219</v>
      </c>
      <c r="B429" s="35" t="s">
        <v>4495</v>
      </c>
      <c r="C429" s="35" t="s">
        <v>4496</v>
      </c>
      <c r="D429" s="35" t="s">
        <v>4497</v>
      </c>
      <c r="E429" s="35" t="s">
        <v>70</v>
      </c>
      <c r="F429" s="35" t="s">
        <v>420</v>
      </c>
      <c r="G429" s="35" t="s">
        <v>4237</v>
      </c>
      <c r="H429" s="27" t="s">
        <v>686</v>
      </c>
      <c r="I429" s="62">
        <v>901</v>
      </c>
      <c r="J429" s="62">
        <v>90150</v>
      </c>
      <c r="K429" s="63">
        <v>4</v>
      </c>
      <c r="L429" s="35" t="s">
        <v>4498</v>
      </c>
      <c r="M429" s="35"/>
      <c r="N429" s="35" t="s">
        <v>4499</v>
      </c>
      <c r="O429" s="35" t="s">
        <v>4500</v>
      </c>
      <c r="P429" s="35"/>
      <c r="Q429" s="35" t="s">
        <v>4501</v>
      </c>
      <c r="R429" s="35" t="s">
        <v>3484</v>
      </c>
      <c r="S429" s="35" t="s">
        <v>4502</v>
      </c>
      <c r="T429" s="35"/>
      <c r="U429" s="35"/>
      <c r="V429" s="35"/>
      <c r="W429" s="35" t="s">
        <v>4503</v>
      </c>
      <c r="X429" s="35" t="s">
        <v>4504</v>
      </c>
      <c r="Y429" s="35" t="s">
        <v>4505</v>
      </c>
      <c r="Z429" s="35">
        <v>-79.892418000000006</v>
      </c>
      <c r="AA429" s="35">
        <v>-2.1571699999999998</v>
      </c>
      <c r="AB429" s="35">
        <v>90150321</v>
      </c>
      <c r="AC429" s="35">
        <v>90150321010</v>
      </c>
      <c r="AD429" s="35">
        <v>90150321010001</v>
      </c>
      <c r="AE429" s="63">
        <v>2</v>
      </c>
      <c r="AF429" s="63" t="s">
        <v>64</v>
      </c>
      <c r="AG429" s="29" t="s">
        <v>65</v>
      </c>
      <c r="AH429" s="75"/>
      <c r="AI429" s="65" t="s">
        <v>66</v>
      </c>
      <c r="AJ429" s="32" t="s">
        <v>6938</v>
      </c>
      <c r="AK429" s="33" t="s">
        <v>67</v>
      </c>
      <c r="AL429" s="34">
        <v>45565</v>
      </c>
      <c r="AM429" s="35" t="s">
        <v>66</v>
      </c>
      <c r="AN429" s="35"/>
      <c r="AO429" s="35"/>
      <c r="AP429" s="35"/>
      <c r="AQ429" s="37">
        <f t="shared" si="21"/>
        <v>0</v>
      </c>
      <c r="AR429" s="38">
        <f t="shared" si="22"/>
        <v>0</v>
      </c>
      <c r="AS429" s="39">
        <f t="shared" si="23"/>
        <v>0</v>
      </c>
      <c r="AT429" s="99"/>
      <c r="AU429" s="99" t="s">
        <v>1356</v>
      </c>
      <c r="AV429" s="99"/>
      <c r="AW429" s="100"/>
      <c r="AX429" s="99"/>
      <c r="AY429" s="101"/>
      <c r="AZ429" s="99"/>
      <c r="BA429" s="99" t="s">
        <v>1356</v>
      </c>
      <c r="BB429" s="99"/>
      <c r="BC429" s="101"/>
      <c r="BD429" s="99"/>
      <c r="BE429" s="101"/>
      <c r="BF429" s="99"/>
      <c r="BG429" s="99" t="s">
        <v>1356</v>
      </c>
      <c r="BH429" s="99"/>
      <c r="BI429" s="101"/>
      <c r="BJ429" s="99"/>
      <c r="BK429" s="101"/>
      <c r="BL429" s="99"/>
      <c r="BM429" s="99" t="s">
        <v>1356</v>
      </c>
      <c r="BN429" s="99"/>
      <c r="BO429" s="101"/>
      <c r="BP429" s="99"/>
      <c r="BQ429" s="101"/>
      <c r="BR429" s="99"/>
      <c r="BS429" s="99" t="s">
        <v>1356</v>
      </c>
      <c r="BT429" s="99"/>
      <c r="BU429" s="101"/>
      <c r="BV429" s="99"/>
      <c r="BW429" s="101"/>
      <c r="BX429" s="119"/>
      <c r="BY429" s="119" t="s">
        <v>1356</v>
      </c>
      <c r="BZ429" s="119"/>
      <c r="CA429" s="120"/>
      <c r="CB429" s="119"/>
      <c r="CC429" s="120"/>
      <c r="CD429" s="119"/>
      <c r="CE429" s="119" t="s">
        <v>1356</v>
      </c>
      <c r="CF429" s="119"/>
      <c r="CG429" s="120"/>
      <c r="CH429" s="119"/>
      <c r="CI429" s="120"/>
      <c r="CJ429" s="119"/>
      <c r="CK429" s="119" t="s">
        <v>1356</v>
      </c>
      <c r="CL429" s="119"/>
      <c r="CM429" s="120"/>
      <c r="CN429" s="119"/>
      <c r="CO429" s="120"/>
      <c r="CP429" s="119"/>
      <c r="CQ429" s="119" t="s">
        <v>1356</v>
      </c>
      <c r="CR429" s="119"/>
      <c r="CS429" s="120"/>
      <c r="CT429" s="119"/>
      <c r="CU429" s="120"/>
      <c r="CV429" s="119"/>
      <c r="CW429" s="119" t="s">
        <v>1356</v>
      </c>
      <c r="CX429" s="119"/>
      <c r="CY429" s="120"/>
      <c r="CZ429" s="119"/>
      <c r="DA429" s="120"/>
      <c r="DB429" s="36" t="s">
        <v>7085</v>
      </c>
      <c r="DC429" s="59" t="s">
        <v>6751</v>
      </c>
    </row>
    <row r="430" spans="1:107" s="40" customFormat="1" x14ac:dyDescent="0.3">
      <c r="A430" s="35" t="s">
        <v>4219</v>
      </c>
      <c r="B430" s="35" t="s">
        <v>4506</v>
      </c>
      <c r="C430" s="35" t="s">
        <v>4507</v>
      </c>
      <c r="D430" s="35" t="s">
        <v>4508</v>
      </c>
      <c r="E430" s="35" t="s">
        <v>4509</v>
      </c>
      <c r="F430" s="35" t="s">
        <v>420</v>
      </c>
      <c r="G430" s="35" t="s">
        <v>4237</v>
      </c>
      <c r="H430" s="27" t="s">
        <v>686</v>
      </c>
      <c r="I430" s="62">
        <v>901</v>
      </c>
      <c r="J430" s="62">
        <v>90150</v>
      </c>
      <c r="K430" s="63">
        <v>4</v>
      </c>
      <c r="L430" s="35" t="s">
        <v>4510</v>
      </c>
      <c r="M430" s="35" t="s">
        <v>258</v>
      </c>
      <c r="N430" s="35" t="s">
        <v>4511</v>
      </c>
      <c r="O430" s="35"/>
      <c r="P430" s="35"/>
      <c r="Q430" s="35"/>
      <c r="R430" s="35" t="s">
        <v>113</v>
      </c>
      <c r="S430" s="35"/>
      <c r="T430" s="35"/>
      <c r="U430" s="35" t="s">
        <v>4512</v>
      </c>
      <c r="V430" s="35"/>
      <c r="W430" s="35" t="s">
        <v>4513</v>
      </c>
      <c r="X430" s="35" t="s">
        <v>4514</v>
      </c>
      <c r="Y430" s="35" t="s">
        <v>4515</v>
      </c>
      <c r="Z430" s="35">
        <v>-79.93496909737587</v>
      </c>
      <c r="AA430" s="35">
        <v>-2.1333624069690509</v>
      </c>
      <c r="AB430" s="35">
        <v>90150369</v>
      </c>
      <c r="AC430" s="35">
        <v>90150369008</v>
      </c>
      <c r="AD430" s="35">
        <v>90150369008008</v>
      </c>
      <c r="AE430" s="63">
        <v>2</v>
      </c>
      <c r="AF430" s="63" t="s">
        <v>64</v>
      </c>
      <c r="AG430" s="29" t="s">
        <v>65</v>
      </c>
      <c r="AH430" s="75"/>
      <c r="AI430" s="65" t="s">
        <v>66</v>
      </c>
      <c r="AJ430" s="32" t="s">
        <v>6938</v>
      </c>
      <c r="AK430" s="33" t="s">
        <v>67</v>
      </c>
      <c r="AL430" s="34">
        <v>45572</v>
      </c>
      <c r="AM430" s="35" t="s">
        <v>66</v>
      </c>
      <c r="AN430" s="35"/>
      <c r="AO430" s="35"/>
      <c r="AP430" s="35"/>
      <c r="AQ430" s="37">
        <f t="shared" si="21"/>
        <v>0</v>
      </c>
      <c r="AR430" s="38">
        <f t="shared" si="22"/>
        <v>0</v>
      </c>
      <c r="AS430" s="39">
        <f t="shared" si="23"/>
        <v>0</v>
      </c>
      <c r="AT430" s="99"/>
      <c r="AU430" s="99" t="s">
        <v>1356</v>
      </c>
      <c r="AV430" s="99"/>
      <c r="AW430" s="100"/>
      <c r="AX430" s="99"/>
      <c r="AY430" s="101"/>
      <c r="AZ430" s="99"/>
      <c r="BA430" s="99" t="s">
        <v>1356</v>
      </c>
      <c r="BB430" s="99"/>
      <c r="BC430" s="101"/>
      <c r="BD430" s="99"/>
      <c r="BE430" s="101"/>
      <c r="BF430" s="99"/>
      <c r="BG430" s="99" t="s">
        <v>1356</v>
      </c>
      <c r="BH430" s="99"/>
      <c r="BI430" s="101"/>
      <c r="BJ430" s="99"/>
      <c r="BK430" s="101"/>
      <c r="BL430" s="99"/>
      <c r="BM430" s="99" t="s">
        <v>1356</v>
      </c>
      <c r="BN430" s="99"/>
      <c r="BO430" s="101"/>
      <c r="BP430" s="99"/>
      <c r="BQ430" s="101"/>
      <c r="BR430" s="99"/>
      <c r="BS430" s="99" t="s">
        <v>1356</v>
      </c>
      <c r="BT430" s="99"/>
      <c r="BU430" s="101"/>
      <c r="BV430" s="99"/>
      <c r="BW430" s="101"/>
      <c r="BX430" s="119"/>
      <c r="BY430" s="119" t="s">
        <v>1356</v>
      </c>
      <c r="BZ430" s="119"/>
      <c r="CA430" s="120"/>
      <c r="CB430" s="119"/>
      <c r="CC430" s="120"/>
      <c r="CD430" s="119"/>
      <c r="CE430" s="119" t="s">
        <v>1356</v>
      </c>
      <c r="CF430" s="119"/>
      <c r="CG430" s="120"/>
      <c r="CH430" s="119"/>
      <c r="CI430" s="120"/>
      <c r="CJ430" s="119"/>
      <c r="CK430" s="119" t="s">
        <v>1356</v>
      </c>
      <c r="CL430" s="119"/>
      <c r="CM430" s="120"/>
      <c r="CN430" s="119"/>
      <c r="CO430" s="120"/>
      <c r="CP430" s="119"/>
      <c r="CQ430" s="119" t="s">
        <v>1356</v>
      </c>
      <c r="CR430" s="119"/>
      <c r="CS430" s="120"/>
      <c r="CT430" s="119"/>
      <c r="CU430" s="120"/>
      <c r="CV430" s="119"/>
      <c r="CW430" s="119" t="s">
        <v>1356</v>
      </c>
      <c r="CX430" s="119"/>
      <c r="CY430" s="120"/>
      <c r="CZ430" s="119"/>
      <c r="DA430" s="120"/>
      <c r="DB430" s="36" t="s">
        <v>7085</v>
      </c>
      <c r="DC430" s="59" t="s">
        <v>2935</v>
      </c>
    </row>
    <row r="431" spans="1:107" s="40" customFormat="1" ht="14.55" customHeight="1" x14ac:dyDescent="0.3">
      <c r="A431" s="35" t="s">
        <v>4219</v>
      </c>
      <c r="B431" s="35" t="s">
        <v>4516</v>
      </c>
      <c r="C431" s="35" t="s">
        <v>4517</v>
      </c>
      <c r="D431" s="35" t="s">
        <v>4518</v>
      </c>
      <c r="E431" s="35" t="s">
        <v>4519</v>
      </c>
      <c r="F431" s="35" t="s">
        <v>420</v>
      </c>
      <c r="G431" s="35" t="s">
        <v>4237</v>
      </c>
      <c r="H431" s="27" t="s">
        <v>686</v>
      </c>
      <c r="I431" s="62">
        <v>901</v>
      </c>
      <c r="J431" s="62">
        <v>90150</v>
      </c>
      <c r="K431" s="63">
        <v>4</v>
      </c>
      <c r="L431" s="35" t="s">
        <v>4520</v>
      </c>
      <c r="M431" s="35" t="s">
        <v>4521</v>
      </c>
      <c r="N431" s="35" t="s">
        <v>4522</v>
      </c>
      <c r="O431" s="35"/>
      <c r="P431" s="35" t="s">
        <v>4523</v>
      </c>
      <c r="Q431" s="35"/>
      <c r="R431" s="35"/>
      <c r="S431" s="35"/>
      <c r="T431" s="35"/>
      <c r="U431" s="35"/>
      <c r="V431" s="35" t="s">
        <v>4524</v>
      </c>
      <c r="W431" s="35" t="s">
        <v>4525</v>
      </c>
      <c r="X431" s="35" t="s">
        <v>4526</v>
      </c>
      <c r="Y431" s="35" t="s">
        <v>4527</v>
      </c>
      <c r="Z431" s="35">
        <v>-79.924328471999999</v>
      </c>
      <c r="AA431" s="35">
        <v>-2.07008941</v>
      </c>
      <c r="AB431" s="35">
        <v>90150669</v>
      </c>
      <c r="AC431" s="35">
        <v>90150669008</v>
      </c>
      <c r="AD431" s="35">
        <v>90150669008001</v>
      </c>
      <c r="AE431" s="63">
        <v>2</v>
      </c>
      <c r="AF431" s="63" t="s">
        <v>64</v>
      </c>
      <c r="AG431" s="29" t="s">
        <v>65</v>
      </c>
      <c r="AH431" s="75"/>
      <c r="AI431" s="65" t="s">
        <v>65</v>
      </c>
      <c r="AJ431" s="32" t="s">
        <v>6938</v>
      </c>
      <c r="AK431" s="33" t="s">
        <v>92</v>
      </c>
      <c r="AL431" s="58">
        <v>45579</v>
      </c>
      <c r="AM431" s="35"/>
      <c r="AN431" s="35"/>
      <c r="AO431" s="35"/>
      <c r="AP431" s="35"/>
      <c r="AQ431" s="37">
        <f t="shared" si="21"/>
        <v>0</v>
      </c>
      <c r="AR431" s="38">
        <f t="shared" si="22"/>
        <v>0</v>
      </c>
      <c r="AS431" s="39">
        <f t="shared" si="23"/>
        <v>0</v>
      </c>
      <c r="AT431" s="99"/>
      <c r="AU431" s="99" t="s">
        <v>1356</v>
      </c>
      <c r="AV431" s="99"/>
      <c r="AW431" s="100"/>
      <c r="AX431" s="99"/>
      <c r="AY431" s="101"/>
      <c r="AZ431" s="99"/>
      <c r="BA431" s="99" t="s">
        <v>1356</v>
      </c>
      <c r="BB431" s="99"/>
      <c r="BC431" s="101"/>
      <c r="BD431" s="99"/>
      <c r="BE431" s="101"/>
      <c r="BF431" s="99"/>
      <c r="BG431" s="99" t="s">
        <v>1356</v>
      </c>
      <c r="BH431" s="99"/>
      <c r="BI431" s="101"/>
      <c r="BJ431" s="99"/>
      <c r="BK431" s="101"/>
      <c r="BL431" s="99"/>
      <c r="BM431" s="99" t="s">
        <v>1356</v>
      </c>
      <c r="BN431" s="99"/>
      <c r="BO431" s="101"/>
      <c r="BP431" s="99"/>
      <c r="BQ431" s="101"/>
      <c r="BR431" s="99"/>
      <c r="BS431" s="99" t="s">
        <v>1356</v>
      </c>
      <c r="BT431" s="99"/>
      <c r="BU431" s="101"/>
      <c r="BV431" s="99"/>
      <c r="BW431" s="101"/>
      <c r="BX431" s="119"/>
      <c r="BY431" s="119" t="s">
        <v>1356</v>
      </c>
      <c r="BZ431" s="119"/>
      <c r="CA431" s="120"/>
      <c r="CB431" s="119"/>
      <c r="CC431" s="120"/>
      <c r="CD431" s="119"/>
      <c r="CE431" s="119" t="s">
        <v>1356</v>
      </c>
      <c r="CF431" s="119"/>
      <c r="CG431" s="120"/>
      <c r="CH431" s="119"/>
      <c r="CI431" s="120"/>
      <c r="CJ431" s="119"/>
      <c r="CK431" s="119" t="s">
        <v>1356</v>
      </c>
      <c r="CL431" s="119"/>
      <c r="CM431" s="120"/>
      <c r="CN431" s="119"/>
      <c r="CO431" s="120"/>
      <c r="CP431" s="119"/>
      <c r="CQ431" s="119" t="s">
        <v>1356</v>
      </c>
      <c r="CR431" s="119"/>
      <c r="CS431" s="120"/>
      <c r="CT431" s="119"/>
      <c r="CU431" s="120"/>
      <c r="CV431" s="119"/>
      <c r="CW431" s="119" t="s">
        <v>1356</v>
      </c>
      <c r="CX431" s="119"/>
      <c r="CY431" s="120"/>
      <c r="CZ431" s="119"/>
      <c r="DA431" s="120"/>
      <c r="DB431" s="36" t="s">
        <v>7085</v>
      </c>
      <c r="DC431" s="59" t="s">
        <v>92</v>
      </c>
    </row>
    <row r="432" spans="1:107" s="40" customFormat="1" x14ac:dyDescent="0.3">
      <c r="A432" s="35" t="s">
        <v>4219</v>
      </c>
      <c r="B432" s="35" t="s">
        <v>4528</v>
      </c>
      <c r="C432" s="35" t="s">
        <v>4529</v>
      </c>
      <c r="D432" s="35" t="s">
        <v>4530</v>
      </c>
      <c r="E432" s="35"/>
      <c r="F432" s="35" t="s">
        <v>1329</v>
      </c>
      <c r="G432" s="35" t="s">
        <v>4237</v>
      </c>
      <c r="H432" s="27" t="s">
        <v>686</v>
      </c>
      <c r="I432" s="62">
        <v>920</v>
      </c>
      <c r="J432" s="62">
        <v>92050</v>
      </c>
      <c r="K432" s="63">
        <v>4</v>
      </c>
      <c r="L432" s="35" t="s">
        <v>4531</v>
      </c>
      <c r="M432" s="35" t="s">
        <v>258</v>
      </c>
      <c r="N432" s="35"/>
      <c r="O432" s="35" t="s">
        <v>4532</v>
      </c>
      <c r="P432" s="35"/>
      <c r="Q432" s="35"/>
      <c r="R432" s="35"/>
      <c r="S432" s="35"/>
      <c r="T432" s="35"/>
      <c r="U432" s="35"/>
      <c r="V432" s="35"/>
      <c r="W432" s="35" t="s">
        <v>4533</v>
      </c>
      <c r="X432" s="35"/>
      <c r="Y432" s="35" t="s">
        <v>4534</v>
      </c>
      <c r="Z432" s="35"/>
      <c r="AA432" s="35"/>
      <c r="AB432" s="35"/>
      <c r="AC432" s="35"/>
      <c r="AD432" s="35"/>
      <c r="AE432" s="63">
        <v>2</v>
      </c>
      <c r="AF432" s="63" t="s">
        <v>64</v>
      </c>
      <c r="AG432" s="29" t="s">
        <v>65</v>
      </c>
      <c r="AH432" s="75"/>
      <c r="AI432" s="65" t="s">
        <v>66</v>
      </c>
      <c r="AJ432" s="32" t="s">
        <v>6938</v>
      </c>
      <c r="AK432" s="33" t="s">
        <v>67</v>
      </c>
      <c r="AL432" s="58">
        <v>45587</v>
      </c>
      <c r="AM432" s="35" t="s">
        <v>66</v>
      </c>
      <c r="AN432" s="35"/>
      <c r="AO432" s="35"/>
      <c r="AP432" s="35"/>
      <c r="AQ432" s="37">
        <f t="shared" si="21"/>
        <v>0</v>
      </c>
      <c r="AR432" s="38">
        <f t="shared" si="22"/>
        <v>0</v>
      </c>
      <c r="AS432" s="39">
        <f t="shared" si="23"/>
        <v>0</v>
      </c>
      <c r="AT432" s="99"/>
      <c r="AU432" s="99" t="s">
        <v>1356</v>
      </c>
      <c r="AV432" s="99"/>
      <c r="AW432" s="100"/>
      <c r="AX432" s="99"/>
      <c r="AY432" s="101"/>
      <c r="AZ432" s="99"/>
      <c r="BA432" s="99" t="s">
        <v>1356</v>
      </c>
      <c r="BB432" s="99"/>
      <c r="BC432" s="101"/>
      <c r="BD432" s="99"/>
      <c r="BE432" s="101"/>
      <c r="BF432" s="99"/>
      <c r="BG432" s="99" t="s">
        <v>1356</v>
      </c>
      <c r="BH432" s="99"/>
      <c r="BI432" s="101"/>
      <c r="BJ432" s="99"/>
      <c r="BK432" s="101"/>
      <c r="BL432" s="99"/>
      <c r="BM432" s="99" t="s">
        <v>1356</v>
      </c>
      <c r="BN432" s="99"/>
      <c r="BO432" s="101"/>
      <c r="BP432" s="99"/>
      <c r="BQ432" s="101"/>
      <c r="BR432" s="99"/>
      <c r="BS432" s="99" t="s">
        <v>1356</v>
      </c>
      <c r="BT432" s="99"/>
      <c r="BU432" s="101"/>
      <c r="BV432" s="99"/>
      <c r="BW432" s="101"/>
      <c r="BX432" s="119"/>
      <c r="BY432" s="119" t="s">
        <v>1356</v>
      </c>
      <c r="BZ432" s="119"/>
      <c r="CA432" s="120"/>
      <c r="CB432" s="119"/>
      <c r="CC432" s="120"/>
      <c r="CD432" s="119"/>
      <c r="CE432" s="119" t="s">
        <v>1356</v>
      </c>
      <c r="CF432" s="119"/>
      <c r="CG432" s="120"/>
      <c r="CH432" s="119"/>
      <c r="CI432" s="120"/>
      <c r="CJ432" s="119"/>
      <c r="CK432" s="119" t="s">
        <v>1356</v>
      </c>
      <c r="CL432" s="119"/>
      <c r="CM432" s="120"/>
      <c r="CN432" s="119"/>
      <c r="CO432" s="120"/>
      <c r="CP432" s="119"/>
      <c r="CQ432" s="119" t="s">
        <v>1356</v>
      </c>
      <c r="CR432" s="119"/>
      <c r="CS432" s="120"/>
      <c r="CT432" s="119"/>
      <c r="CU432" s="120"/>
      <c r="CV432" s="119"/>
      <c r="CW432" s="119" t="s">
        <v>1356</v>
      </c>
      <c r="CX432" s="119"/>
      <c r="CY432" s="120"/>
      <c r="CZ432" s="119"/>
      <c r="DA432" s="120"/>
      <c r="DB432" s="36" t="s">
        <v>7085</v>
      </c>
      <c r="DC432" s="59" t="s">
        <v>6751</v>
      </c>
    </row>
    <row r="433" spans="1:107" s="40" customFormat="1" x14ac:dyDescent="0.3">
      <c r="A433" s="35" t="s">
        <v>4219</v>
      </c>
      <c r="B433" s="35" t="s">
        <v>4535</v>
      </c>
      <c r="C433" s="35" t="s">
        <v>4536</v>
      </c>
      <c r="D433" s="35" t="s">
        <v>4537</v>
      </c>
      <c r="E433" s="35" t="s">
        <v>70</v>
      </c>
      <c r="F433" s="35" t="s">
        <v>431</v>
      </c>
      <c r="G433" s="35" t="s">
        <v>4237</v>
      </c>
      <c r="H433" s="27" t="s">
        <v>686</v>
      </c>
      <c r="I433" s="62">
        <v>901</v>
      </c>
      <c r="J433" s="62">
        <v>90150</v>
      </c>
      <c r="K433" s="63">
        <v>4</v>
      </c>
      <c r="L433" s="35" t="s">
        <v>4538</v>
      </c>
      <c r="M433" s="35"/>
      <c r="N433" s="35" t="s">
        <v>2027</v>
      </c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 t="s">
        <v>4539</v>
      </c>
      <c r="Z433" s="35"/>
      <c r="AA433" s="35"/>
      <c r="AB433" s="35"/>
      <c r="AC433" s="35"/>
      <c r="AD433" s="35"/>
      <c r="AE433" s="63">
        <v>2</v>
      </c>
      <c r="AF433" s="63" t="s">
        <v>64</v>
      </c>
      <c r="AG433" s="29" t="s">
        <v>65</v>
      </c>
      <c r="AH433" s="75"/>
      <c r="AI433" s="65" t="s">
        <v>66</v>
      </c>
      <c r="AJ433" s="32" t="s">
        <v>6938</v>
      </c>
      <c r="AK433" s="33" t="s">
        <v>67</v>
      </c>
      <c r="AL433" s="34">
        <v>45573</v>
      </c>
      <c r="AM433" s="35" t="s">
        <v>66</v>
      </c>
      <c r="AN433" s="35"/>
      <c r="AO433" s="35"/>
      <c r="AP433" s="35"/>
      <c r="AQ433" s="37">
        <f t="shared" si="21"/>
        <v>0</v>
      </c>
      <c r="AR433" s="38">
        <f t="shared" si="22"/>
        <v>0</v>
      </c>
      <c r="AS433" s="39">
        <f t="shared" si="23"/>
        <v>0</v>
      </c>
      <c r="AT433" s="99"/>
      <c r="AU433" s="99" t="s">
        <v>1356</v>
      </c>
      <c r="AV433" s="99"/>
      <c r="AW433" s="100"/>
      <c r="AX433" s="99"/>
      <c r="AY433" s="101"/>
      <c r="AZ433" s="99"/>
      <c r="BA433" s="99" t="s">
        <v>1356</v>
      </c>
      <c r="BB433" s="99"/>
      <c r="BC433" s="101"/>
      <c r="BD433" s="99"/>
      <c r="BE433" s="101"/>
      <c r="BF433" s="99"/>
      <c r="BG433" s="99" t="s">
        <v>1356</v>
      </c>
      <c r="BH433" s="99"/>
      <c r="BI433" s="101"/>
      <c r="BJ433" s="99"/>
      <c r="BK433" s="101"/>
      <c r="BL433" s="99"/>
      <c r="BM433" s="99" t="s">
        <v>1356</v>
      </c>
      <c r="BN433" s="99"/>
      <c r="BO433" s="101"/>
      <c r="BP433" s="99"/>
      <c r="BQ433" s="101"/>
      <c r="BR433" s="99"/>
      <c r="BS433" s="99" t="s">
        <v>1356</v>
      </c>
      <c r="BT433" s="99"/>
      <c r="BU433" s="101"/>
      <c r="BV433" s="99"/>
      <c r="BW433" s="101"/>
      <c r="BX433" s="119"/>
      <c r="BY433" s="119" t="s">
        <v>1356</v>
      </c>
      <c r="BZ433" s="119"/>
      <c r="CA433" s="120"/>
      <c r="CB433" s="119"/>
      <c r="CC433" s="120"/>
      <c r="CD433" s="119"/>
      <c r="CE433" s="119" t="s">
        <v>1356</v>
      </c>
      <c r="CF433" s="119"/>
      <c r="CG433" s="120"/>
      <c r="CH433" s="119"/>
      <c r="CI433" s="120"/>
      <c r="CJ433" s="119"/>
      <c r="CK433" s="119" t="s">
        <v>1356</v>
      </c>
      <c r="CL433" s="119"/>
      <c r="CM433" s="120"/>
      <c r="CN433" s="119"/>
      <c r="CO433" s="120"/>
      <c r="CP433" s="119"/>
      <c r="CQ433" s="119" t="s">
        <v>1356</v>
      </c>
      <c r="CR433" s="119"/>
      <c r="CS433" s="120"/>
      <c r="CT433" s="119"/>
      <c r="CU433" s="120"/>
      <c r="CV433" s="119"/>
      <c r="CW433" s="119" t="s">
        <v>1356</v>
      </c>
      <c r="CX433" s="119"/>
      <c r="CY433" s="120"/>
      <c r="CZ433" s="119"/>
      <c r="DA433" s="120"/>
      <c r="DB433" s="36" t="s">
        <v>7085</v>
      </c>
      <c r="DC433" s="59" t="s">
        <v>6751</v>
      </c>
    </row>
    <row r="434" spans="1:107" s="40" customFormat="1" x14ac:dyDescent="0.3">
      <c r="A434" s="35" t="s">
        <v>4219</v>
      </c>
      <c r="B434" s="35" t="s">
        <v>4540</v>
      </c>
      <c r="C434" s="35" t="s">
        <v>4541</v>
      </c>
      <c r="D434" s="35" t="s">
        <v>4542</v>
      </c>
      <c r="E434" s="35" t="s">
        <v>70</v>
      </c>
      <c r="F434" s="35" t="s">
        <v>233</v>
      </c>
      <c r="G434" s="35" t="s">
        <v>4237</v>
      </c>
      <c r="H434" s="27" t="s">
        <v>686</v>
      </c>
      <c r="I434" s="62">
        <v>901</v>
      </c>
      <c r="J434" s="62">
        <v>90150</v>
      </c>
      <c r="K434" s="63">
        <v>4</v>
      </c>
      <c r="L434" s="35"/>
      <c r="M434" s="35" t="s">
        <v>4238</v>
      </c>
      <c r="N434" s="35"/>
      <c r="O434" s="35"/>
      <c r="P434" s="35"/>
      <c r="Q434" s="35" t="s">
        <v>4543</v>
      </c>
      <c r="R434" s="35"/>
      <c r="S434" s="35"/>
      <c r="T434" s="35" t="s">
        <v>4544</v>
      </c>
      <c r="U434" s="35"/>
      <c r="V434" s="35" t="s">
        <v>4545</v>
      </c>
      <c r="W434" s="35" t="s">
        <v>4546</v>
      </c>
      <c r="X434" s="35" t="s">
        <v>4547</v>
      </c>
      <c r="Y434" s="35" t="s">
        <v>4548</v>
      </c>
      <c r="Z434" s="35"/>
      <c r="AA434" s="35"/>
      <c r="AB434" s="35"/>
      <c r="AC434" s="35"/>
      <c r="AD434" s="35"/>
      <c r="AE434" s="63">
        <v>2</v>
      </c>
      <c r="AF434" s="63" t="s">
        <v>64</v>
      </c>
      <c r="AG434" s="29" t="s">
        <v>65</v>
      </c>
      <c r="AH434" s="75"/>
      <c r="AI434" s="65" t="s">
        <v>66</v>
      </c>
      <c r="AJ434" s="32" t="s">
        <v>6938</v>
      </c>
      <c r="AK434" s="33" t="s">
        <v>67</v>
      </c>
      <c r="AL434" s="34">
        <v>45573</v>
      </c>
      <c r="AM434" s="35" t="s">
        <v>66</v>
      </c>
      <c r="AN434" s="35"/>
      <c r="AO434" s="35"/>
      <c r="AP434" s="35"/>
      <c r="AQ434" s="37">
        <f t="shared" si="21"/>
        <v>0</v>
      </c>
      <c r="AR434" s="38">
        <f t="shared" si="22"/>
        <v>0</v>
      </c>
      <c r="AS434" s="39">
        <f t="shared" si="23"/>
        <v>0</v>
      </c>
      <c r="AT434" s="99"/>
      <c r="AU434" s="99" t="s">
        <v>1356</v>
      </c>
      <c r="AV434" s="99"/>
      <c r="AW434" s="100"/>
      <c r="AX434" s="99"/>
      <c r="AY434" s="101"/>
      <c r="AZ434" s="99"/>
      <c r="BA434" s="99" t="s">
        <v>1356</v>
      </c>
      <c r="BB434" s="99"/>
      <c r="BC434" s="101"/>
      <c r="BD434" s="99"/>
      <c r="BE434" s="101"/>
      <c r="BF434" s="99"/>
      <c r="BG434" s="99" t="s">
        <v>1356</v>
      </c>
      <c r="BH434" s="99"/>
      <c r="BI434" s="101"/>
      <c r="BJ434" s="99"/>
      <c r="BK434" s="101"/>
      <c r="BL434" s="99"/>
      <c r="BM434" s="99" t="s">
        <v>1356</v>
      </c>
      <c r="BN434" s="99"/>
      <c r="BO434" s="101"/>
      <c r="BP434" s="99"/>
      <c r="BQ434" s="101"/>
      <c r="BR434" s="99"/>
      <c r="BS434" s="99" t="s">
        <v>1356</v>
      </c>
      <c r="BT434" s="99"/>
      <c r="BU434" s="101"/>
      <c r="BV434" s="99"/>
      <c r="BW434" s="101"/>
      <c r="BX434" s="119"/>
      <c r="BY434" s="119" t="s">
        <v>1356</v>
      </c>
      <c r="BZ434" s="119"/>
      <c r="CA434" s="120"/>
      <c r="CB434" s="119"/>
      <c r="CC434" s="120"/>
      <c r="CD434" s="119"/>
      <c r="CE434" s="119" t="s">
        <v>1356</v>
      </c>
      <c r="CF434" s="119"/>
      <c r="CG434" s="120"/>
      <c r="CH434" s="119"/>
      <c r="CI434" s="120"/>
      <c r="CJ434" s="119"/>
      <c r="CK434" s="119" t="s">
        <v>1356</v>
      </c>
      <c r="CL434" s="119"/>
      <c r="CM434" s="120"/>
      <c r="CN434" s="119"/>
      <c r="CO434" s="120"/>
      <c r="CP434" s="119"/>
      <c r="CQ434" s="119" t="s">
        <v>1356</v>
      </c>
      <c r="CR434" s="119"/>
      <c r="CS434" s="120"/>
      <c r="CT434" s="119"/>
      <c r="CU434" s="120"/>
      <c r="CV434" s="119"/>
      <c r="CW434" s="119" t="s">
        <v>1356</v>
      </c>
      <c r="CX434" s="119"/>
      <c r="CY434" s="120"/>
      <c r="CZ434" s="119"/>
      <c r="DA434" s="120"/>
      <c r="DB434" s="36" t="s">
        <v>7085</v>
      </c>
      <c r="DC434" s="59" t="s">
        <v>6751</v>
      </c>
    </row>
    <row r="435" spans="1:107" s="40" customFormat="1" x14ac:dyDescent="0.3">
      <c r="A435" s="35" t="s">
        <v>4219</v>
      </c>
      <c r="B435" s="35" t="s">
        <v>4549</v>
      </c>
      <c r="C435" s="35" t="s">
        <v>4550</v>
      </c>
      <c r="D435" s="35" t="s">
        <v>4551</v>
      </c>
      <c r="E435" s="35" t="s">
        <v>4552</v>
      </c>
      <c r="F435" s="35" t="s">
        <v>233</v>
      </c>
      <c r="G435" s="35" t="s">
        <v>4237</v>
      </c>
      <c r="H435" s="27" t="s">
        <v>686</v>
      </c>
      <c r="I435" s="62">
        <v>901</v>
      </c>
      <c r="J435" s="62">
        <v>90150</v>
      </c>
      <c r="K435" s="63">
        <v>4</v>
      </c>
      <c r="L435" s="35"/>
      <c r="M435" s="35" t="s">
        <v>4553</v>
      </c>
      <c r="N435" s="35"/>
      <c r="O435" s="35"/>
      <c r="P435" s="35"/>
      <c r="Q435" s="35"/>
      <c r="R435" s="35"/>
      <c r="S435" s="35"/>
      <c r="T435" s="35" t="s">
        <v>4554</v>
      </c>
      <c r="U435" s="35"/>
      <c r="V435" s="35" t="s">
        <v>1081</v>
      </c>
      <c r="W435" s="35" t="s">
        <v>829</v>
      </c>
      <c r="X435" s="35" t="s">
        <v>4555</v>
      </c>
      <c r="Y435" s="35" t="s">
        <v>4556</v>
      </c>
      <c r="Z435" s="35"/>
      <c r="AA435" s="35"/>
      <c r="AB435" s="35"/>
      <c r="AC435" s="35"/>
      <c r="AD435" s="35"/>
      <c r="AE435" s="63">
        <v>2</v>
      </c>
      <c r="AF435" s="63" t="s">
        <v>64</v>
      </c>
      <c r="AG435" s="29" t="s">
        <v>65</v>
      </c>
      <c r="AH435" s="75"/>
      <c r="AI435" s="65" t="s">
        <v>66</v>
      </c>
      <c r="AJ435" s="32" t="s">
        <v>6938</v>
      </c>
      <c r="AK435" s="33" t="s">
        <v>67</v>
      </c>
      <c r="AL435" s="34">
        <v>45580</v>
      </c>
      <c r="AM435" s="35" t="s">
        <v>66</v>
      </c>
      <c r="AN435" s="35"/>
      <c r="AO435" s="35"/>
      <c r="AP435" s="35"/>
      <c r="AQ435" s="37">
        <f t="shared" si="21"/>
        <v>0</v>
      </c>
      <c r="AR435" s="38">
        <f t="shared" si="22"/>
        <v>0</v>
      </c>
      <c r="AS435" s="39">
        <f t="shared" si="23"/>
        <v>0</v>
      </c>
      <c r="AT435" s="99"/>
      <c r="AU435" s="99" t="s">
        <v>1356</v>
      </c>
      <c r="AV435" s="99"/>
      <c r="AW435" s="100"/>
      <c r="AX435" s="99"/>
      <c r="AY435" s="101"/>
      <c r="AZ435" s="99"/>
      <c r="BA435" s="99" t="s">
        <v>1356</v>
      </c>
      <c r="BB435" s="99"/>
      <c r="BC435" s="101"/>
      <c r="BD435" s="99"/>
      <c r="BE435" s="101"/>
      <c r="BF435" s="99"/>
      <c r="BG435" s="99" t="s">
        <v>1356</v>
      </c>
      <c r="BH435" s="99"/>
      <c r="BI435" s="101"/>
      <c r="BJ435" s="99"/>
      <c r="BK435" s="101"/>
      <c r="BL435" s="99"/>
      <c r="BM435" s="99" t="s">
        <v>1356</v>
      </c>
      <c r="BN435" s="99"/>
      <c r="BO435" s="101"/>
      <c r="BP435" s="99"/>
      <c r="BQ435" s="101"/>
      <c r="BR435" s="99"/>
      <c r="BS435" s="99" t="s">
        <v>1356</v>
      </c>
      <c r="BT435" s="99"/>
      <c r="BU435" s="101"/>
      <c r="BV435" s="99"/>
      <c r="BW435" s="101"/>
      <c r="BX435" s="119"/>
      <c r="BY435" s="119" t="s">
        <v>1356</v>
      </c>
      <c r="BZ435" s="119"/>
      <c r="CA435" s="120"/>
      <c r="CB435" s="119"/>
      <c r="CC435" s="120"/>
      <c r="CD435" s="119"/>
      <c r="CE435" s="119" t="s">
        <v>1356</v>
      </c>
      <c r="CF435" s="119"/>
      <c r="CG435" s="120"/>
      <c r="CH435" s="119"/>
      <c r="CI435" s="120"/>
      <c r="CJ435" s="119"/>
      <c r="CK435" s="119" t="s">
        <v>1356</v>
      </c>
      <c r="CL435" s="119"/>
      <c r="CM435" s="120"/>
      <c r="CN435" s="119"/>
      <c r="CO435" s="120"/>
      <c r="CP435" s="119"/>
      <c r="CQ435" s="119" t="s">
        <v>1356</v>
      </c>
      <c r="CR435" s="119"/>
      <c r="CS435" s="120"/>
      <c r="CT435" s="119"/>
      <c r="CU435" s="120"/>
      <c r="CV435" s="119"/>
      <c r="CW435" s="119" t="s">
        <v>1356</v>
      </c>
      <c r="CX435" s="119"/>
      <c r="CY435" s="120"/>
      <c r="CZ435" s="119"/>
      <c r="DA435" s="120"/>
      <c r="DB435" s="36" t="s">
        <v>7085</v>
      </c>
      <c r="DC435" s="59" t="s">
        <v>6751</v>
      </c>
    </row>
    <row r="436" spans="1:107" s="40" customFormat="1" x14ac:dyDescent="0.3">
      <c r="A436" s="35" t="s">
        <v>4219</v>
      </c>
      <c r="B436" s="35" t="s">
        <v>4557</v>
      </c>
      <c r="C436" s="35" t="s">
        <v>4558</v>
      </c>
      <c r="D436" s="35" t="s">
        <v>4559</v>
      </c>
      <c r="E436" s="35" t="s">
        <v>4560</v>
      </c>
      <c r="F436" s="35" t="s">
        <v>1091</v>
      </c>
      <c r="G436" s="35" t="s">
        <v>4237</v>
      </c>
      <c r="H436" s="27" t="s">
        <v>686</v>
      </c>
      <c r="I436" s="62">
        <v>901</v>
      </c>
      <c r="J436" s="62">
        <v>90150</v>
      </c>
      <c r="K436" s="63">
        <v>4</v>
      </c>
      <c r="L436" s="35" t="s">
        <v>4561</v>
      </c>
      <c r="M436" s="35" t="s">
        <v>258</v>
      </c>
      <c r="N436" s="35" t="s">
        <v>4562</v>
      </c>
      <c r="O436" s="35" t="s">
        <v>4563</v>
      </c>
      <c r="P436" s="35"/>
      <c r="Q436" s="35"/>
      <c r="R436" s="35" t="s">
        <v>113</v>
      </c>
      <c r="S436" s="35"/>
      <c r="T436" s="35"/>
      <c r="U436" s="35" t="s">
        <v>4564</v>
      </c>
      <c r="V436" s="35"/>
      <c r="W436" s="35" t="s">
        <v>4565</v>
      </c>
      <c r="X436" s="35" t="s">
        <v>4566</v>
      </c>
      <c r="Y436" s="35" t="s">
        <v>4567</v>
      </c>
      <c r="Z436" s="35">
        <v>-79.936181455850601</v>
      </c>
      <c r="AA436" s="35">
        <v>-2.131526366163353</v>
      </c>
      <c r="AB436" s="35">
        <v>90150374</v>
      </c>
      <c r="AC436" s="35">
        <v>90150374006</v>
      </c>
      <c r="AD436" s="35">
        <v>90150374006008</v>
      </c>
      <c r="AE436" s="63">
        <v>2</v>
      </c>
      <c r="AF436" s="63" t="s">
        <v>64</v>
      </c>
      <c r="AG436" s="29" t="s">
        <v>65</v>
      </c>
      <c r="AH436" s="75"/>
      <c r="AI436" s="65" t="s">
        <v>66</v>
      </c>
      <c r="AJ436" s="32" t="s">
        <v>6938</v>
      </c>
      <c r="AK436" s="33" t="s">
        <v>67</v>
      </c>
      <c r="AL436" s="34">
        <v>45574</v>
      </c>
      <c r="AM436" s="35" t="s">
        <v>66</v>
      </c>
      <c r="AN436" s="35"/>
      <c r="AO436" s="35"/>
      <c r="AP436" s="35"/>
      <c r="AQ436" s="37">
        <f t="shared" si="21"/>
        <v>0</v>
      </c>
      <c r="AR436" s="38">
        <f t="shared" si="22"/>
        <v>0</v>
      </c>
      <c r="AS436" s="39">
        <f t="shared" si="23"/>
        <v>0</v>
      </c>
      <c r="AT436" s="99"/>
      <c r="AU436" s="99" t="s">
        <v>1356</v>
      </c>
      <c r="AV436" s="99"/>
      <c r="AW436" s="100"/>
      <c r="AX436" s="99"/>
      <c r="AY436" s="101"/>
      <c r="AZ436" s="99"/>
      <c r="BA436" s="99" t="s">
        <v>1356</v>
      </c>
      <c r="BB436" s="99"/>
      <c r="BC436" s="101"/>
      <c r="BD436" s="99"/>
      <c r="BE436" s="101"/>
      <c r="BF436" s="99"/>
      <c r="BG436" s="99" t="s">
        <v>1356</v>
      </c>
      <c r="BH436" s="99"/>
      <c r="BI436" s="101"/>
      <c r="BJ436" s="99"/>
      <c r="BK436" s="101"/>
      <c r="BL436" s="99"/>
      <c r="BM436" s="99" t="s">
        <v>1356</v>
      </c>
      <c r="BN436" s="99"/>
      <c r="BO436" s="101"/>
      <c r="BP436" s="99"/>
      <c r="BQ436" s="101"/>
      <c r="BR436" s="99"/>
      <c r="BS436" s="99" t="s">
        <v>1356</v>
      </c>
      <c r="BT436" s="99"/>
      <c r="BU436" s="101"/>
      <c r="BV436" s="99"/>
      <c r="BW436" s="101"/>
      <c r="BX436" s="119"/>
      <c r="BY436" s="119" t="s">
        <v>1356</v>
      </c>
      <c r="BZ436" s="119"/>
      <c r="CA436" s="120"/>
      <c r="CB436" s="119"/>
      <c r="CC436" s="120"/>
      <c r="CD436" s="119"/>
      <c r="CE436" s="119" t="s">
        <v>1356</v>
      </c>
      <c r="CF436" s="119"/>
      <c r="CG436" s="120"/>
      <c r="CH436" s="119"/>
      <c r="CI436" s="120"/>
      <c r="CJ436" s="119"/>
      <c r="CK436" s="119" t="s">
        <v>1356</v>
      </c>
      <c r="CL436" s="119"/>
      <c r="CM436" s="120"/>
      <c r="CN436" s="119"/>
      <c r="CO436" s="120"/>
      <c r="CP436" s="119"/>
      <c r="CQ436" s="119" t="s">
        <v>1356</v>
      </c>
      <c r="CR436" s="119"/>
      <c r="CS436" s="120"/>
      <c r="CT436" s="119"/>
      <c r="CU436" s="120"/>
      <c r="CV436" s="119"/>
      <c r="CW436" s="119" t="s">
        <v>1356</v>
      </c>
      <c r="CX436" s="119"/>
      <c r="CY436" s="120"/>
      <c r="CZ436" s="119"/>
      <c r="DA436" s="120"/>
      <c r="DB436" s="36" t="s">
        <v>7085</v>
      </c>
      <c r="DC436" s="59" t="s">
        <v>2935</v>
      </c>
    </row>
    <row r="437" spans="1:107" s="40" customFormat="1" ht="14.55" customHeight="1" x14ac:dyDescent="0.3">
      <c r="A437" s="35" t="s">
        <v>4219</v>
      </c>
      <c r="B437" s="35" t="s">
        <v>4568</v>
      </c>
      <c r="C437" s="35" t="s">
        <v>4569</v>
      </c>
      <c r="D437" s="35" t="s">
        <v>4570</v>
      </c>
      <c r="E437" s="35" t="s">
        <v>4571</v>
      </c>
      <c r="F437" s="35" t="s">
        <v>1752</v>
      </c>
      <c r="G437" s="35" t="s">
        <v>4237</v>
      </c>
      <c r="H437" s="27" t="s">
        <v>686</v>
      </c>
      <c r="I437" s="62">
        <v>901</v>
      </c>
      <c r="J437" s="62">
        <v>90150</v>
      </c>
      <c r="K437" s="63">
        <v>4</v>
      </c>
      <c r="L437" s="35" t="s">
        <v>4572</v>
      </c>
      <c r="M437" s="35"/>
      <c r="N437" s="35" t="s">
        <v>4573</v>
      </c>
      <c r="O437" s="35"/>
      <c r="P437" s="35"/>
      <c r="Q437" s="35"/>
      <c r="R437" s="35"/>
      <c r="S437" s="35"/>
      <c r="T437" s="35" t="s">
        <v>4574</v>
      </c>
      <c r="U437" s="35"/>
      <c r="V437" s="35"/>
      <c r="W437" s="35" t="s">
        <v>4575</v>
      </c>
      <c r="X437" s="35" t="s">
        <v>4576</v>
      </c>
      <c r="Y437" s="35" t="s">
        <v>4577</v>
      </c>
      <c r="Z437" s="35">
        <v>-79.933259000000007</v>
      </c>
      <c r="AA437" s="35">
        <v>-2.132787</v>
      </c>
      <c r="AB437" s="35">
        <v>90150375</v>
      </c>
      <c r="AC437" s="35">
        <v>90150375001</v>
      </c>
      <c r="AD437" s="35">
        <v>90150375001002</v>
      </c>
      <c r="AE437" s="63">
        <v>2</v>
      </c>
      <c r="AF437" s="63" t="s">
        <v>64</v>
      </c>
      <c r="AG437" s="29" t="s">
        <v>65</v>
      </c>
      <c r="AH437" s="75"/>
      <c r="AI437" s="65" t="s">
        <v>66</v>
      </c>
      <c r="AJ437" s="32" t="s">
        <v>6938</v>
      </c>
      <c r="AK437" s="33" t="s">
        <v>67</v>
      </c>
      <c r="AL437" s="58">
        <v>45587</v>
      </c>
      <c r="AM437" s="35" t="s">
        <v>66</v>
      </c>
      <c r="AN437" s="35"/>
      <c r="AO437" s="35"/>
      <c r="AP437" s="35"/>
      <c r="AQ437" s="37">
        <f t="shared" si="21"/>
        <v>0</v>
      </c>
      <c r="AR437" s="38">
        <f t="shared" si="22"/>
        <v>0</v>
      </c>
      <c r="AS437" s="39">
        <f t="shared" si="23"/>
        <v>0</v>
      </c>
      <c r="AT437" s="99"/>
      <c r="AU437" s="99" t="s">
        <v>1356</v>
      </c>
      <c r="AV437" s="99"/>
      <c r="AW437" s="100"/>
      <c r="AX437" s="99"/>
      <c r="AY437" s="101"/>
      <c r="AZ437" s="99"/>
      <c r="BA437" s="99" t="s">
        <v>1356</v>
      </c>
      <c r="BB437" s="99"/>
      <c r="BC437" s="101"/>
      <c r="BD437" s="99"/>
      <c r="BE437" s="101"/>
      <c r="BF437" s="99"/>
      <c r="BG437" s="99" t="s">
        <v>1356</v>
      </c>
      <c r="BH437" s="99"/>
      <c r="BI437" s="101"/>
      <c r="BJ437" s="99"/>
      <c r="BK437" s="101"/>
      <c r="BL437" s="99"/>
      <c r="BM437" s="99" t="s">
        <v>1356</v>
      </c>
      <c r="BN437" s="99"/>
      <c r="BO437" s="101"/>
      <c r="BP437" s="99"/>
      <c r="BQ437" s="101"/>
      <c r="BR437" s="99"/>
      <c r="BS437" s="99" t="s">
        <v>1356</v>
      </c>
      <c r="BT437" s="99"/>
      <c r="BU437" s="101"/>
      <c r="BV437" s="99"/>
      <c r="BW437" s="101"/>
      <c r="BX437" s="119"/>
      <c r="BY437" s="119" t="s">
        <v>1356</v>
      </c>
      <c r="BZ437" s="119"/>
      <c r="CA437" s="120"/>
      <c r="CB437" s="119"/>
      <c r="CC437" s="120"/>
      <c r="CD437" s="119"/>
      <c r="CE437" s="119" t="s">
        <v>1356</v>
      </c>
      <c r="CF437" s="119"/>
      <c r="CG437" s="120"/>
      <c r="CH437" s="119"/>
      <c r="CI437" s="120"/>
      <c r="CJ437" s="119"/>
      <c r="CK437" s="119" t="s">
        <v>1356</v>
      </c>
      <c r="CL437" s="119"/>
      <c r="CM437" s="120"/>
      <c r="CN437" s="119"/>
      <c r="CO437" s="120"/>
      <c r="CP437" s="119"/>
      <c r="CQ437" s="119" t="s">
        <v>1356</v>
      </c>
      <c r="CR437" s="119"/>
      <c r="CS437" s="120"/>
      <c r="CT437" s="119"/>
      <c r="CU437" s="120"/>
      <c r="CV437" s="119"/>
      <c r="CW437" s="119" t="s">
        <v>1356</v>
      </c>
      <c r="CX437" s="119"/>
      <c r="CY437" s="120"/>
      <c r="CZ437" s="119"/>
      <c r="DA437" s="120"/>
      <c r="DB437" s="36" t="s">
        <v>7085</v>
      </c>
      <c r="DC437" s="59" t="s">
        <v>105</v>
      </c>
    </row>
    <row r="438" spans="1:107" s="40" customFormat="1" x14ac:dyDescent="0.3">
      <c r="A438" s="35" t="s">
        <v>4219</v>
      </c>
      <c r="B438" s="35" t="s">
        <v>4578</v>
      </c>
      <c r="C438" s="35" t="s">
        <v>4579</v>
      </c>
      <c r="D438" s="35" t="s">
        <v>4580</v>
      </c>
      <c r="E438" s="35" t="s">
        <v>4581</v>
      </c>
      <c r="F438" s="35" t="s">
        <v>1752</v>
      </c>
      <c r="G438" s="35" t="s">
        <v>4237</v>
      </c>
      <c r="H438" s="27" t="s">
        <v>686</v>
      </c>
      <c r="I438" s="62">
        <v>901</v>
      </c>
      <c r="J438" s="62">
        <v>90150</v>
      </c>
      <c r="K438" s="63">
        <v>4</v>
      </c>
      <c r="L438" s="35"/>
      <c r="M438" s="35" t="s">
        <v>4582</v>
      </c>
      <c r="N438" s="35"/>
      <c r="O438" s="35"/>
      <c r="P438" s="35"/>
      <c r="Q438" s="35"/>
      <c r="R438" s="35"/>
      <c r="S438" s="35"/>
      <c r="T438" s="35" t="s">
        <v>4410</v>
      </c>
      <c r="U438" s="35"/>
      <c r="V438" s="35" t="s">
        <v>4583</v>
      </c>
      <c r="W438" s="35" t="s">
        <v>4584</v>
      </c>
      <c r="X438" s="35" t="s">
        <v>4585</v>
      </c>
      <c r="Y438" s="35" t="s">
        <v>4586</v>
      </c>
      <c r="Z438" s="35"/>
      <c r="AA438" s="35"/>
      <c r="AB438" s="35"/>
      <c r="AC438" s="35"/>
      <c r="AD438" s="35"/>
      <c r="AE438" s="63">
        <v>2</v>
      </c>
      <c r="AF438" s="63" t="s">
        <v>64</v>
      </c>
      <c r="AG438" s="29" t="s">
        <v>65</v>
      </c>
      <c r="AH438" s="75"/>
      <c r="AI438" s="65" t="s">
        <v>66</v>
      </c>
      <c r="AJ438" s="32" t="s">
        <v>6938</v>
      </c>
      <c r="AK438" s="33" t="s">
        <v>67</v>
      </c>
      <c r="AL438" s="34">
        <v>45573</v>
      </c>
      <c r="AM438" s="35" t="s">
        <v>66</v>
      </c>
      <c r="AN438" s="35"/>
      <c r="AO438" s="35"/>
      <c r="AP438" s="35"/>
      <c r="AQ438" s="37">
        <f t="shared" si="21"/>
        <v>0</v>
      </c>
      <c r="AR438" s="38">
        <f t="shared" si="22"/>
        <v>0</v>
      </c>
      <c r="AS438" s="39">
        <f t="shared" si="23"/>
        <v>0</v>
      </c>
      <c r="AT438" s="99"/>
      <c r="AU438" s="99" t="s">
        <v>1356</v>
      </c>
      <c r="AV438" s="99"/>
      <c r="AW438" s="100"/>
      <c r="AX438" s="99"/>
      <c r="AY438" s="101"/>
      <c r="AZ438" s="99"/>
      <c r="BA438" s="99" t="s">
        <v>1356</v>
      </c>
      <c r="BB438" s="99"/>
      <c r="BC438" s="101"/>
      <c r="BD438" s="99"/>
      <c r="BE438" s="101"/>
      <c r="BF438" s="99"/>
      <c r="BG438" s="99" t="s">
        <v>1356</v>
      </c>
      <c r="BH438" s="99"/>
      <c r="BI438" s="101"/>
      <c r="BJ438" s="99"/>
      <c r="BK438" s="101"/>
      <c r="BL438" s="99"/>
      <c r="BM438" s="99" t="s">
        <v>1356</v>
      </c>
      <c r="BN438" s="99"/>
      <c r="BO438" s="101"/>
      <c r="BP438" s="99"/>
      <c r="BQ438" s="101"/>
      <c r="BR438" s="99"/>
      <c r="BS438" s="99" t="s">
        <v>1356</v>
      </c>
      <c r="BT438" s="99"/>
      <c r="BU438" s="101"/>
      <c r="BV438" s="99"/>
      <c r="BW438" s="101"/>
      <c r="BX438" s="119"/>
      <c r="BY438" s="119" t="s">
        <v>1356</v>
      </c>
      <c r="BZ438" s="119"/>
      <c r="CA438" s="120"/>
      <c r="CB438" s="119"/>
      <c r="CC438" s="120"/>
      <c r="CD438" s="119"/>
      <c r="CE438" s="119" t="s">
        <v>1356</v>
      </c>
      <c r="CF438" s="119"/>
      <c r="CG438" s="120"/>
      <c r="CH438" s="119"/>
      <c r="CI438" s="120"/>
      <c r="CJ438" s="119"/>
      <c r="CK438" s="119" t="s">
        <v>1356</v>
      </c>
      <c r="CL438" s="119"/>
      <c r="CM438" s="120"/>
      <c r="CN438" s="119"/>
      <c r="CO438" s="120"/>
      <c r="CP438" s="119"/>
      <c r="CQ438" s="119" t="s">
        <v>1356</v>
      </c>
      <c r="CR438" s="119"/>
      <c r="CS438" s="120"/>
      <c r="CT438" s="119"/>
      <c r="CU438" s="120"/>
      <c r="CV438" s="119"/>
      <c r="CW438" s="119" t="s">
        <v>1356</v>
      </c>
      <c r="CX438" s="119"/>
      <c r="CY438" s="120"/>
      <c r="CZ438" s="119"/>
      <c r="DA438" s="120"/>
      <c r="DB438" s="36" t="s">
        <v>7085</v>
      </c>
      <c r="DC438" s="59" t="s">
        <v>6751</v>
      </c>
    </row>
    <row r="439" spans="1:107" s="40" customFormat="1" x14ac:dyDescent="0.3">
      <c r="A439" s="35" t="s">
        <v>4219</v>
      </c>
      <c r="B439" s="35" t="s">
        <v>4587</v>
      </c>
      <c r="C439" s="35" t="s">
        <v>4588</v>
      </c>
      <c r="D439" s="35" t="s">
        <v>4589</v>
      </c>
      <c r="E439" s="35" t="s">
        <v>4590</v>
      </c>
      <c r="F439" s="35" t="s">
        <v>256</v>
      </c>
      <c r="G439" s="35" t="s">
        <v>4237</v>
      </c>
      <c r="H439" s="27" t="s">
        <v>686</v>
      </c>
      <c r="I439" s="62">
        <v>901</v>
      </c>
      <c r="J439" s="62">
        <v>90150</v>
      </c>
      <c r="K439" s="63">
        <v>4</v>
      </c>
      <c r="L439" s="35" t="s">
        <v>4591</v>
      </c>
      <c r="M439" s="35" t="s">
        <v>261</v>
      </c>
      <c r="N439" s="35" t="s">
        <v>4592</v>
      </c>
      <c r="O439" s="35"/>
      <c r="P439" s="35"/>
      <c r="Q439" s="35"/>
      <c r="R439" s="35"/>
      <c r="S439" s="35"/>
      <c r="T439" s="35"/>
      <c r="U439" s="35"/>
      <c r="V439" s="35"/>
      <c r="W439" s="35" t="s">
        <v>4593</v>
      </c>
      <c r="X439" s="35" t="s">
        <v>4594</v>
      </c>
      <c r="Y439" s="35" t="s">
        <v>4595</v>
      </c>
      <c r="Z439" s="35">
        <v>-79.888076976999997</v>
      </c>
      <c r="AA439" s="35">
        <v>-2.205403961</v>
      </c>
      <c r="AB439" s="35">
        <v>90150248</v>
      </c>
      <c r="AC439" s="35">
        <v>90150248005</v>
      </c>
      <c r="AD439" s="35">
        <v>90150248005002</v>
      </c>
      <c r="AE439" s="63">
        <v>2</v>
      </c>
      <c r="AF439" s="63" t="s">
        <v>64</v>
      </c>
      <c r="AG439" s="29" t="s">
        <v>65</v>
      </c>
      <c r="AH439" s="75"/>
      <c r="AI439" s="65" t="s">
        <v>66</v>
      </c>
      <c r="AJ439" s="32" t="s">
        <v>6938</v>
      </c>
      <c r="AK439" s="33" t="s">
        <v>67</v>
      </c>
      <c r="AL439" s="58">
        <v>45573</v>
      </c>
      <c r="AM439" s="35" t="s">
        <v>66</v>
      </c>
      <c r="AN439" s="35"/>
      <c r="AO439" s="35"/>
      <c r="AP439" s="35"/>
      <c r="AQ439" s="37">
        <f t="shared" si="21"/>
        <v>0</v>
      </c>
      <c r="AR439" s="38">
        <f t="shared" si="22"/>
        <v>0</v>
      </c>
      <c r="AS439" s="39">
        <f t="shared" si="23"/>
        <v>0</v>
      </c>
      <c r="AT439" s="99"/>
      <c r="AU439" s="99" t="s">
        <v>1356</v>
      </c>
      <c r="AV439" s="99"/>
      <c r="AW439" s="100"/>
      <c r="AX439" s="99"/>
      <c r="AY439" s="101"/>
      <c r="AZ439" s="99"/>
      <c r="BA439" s="99" t="s">
        <v>1356</v>
      </c>
      <c r="BB439" s="99"/>
      <c r="BC439" s="101"/>
      <c r="BD439" s="99"/>
      <c r="BE439" s="101"/>
      <c r="BF439" s="99"/>
      <c r="BG439" s="99" t="s">
        <v>1356</v>
      </c>
      <c r="BH439" s="99"/>
      <c r="BI439" s="101"/>
      <c r="BJ439" s="99"/>
      <c r="BK439" s="101"/>
      <c r="BL439" s="99"/>
      <c r="BM439" s="99" t="s">
        <v>1356</v>
      </c>
      <c r="BN439" s="99"/>
      <c r="BO439" s="101"/>
      <c r="BP439" s="99"/>
      <c r="BQ439" s="101"/>
      <c r="BR439" s="99"/>
      <c r="BS439" s="99" t="s">
        <v>1356</v>
      </c>
      <c r="BT439" s="99"/>
      <c r="BU439" s="101"/>
      <c r="BV439" s="99"/>
      <c r="BW439" s="101"/>
      <c r="BX439" s="119"/>
      <c r="BY439" s="119" t="s">
        <v>1356</v>
      </c>
      <c r="BZ439" s="119"/>
      <c r="CA439" s="120"/>
      <c r="CB439" s="119"/>
      <c r="CC439" s="120"/>
      <c r="CD439" s="119"/>
      <c r="CE439" s="119" t="s">
        <v>1356</v>
      </c>
      <c r="CF439" s="119"/>
      <c r="CG439" s="120"/>
      <c r="CH439" s="119"/>
      <c r="CI439" s="120"/>
      <c r="CJ439" s="119"/>
      <c r="CK439" s="119" t="s">
        <v>1356</v>
      </c>
      <c r="CL439" s="119"/>
      <c r="CM439" s="120"/>
      <c r="CN439" s="119"/>
      <c r="CO439" s="120"/>
      <c r="CP439" s="119"/>
      <c r="CQ439" s="119" t="s">
        <v>1356</v>
      </c>
      <c r="CR439" s="119"/>
      <c r="CS439" s="120"/>
      <c r="CT439" s="119"/>
      <c r="CU439" s="120"/>
      <c r="CV439" s="119"/>
      <c r="CW439" s="119" t="s">
        <v>1356</v>
      </c>
      <c r="CX439" s="119"/>
      <c r="CY439" s="120"/>
      <c r="CZ439" s="119"/>
      <c r="DA439" s="120"/>
      <c r="DB439" s="36" t="s">
        <v>7085</v>
      </c>
      <c r="DC439" s="59" t="s">
        <v>6751</v>
      </c>
    </row>
    <row r="440" spans="1:107" s="40" customFormat="1" x14ac:dyDescent="0.3">
      <c r="A440" s="35" t="s">
        <v>4219</v>
      </c>
      <c r="B440" s="35" t="s">
        <v>4596</v>
      </c>
      <c r="C440" s="35" t="s">
        <v>4597</v>
      </c>
      <c r="D440" s="35" t="s">
        <v>4598</v>
      </c>
      <c r="E440" s="35" t="s">
        <v>4599</v>
      </c>
      <c r="F440" s="35" t="s">
        <v>256</v>
      </c>
      <c r="G440" s="35" t="s">
        <v>4237</v>
      </c>
      <c r="H440" s="27" t="s">
        <v>686</v>
      </c>
      <c r="I440" s="62">
        <v>901</v>
      </c>
      <c r="J440" s="62">
        <v>90150</v>
      </c>
      <c r="K440" s="63">
        <v>3</v>
      </c>
      <c r="L440" s="35" t="s">
        <v>4600</v>
      </c>
      <c r="M440" s="35" t="s">
        <v>4601</v>
      </c>
      <c r="N440" s="35" t="s">
        <v>4602</v>
      </c>
      <c r="O440" s="35"/>
      <c r="P440" s="35"/>
      <c r="Q440" s="35"/>
      <c r="R440" s="35" t="s">
        <v>4603</v>
      </c>
      <c r="S440" s="35"/>
      <c r="T440" s="35"/>
      <c r="U440" s="35" t="s">
        <v>4604</v>
      </c>
      <c r="V440" s="35" t="s">
        <v>4605</v>
      </c>
      <c r="W440" s="35" t="s">
        <v>4606</v>
      </c>
      <c r="X440" s="35" t="s">
        <v>4607</v>
      </c>
      <c r="Y440" s="35" t="s">
        <v>4608</v>
      </c>
      <c r="Z440" s="35">
        <v>-79.927941709756851</v>
      </c>
      <c r="AA440" s="35">
        <v>-2.094947154758072</v>
      </c>
      <c r="AB440" s="35">
        <v>90150502</v>
      </c>
      <c r="AC440" s="35">
        <v>90150502007</v>
      </c>
      <c r="AD440" s="35">
        <v>90150502007002</v>
      </c>
      <c r="AE440" s="63">
        <v>2</v>
      </c>
      <c r="AF440" s="63" t="s">
        <v>64</v>
      </c>
      <c r="AG440" s="29" t="s">
        <v>65</v>
      </c>
      <c r="AH440" s="75"/>
      <c r="AI440" s="65" t="s">
        <v>66</v>
      </c>
      <c r="AJ440" s="32" t="s">
        <v>6938</v>
      </c>
      <c r="AK440" s="33" t="s">
        <v>67</v>
      </c>
      <c r="AL440" s="58">
        <v>45573</v>
      </c>
      <c r="AM440" s="35" t="s">
        <v>66</v>
      </c>
      <c r="AN440" s="35"/>
      <c r="AO440" s="35"/>
      <c r="AP440" s="35"/>
      <c r="AQ440" s="37">
        <f t="shared" si="21"/>
        <v>0</v>
      </c>
      <c r="AR440" s="38">
        <f t="shared" si="22"/>
        <v>0</v>
      </c>
      <c r="AS440" s="39">
        <f t="shared" si="23"/>
        <v>0</v>
      </c>
      <c r="AT440" s="99"/>
      <c r="AU440" s="99" t="s">
        <v>1356</v>
      </c>
      <c r="AV440" s="99"/>
      <c r="AW440" s="100"/>
      <c r="AX440" s="99"/>
      <c r="AY440" s="101"/>
      <c r="AZ440" s="99"/>
      <c r="BA440" s="99" t="s">
        <v>1356</v>
      </c>
      <c r="BB440" s="99"/>
      <c r="BC440" s="101"/>
      <c r="BD440" s="99"/>
      <c r="BE440" s="101"/>
      <c r="BF440" s="99"/>
      <c r="BG440" s="99" t="s">
        <v>1356</v>
      </c>
      <c r="BH440" s="99"/>
      <c r="BI440" s="101"/>
      <c r="BJ440" s="99"/>
      <c r="BK440" s="101"/>
      <c r="BL440" s="99"/>
      <c r="BM440" s="99" t="s">
        <v>1356</v>
      </c>
      <c r="BN440" s="99"/>
      <c r="BO440" s="101"/>
      <c r="BP440" s="99"/>
      <c r="BQ440" s="101"/>
      <c r="BR440" s="99"/>
      <c r="BS440" s="99" t="s">
        <v>1356</v>
      </c>
      <c r="BT440" s="99"/>
      <c r="BU440" s="101"/>
      <c r="BV440" s="99"/>
      <c r="BW440" s="101"/>
      <c r="BX440" s="119"/>
      <c r="BY440" s="119" t="s">
        <v>1356</v>
      </c>
      <c r="BZ440" s="119"/>
      <c r="CA440" s="120"/>
      <c r="CB440" s="119"/>
      <c r="CC440" s="120"/>
      <c r="CD440" s="119"/>
      <c r="CE440" s="119" t="s">
        <v>1356</v>
      </c>
      <c r="CF440" s="119"/>
      <c r="CG440" s="120"/>
      <c r="CH440" s="119"/>
      <c r="CI440" s="120"/>
      <c r="CJ440" s="119"/>
      <c r="CK440" s="119" t="s">
        <v>1356</v>
      </c>
      <c r="CL440" s="119"/>
      <c r="CM440" s="120"/>
      <c r="CN440" s="119"/>
      <c r="CO440" s="120"/>
      <c r="CP440" s="119"/>
      <c r="CQ440" s="119" t="s">
        <v>1356</v>
      </c>
      <c r="CR440" s="119"/>
      <c r="CS440" s="120"/>
      <c r="CT440" s="119"/>
      <c r="CU440" s="120"/>
      <c r="CV440" s="119"/>
      <c r="CW440" s="119" t="s">
        <v>1356</v>
      </c>
      <c r="CX440" s="119"/>
      <c r="CY440" s="120"/>
      <c r="CZ440" s="119"/>
      <c r="DA440" s="120"/>
      <c r="DB440" s="36" t="s">
        <v>7085</v>
      </c>
      <c r="DC440" s="59" t="s">
        <v>6751</v>
      </c>
    </row>
    <row r="441" spans="1:107" s="40" customFormat="1" x14ac:dyDescent="0.3">
      <c r="A441" s="35" t="s">
        <v>4219</v>
      </c>
      <c r="B441" s="35" t="s">
        <v>4609</v>
      </c>
      <c r="C441" s="35" t="s">
        <v>4610</v>
      </c>
      <c r="D441" s="35" t="s">
        <v>4611</v>
      </c>
      <c r="E441" s="35" t="s">
        <v>70</v>
      </c>
      <c r="F441" s="35" t="s">
        <v>265</v>
      </c>
      <c r="G441" s="35" t="s">
        <v>4237</v>
      </c>
      <c r="H441" s="27" t="s">
        <v>686</v>
      </c>
      <c r="I441" s="62">
        <v>901</v>
      </c>
      <c r="J441" s="62">
        <v>90150</v>
      </c>
      <c r="K441" s="63">
        <v>4</v>
      </c>
      <c r="L441" s="35" t="s">
        <v>4612</v>
      </c>
      <c r="M441" s="35"/>
      <c r="N441" s="35" t="s">
        <v>4613</v>
      </c>
      <c r="O441" s="35"/>
      <c r="P441" s="35"/>
      <c r="Q441" s="35" t="s">
        <v>4614</v>
      </c>
      <c r="R441" s="35"/>
      <c r="S441" s="35"/>
      <c r="T441" s="35"/>
      <c r="U441" s="35"/>
      <c r="V441" s="35"/>
      <c r="W441" s="35" t="s">
        <v>4615</v>
      </c>
      <c r="X441" s="35" t="s">
        <v>4616</v>
      </c>
      <c r="Y441" s="35" t="s">
        <v>4617</v>
      </c>
      <c r="Z441" s="35">
        <v>-79.89045649766922</v>
      </c>
      <c r="AA441" s="35">
        <v>-2.1613744880094572</v>
      </c>
      <c r="AB441" s="35">
        <v>90150321</v>
      </c>
      <c r="AC441" s="35">
        <v>90150321010</v>
      </c>
      <c r="AD441" s="35">
        <v>90150321010020</v>
      </c>
      <c r="AE441" s="63">
        <v>2</v>
      </c>
      <c r="AF441" s="63" t="s">
        <v>64</v>
      </c>
      <c r="AG441" s="29" t="s">
        <v>65</v>
      </c>
      <c r="AH441" s="75"/>
      <c r="AI441" s="65" t="s">
        <v>66</v>
      </c>
      <c r="AJ441" s="32" t="s">
        <v>6938</v>
      </c>
      <c r="AK441" s="33" t="s">
        <v>67</v>
      </c>
      <c r="AL441" s="34">
        <v>45575</v>
      </c>
      <c r="AM441" s="35" t="s">
        <v>66</v>
      </c>
      <c r="AN441" s="35"/>
      <c r="AO441" s="35"/>
      <c r="AP441" s="35"/>
      <c r="AQ441" s="37">
        <f t="shared" si="21"/>
        <v>0</v>
      </c>
      <c r="AR441" s="38">
        <f t="shared" si="22"/>
        <v>0</v>
      </c>
      <c r="AS441" s="39">
        <f t="shared" si="23"/>
        <v>0</v>
      </c>
      <c r="AT441" s="99"/>
      <c r="AU441" s="99" t="s">
        <v>1356</v>
      </c>
      <c r="AV441" s="99"/>
      <c r="AW441" s="100"/>
      <c r="AX441" s="99"/>
      <c r="AY441" s="101"/>
      <c r="AZ441" s="99"/>
      <c r="BA441" s="99" t="s">
        <v>1356</v>
      </c>
      <c r="BB441" s="99"/>
      <c r="BC441" s="101"/>
      <c r="BD441" s="99"/>
      <c r="BE441" s="101"/>
      <c r="BF441" s="99"/>
      <c r="BG441" s="99" t="s">
        <v>1356</v>
      </c>
      <c r="BH441" s="99"/>
      <c r="BI441" s="101"/>
      <c r="BJ441" s="99"/>
      <c r="BK441" s="101"/>
      <c r="BL441" s="99"/>
      <c r="BM441" s="99" t="s">
        <v>1356</v>
      </c>
      <c r="BN441" s="99"/>
      <c r="BO441" s="101"/>
      <c r="BP441" s="99"/>
      <c r="BQ441" s="101"/>
      <c r="BR441" s="99"/>
      <c r="BS441" s="99" t="s">
        <v>1356</v>
      </c>
      <c r="BT441" s="99"/>
      <c r="BU441" s="101"/>
      <c r="BV441" s="99"/>
      <c r="BW441" s="101"/>
      <c r="BX441" s="119"/>
      <c r="BY441" s="119" t="s">
        <v>1356</v>
      </c>
      <c r="BZ441" s="119"/>
      <c r="CA441" s="120"/>
      <c r="CB441" s="119"/>
      <c r="CC441" s="120"/>
      <c r="CD441" s="119"/>
      <c r="CE441" s="119" t="s">
        <v>1356</v>
      </c>
      <c r="CF441" s="119"/>
      <c r="CG441" s="120"/>
      <c r="CH441" s="119"/>
      <c r="CI441" s="120"/>
      <c r="CJ441" s="119"/>
      <c r="CK441" s="119" t="s">
        <v>1356</v>
      </c>
      <c r="CL441" s="119"/>
      <c r="CM441" s="120"/>
      <c r="CN441" s="119"/>
      <c r="CO441" s="120"/>
      <c r="CP441" s="119"/>
      <c r="CQ441" s="119" t="s">
        <v>1356</v>
      </c>
      <c r="CR441" s="119"/>
      <c r="CS441" s="120"/>
      <c r="CT441" s="119"/>
      <c r="CU441" s="120"/>
      <c r="CV441" s="119"/>
      <c r="CW441" s="119" t="s">
        <v>1356</v>
      </c>
      <c r="CX441" s="119"/>
      <c r="CY441" s="120"/>
      <c r="CZ441" s="119"/>
      <c r="DA441" s="120"/>
      <c r="DB441" s="36" t="s">
        <v>7085</v>
      </c>
      <c r="DC441" s="59" t="s">
        <v>6751</v>
      </c>
    </row>
    <row r="442" spans="1:107" s="40" customFormat="1" x14ac:dyDescent="0.3">
      <c r="A442" s="35" t="s">
        <v>4219</v>
      </c>
      <c r="B442" s="35" t="s">
        <v>4618</v>
      </c>
      <c r="C442" s="35" t="s">
        <v>4619</v>
      </c>
      <c r="D442" s="35" t="s">
        <v>4620</v>
      </c>
      <c r="E442" s="35" t="s">
        <v>70</v>
      </c>
      <c r="F442" s="35" t="s">
        <v>825</v>
      </c>
      <c r="G442" s="35" t="s">
        <v>4237</v>
      </c>
      <c r="H442" s="27" t="s">
        <v>686</v>
      </c>
      <c r="I442" s="62">
        <v>901</v>
      </c>
      <c r="J442" s="62">
        <v>90150</v>
      </c>
      <c r="K442" s="63">
        <v>3</v>
      </c>
      <c r="L442" s="35" t="s">
        <v>4621</v>
      </c>
      <c r="M442" s="35" t="s">
        <v>4621</v>
      </c>
      <c r="N442" s="35" t="s">
        <v>4621</v>
      </c>
      <c r="O442" s="35"/>
      <c r="P442" s="35"/>
      <c r="Q442" s="35"/>
      <c r="R442" s="35"/>
      <c r="S442" s="35"/>
      <c r="T442" s="35"/>
      <c r="U442" s="35"/>
      <c r="V442" s="35"/>
      <c r="W442" s="35" t="s">
        <v>4622</v>
      </c>
      <c r="X442" s="35"/>
      <c r="Y442" s="35" t="s">
        <v>4623</v>
      </c>
      <c r="Z442" s="35"/>
      <c r="AA442" s="35"/>
      <c r="AB442" s="35"/>
      <c r="AC442" s="35"/>
      <c r="AD442" s="35"/>
      <c r="AE442" s="63">
        <v>2</v>
      </c>
      <c r="AF442" s="63" t="s">
        <v>64</v>
      </c>
      <c r="AG442" s="29" t="s">
        <v>65</v>
      </c>
      <c r="AH442" s="75"/>
      <c r="AI442" s="65" t="s">
        <v>66</v>
      </c>
      <c r="AJ442" s="32" t="s">
        <v>6938</v>
      </c>
      <c r="AK442" s="33" t="s">
        <v>67</v>
      </c>
      <c r="AL442" s="58">
        <v>45621</v>
      </c>
      <c r="AM442" s="35" t="s">
        <v>66</v>
      </c>
      <c r="AN442" s="35"/>
      <c r="AO442" s="35"/>
      <c r="AP442" s="35"/>
      <c r="AQ442" s="37">
        <f t="shared" si="21"/>
        <v>0</v>
      </c>
      <c r="AR442" s="38">
        <f t="shared" si="22"/>
        <v>0</v>
      </c>
      <c r="AS442" s="39">
        <f t="shared" si="23"/>
        <v>0</v>
      </c>
      <c r="AT442" s="99"/>
      <c r="AU442" s="99" t="s">
        <v>1356</v>
      </c>
      <c r="AV442" s="99"/>
      <c r="AW442" s="100"/>
      <c r="AX442" s="99"/>
      <c r="AY442" s="101"/>
      <c r="AZ442" s="99"/>
      <c r="BA442" s="99" t="s">
        <v>1356</v>
      </c>
      <c r="BB442" s="99"/>
      <c r="BC442" s="101"/>
      <c r="BD442" s="99"/>
      <c r="BE442" s="101"/>
      <c r="BF442" s="99"/>
      <c r="BG442" s="99" t="s">
        <v>1356</v>
      </c>
      <c r="BH442" s="99"/>
      <c r="BI442" s="101"/>
      <c r="BJ442" s="99"/>
      <c r="BK442" s="101"/>
      <c r="BL442" s="99"/>
      <c r="BM442" s="99" t="s">
        <v>1356</v>
      </c>
      <c r="BN442" s="99"/>
      <c r="BO442" s="101"/>
      <c r="BP442" s="99"/>
      <c r="BQ442" s="101"/>
      <c r="BR442" s="99"/>
      <c r="BS442" s="99" t="s">
        <v>1356</v>
      </c>
      <c r="BT442" s="99"/>
      <c r="BU442" s="101"/>
      <c r="BV442" s="99"/>
      <c r="BW442" s="101"/>
      <c r="BX442" s="119"/>
      <c r="BY442" s="119" t="s">
        <v>1356</v>
      </c>
      <c r="BZ442" s="119"/>
      <c r="CA442" s="120"/>
      <c r="CB442" s="119"/>
      <c r="CC442" s="120"/>
      <c r="CD442" s="119"/>
      <c r="CE442" s="119" t="s">
        <v>1356</v>
      </c>
      <c r="CF442" s="119"/>
      <c r="CG442" s="120"/>
      <c r="CH442" s="119"/>
      <c r="CI442" s="120"/>
      <c r="CJ442" s="119"/>
      <c r="CK442" s="119" t="s">
        <v>1356</v>
      </c>
      <c r="CL442" s="119"/>
      <c r="CM442" s="120"/>
      <c r="CN442" s="119"/>
      <c r="CO442" s="120"/>
      <c r="CP442" s="119"/>
      <c r="CQ442" s="119" t="s">
        <v>1356</v>
      </c>
      <c r="CR442" s="119"/>
      <c r="CS442" s="120"/>
      <c r="CT442" s="119"/>
      <c r="CU442" s="120"/>
      <c r="CV442" s="119"/>
      <c r="CW442" s="119" t="s">
        <v>1356</v>
      </c>
      <c r="CX442" s="119"/>
      <c r="CY442" s="120"/>
      <c r="CZ442" s="119"/>
      <c r="DA442" s="120"/>
      <c r="DB442" s="36" t="s">
        <v>7085</v>
      </c>
      <c r="DC442" s="59" t="s">
        <v>6751</v>
      </c>
    </row>
    <row r="443" spans="1:107" s="40" customFormat="1" x14ac:dyDescent="0.3">
      <c r="A443" s="35" t="s">
        <v>4219</v>
      </c>
      <c r="B443" s="35" t="s">
        <v>4624</v>
      </c>
      <c r="C443" s="35" t="s">
        <v>4625</v>
      </c>
      <c r="D443" s="35" t="s">
        <v>4626</v>
      </c>
      <c r="E443" s="35" t="s">
        <v>70</v>
      </c>
      <c r="F443" s="35" t="s">
        <v>1493</v>
      </c>
      <c r="G443" s="35" t="s">
        <v>4237</v>
      </c>
      <c r="H443" s="27" t="s">
        <v>686</v>
      </c>
      <c r="I443" s="62">
        <v>916</v>
      </c>
      <c r="J443" s="62">
        <v>91650</v>
      </c>
      <c r="K443" s="63">
        <v>3</v>
      </c>
      <c r="L443" s="35" t="s">
        <v>4627</v>
      </c>
      <c r="M443" s="35" t="s">
        <v>4628</v>
      </c>
      <c r="N443" s="35"/>
      <c r="O443" s="35"/>
      <c r="P443" s="35"/>
      <c r="Q443" s="35"/>
      <c r="R443" s="35"/>
      <c r="S443" s="35"/>
      <c r="T443" s="35"/>
      <c r="U443" s="35"/>
      <c r="V443" s="35" t="s">
        <v>4629</v>
      </c>
      <c r="W443" s="35" t="s">
        <v>4630</v>
      </c>
      <c r="X443" s="35"/>
      <c r="Y443" s="35" t="s">
        <v>4631</v>
      </c>
      <c r="Z443" s="35"/>
      <c r="AA443" s="35"/>
      <c r="AB443" s="35"/>
      <c r="AC443" s="35"/>
      <c r="AD443" s="35"/>
      <c r="AE443" s="63">
        <v>2</v>
      </c>
      <c r="AF443" s="63" t="s">
        <v>64</v>
      </c>
      <c r="AG443" s="29" t="s">
        <v>65</v>
      </c>
      <c r="AH443" s="75"/>
      <c r="AI443" s="65" t="s">
        <v>66</v>
      </c>
      <c r="AJ443" s="32" t="s">
        <v>6938</v>
      </c>
      <c r="AK443" s="33" t="s">
        <v>67</v>
      </c>
      <c r="AL443" s="58">
        <v>45579</v>
      </c>
      <c r="AM443" s="35" t="s">
        <v>66</v>
      </c>
      <c r="AN443" s="35"/>
      <c r="AO443" s="35"/>
      <c r="AP443" s="35"/>
      <c r="AQ443" s="37">
        <f t="shared" si="21"/>
        <v>0</v>
      </c>
      <c r="AR443" s="38">
        <f t="shared" si="22"/>
        <v>0</v>
      </c>
      <c r="AS443" s="39">
        <f t="shared" si="23"/>
        <v>0</v>
      </c>
      <c r="AT443" s="99"/>
      <c r="AU443" s="99" t="s">
        <v>1356</v>
      </c>
      <c r="AV443" s="99"/>
      <c r="AW443" s="100"/>
      <c r="AX443" s="99"/>
      <c r="AY443" s="101"/>
      <c r="AZ443" s="99"/>
      <c r="BA443" s="99" t="s">
        <v>1356</v>
      </c>
      <c r="BB443" s="99"/>
      <c r="BC443" s="101"/>
      <c r="BD443" s="99"/>
      <c r="BE443" s="101"/>
      <c r="BF443" s="99"/>
      <c r="BG443" s="99" t="s">
        <v>1356</v>
      </c>
      <c r="BH443" s="99"/>
      <c r="BI443" s="101"/>
      <c r="BJ443" s="99"/>
      <c r="BK443" s="101"/>
      <c r="BL443" s="99"/>
      <c r="BM443" s="99" t="s">
        <v>1356</v>
      </c>
      <c r="BN443" s="99"/>
      <c r="BO443" s="101"/>
      <c r="BP443" s="99"/>
      <c r="BQ443" s="101"/>
      <c r="BR443" s="99"/>
      <c r="BS443" s="99" t="s">
        <v>1356</v>
      </c>
      <c r="BT443" s="99"/>
      <c r="BU443" s="101"/>
      <c r="BV443" s="99"/>
      <c r="BW443" s="101"/>
      <c r="BX443" s="119"/>
      <c r="BY443" s="119" t="s">
        <v>1356</v>
      </c>
      <c r="BZ443" s="119"/>
      <c r="CA443" s="120"/>
      <c r="CB443" s="119"/>
      <c r="CC443" s="120"/>
      <c r="CD443" s="119"/>
      <c r="CE443" s="119" t="s">
        <v>1356</v>
      </c>
      <c r="CF443" s="119"/>
      <c r="CG443" s="120"/>
      <c r="CH443" s="119"/>
      <c r="CI443" s="120"/>
      <c r="CJ443" s="119"/>
      <c r="CK443" s="119" t="s">
        <v>1356</v>
      </c>
      <c r="CL443" s="119"/>
      <c r="CM443" s="120"/>
      <c r="CN443" s="119"/>
      <c r="CO443" s="120"/>
      <c r="CP443" s="119"/>
      <c r="CQ443" s="119" t="s">
        <v>1356</v>
      </c>
      <c r="CR443" s="119"/>
      <c r="CS443" s="120"/>
      <c r="CT443" s="119"/>
      <c r="CU443" s="120"/>
      <c r="CV443" s="119"/>
      <c r="CW443" s="119" t="s">
        <v>1356</v>
      </c>
      <c r="CX443" s="119"/>
      <c r="CY443" s="120"/>
      <c r="CZ443" s="119"/>
      <c r="DA443" s="120"/>
      <c r="DB443" s="36" t="s">
        <v>7085</v>
      </c>
      <c r="DC443" s="59" t="s">
        <v>6751</v>
      </c>
    </row>
    <row r="444" spans="1:107" s="40" customFormat="1" x14ac:dyDescent="0.3">
      <c r="A444" s="35" t="s">
        <v>4219</v>
      </c>
      <c r="B444" s="35" t="s">
        <v>4632</v>
      </c>
      <c r="C444" s="35" t="s">
        <v>4633</v>
      </c>
      <c r="D444" s="35" t="s">
        <v>4634</v>
      </c>
      <c r="E444" s="35"/>
      <c r="F444" s="35" t="s">
        <v>1493</v>
      </c>
      <c r="G444" s="35" t="s">
        <v>4237</v>
      </c>
      <c r="H444" s="27" t="s">
        <v>686</v>
      </c>
      <c r="I444" s="62">
        <v>901</v>
      </c>
      <c r="J444" s="62">
        <v>90150</v>
      </c>
      <c r="K444" s="63">
        <v>4</v>
      </c>
      <c r="L444" s="35"/>
      <c r="M444" s="35" t="s">
        <v>4635</v>
      </c>
      <c r="N444" s="35"/>
      <c r="O444" s="35"/>
      <c r="P444" s="35" t="s">
        <v>4636</v>
      </c>
      <c r="Q444" s="35"/>
      <c r="R444" s="35"/>
      <c r="S444" s="35"/>
      <c r="T444" s="35"/>
      <c r="U444" s="35"/>
      <c r="V444" s="35" t="s">
        <v>228</v>
      </c>
      <c r="W444" s="35" t="s">
        <v>4637</v>
      </c>
      <c r="X444" s="35" t="s">
        <v>4638</v>
      </c>
      <c r="Y444" s="35" t="s">
        <v>4639</v>
      </c>
      <c r="Z444" s="35"/>
      <c r="AA444" s="35"/>
      <c r="AB444" s="35"/>
      <c r="AC444" s="35"/>
      <c r="AD444" s="35"/>
      <c r="AE444" s="63">
        <v>2</v>
      </c>
      <c r="AF444" s="63" t="s">
        <v>64</v>
      </c>
      <c r="AG444" s="29" t="s">
        <v>65</v>
      </c>
      <c r="AH444" s="75"/>
      <c r="AI444" s="65" t="s">
        <v>66</v>
      </c>
      <c r="AJ444" s="32" t="s">
        <v>6938</v>
      </c>
      <c r="AK444" s="33" t="s">
        <v>67</v>
      </c>
      <c r="AL444" s="58">
        <v>45573</v>
      </c>
      <c r="AM444" s="35" t="s">
        <v>66</v>
      </c>
      <c r="AN444" s="35"/>
      <c r="AO444" s="35"/>
      <c r="AP444" s="35"/>
      <c r="AQ444" s="37">
        <f t="shared" si="21"/>
        <v>0</v>
      </c>
      <c r="AR444" s="38">
        <f t="shared" si="22"/>
        <v>0</v>
      </c>
      <c r="AS444" s="39">
        <f t="shared" si="23"/>
        <v>0</v>
      </c>
      <c r="AT444" s="99"/>
      <c r="AU444" s="99" t="s">
        <v>1356</v>
      </c>
      <c r="AV444" s="99"/>
      <c r="AW444" s="100"/>
      <c r="AX444" s="99"/>
      <c r="AY444" s="101"/>
      <c r="AZ444" s="99"/>
      <c r="BA444" s="99" t="s">
        <v>1356</v>
      </c>
      <c r="BB444" s="99"/>
      <c r="BC444" s="101"/>
      <c r="BD444" s="99"/>
      <c r="BE444" s="101"/>
      <c r="BF444" s="99"/>
      <c r="BG444" s="99" t="s">
        <v>1356</v>
      </c>
      <c r="BH444" s="99"/>
      <c r="BI444" s="101"/>
      <c r="BJ444" s="99"/>
      <c r="BK444" s="101"/>
      <c r="BL444" s="99"/>
      <c r="BM444" s="99" t="s">
        <v>1356</v>
      </c>
      <c r="BN444" s="99"/>
      <c r="BO444" s="101"/>
      <c r="BP444" s="99"/>
      <c r="BQ444" s="101"/>
      <c r="BR444" s="99"/>
      <c r="BS444" s="99" t="s">
        <v>1356</v>
      </c>
      <c r="BT444" s="99"/>
      <c r="BU444" s="101"/>
      <c r="BV444" s="99"/>
      <c r="BW444" s="101"/>
      <c r="BX444" s="119"/>
      <c r="BY444" s="119" t="s">
        <v>1356</v>
      </c>
      <c r="BZ444" s="119"/>
      <c r="CA444" s="120"/>
      <c r="CB444" s="119"/>
      <c r="CC444" s="120"/>
      <c r="CD444" s="119"/>
      <c r="CE444" s="119" t="s">
        <v>1356</v>
      </c>
      <c r="CF444" s="119"/>
      <c r="CG444" s="120"/>
      <c r="CH444" s="119"/>
      <c r="CI444" s="120"/>
      <c r="CJ444" s="119"/>
      <c r="CK444" s="119" t="s">
        <v>1356</v>
      </c>
      <c r="CL444" s="119"/>
      <c r="CM444" s="120"/>
      <c r="CN444" s="119"/>
      <c r="CO444" s="120"/>
      <c r="CP444" s="119"/>
      <c r="CQ444" s="119" t="s">
        <v>1356</v>
      </c>
      <c r="CR444" s="119"/>
      <c r="CS444" s="120"/>
      <c r="CT444" s="119"/>
      <c r="CU444" s="120"/>
      <c r="CV444" s="119"/>
      <c r="CW444" s="119" t="s">
        <v>1356</v>
      </c>
      <c r="CX444" s="119"/>
      <c r="CY444" s="120"/>
      <c r="CZ444" s="119"/>
      <c r="DA444" s="120"/>
      <c r="DB444" s="36" t="s">
        <v>7085</v>
      </c>
      <c r="DC444" s="59" t="s">
        <v>6751</v>
      </c>
    </row>
    <row r="445" spans="1:107" s="40" customFormat="1" x14ac:dyDescent="0.3">
      <c r="A445" s="35" t="s">
        <v>4219</v>
      </c>
      <c r="B445" s="35" t="s">
        <v>4640</v>
      </c>
      <c r="C445" s="35" t="s">
        <v>4641</v>
      </c>
      <c r="D445" s="35" t="s">
        <v>4642</v>
      </c>
      <c r="E445" s="35" t="s">
        <v>70</v>
      </c>
      <c r="F445" s="35" t="s">
        <v>734</v>
      </c>
      <c r="G445" s="35" t="s">
        <v>4237</v>
      </c>
      <c r="H445" s="27" t="s">
        <v>686</v>
      </c>
      <c r="I445" s="62">
        <v>901</v>
      </c>
      <c r="J445" s="62">
        <v>90150</v>
      </c>
      <c r="K445" s="63">
        <v>4</v>
      </c>
      <c r="L445" s="35" t="s">
        <v>4643</v>
      </c>
      <c r="M445" s="35" t="s">
        <v>4644</v>
      </c>
      <c r="N445" s="35" t="s">
        <v>4645</v>
      </c>
      <c r="O445" s="35"/>
      <c r="P445" s="35"/>
      <c r="Q445" s="35" t="s">
        <v>4646</v>
      </c>
      <c r="R445" s="35" t="s">
        <v>4647</v>
      </c>
      <c r="S445" s="35" t="s">
        <v>60</v>
      </c>
      <c r="T445" s="35"/>
      <c r="U445" s="35"/>
      <c r="V445" s="35"/>
      <c r="W445" s="35" t="s">
        <v>4648</v>
      </c>
      <c r="X445" s="35"/>
      <c r="Y445" s="35" t="s">
        <v>4649</v>
      </c>
      <c r="Z445" s="35">
        <v>-79.941597999999999</v>
      </c>
      <c r="AA445" s="35">
        <v>-2.0757560000000002</v>
      </c>
      <c r="AB445" s="35">
        <v>90150671</v>
      </c>
      <c r="AC445" s="35">
        <v>90150671011</v>
      </c>
      <c r="AD445" s="35">
        <v>90150671011007</v>
      </c>
      <c r="AE445" s="63">
        <v>2</v>
      </c>
      <c r="AF445" s="63" t="s">
        <v>64</v>
      </c>
      <c r="AG445" s="29" t="s">
        <v>65</v>
      </c>
      <c r="AH445" s="75"/>
      <c r="AI445" s="65" t="s">
        <v>66</v>
      </c>
      <c r="AJ445" s="32" t="s">
        <v>6938</v>
      </c>
      <c r="AK445" s="33" t="s">
        <v>67</v>
      </c>
      <c r="AL445" s="58">
        <v>45573</v>
      </c>
      <c r="AM445" s="35" t="s">
        <v>66</v>
      </c>
      <c r="AN445" s="35"/>
      <c r="AO445" s="35"/>
      <c r="AP445" s="35"/>
      <c r="AQ445" s="37">
        <f t="shared" si="21"/>
        <v>0</v>
      </c>
      <c r="AR445" s="38">
        <f t="shared" si="22"/>
        <v>0</v>
      </c>
      <c r="AS445" s="39">
        <f t="shared" si="23"/>
        <v>0</v>
      </c>
      <c r="AT445" s="99"/>
      <c r="AU445" s="99" t="s">
        <v>1356</v>
      </c>
      <c r="AV445" s="99"/>
      <c r="AW445" s="100"/>
      <c r="AX445" s="99"/>
      <c r="AY445" s="101"/>
      <c r="AZ445" s="99"/>
      <c r="BA445" s="99" t="s">
        <v>1356</v>
      </c>
      <c r="BB445" s="99"/>
      <c r="BC445" s="101"/>
      <c r="BD445" s="99"/>
      <c r="BE445" s="101"/>
      <c r="BF445" s="99"/>
      <c r="BG445" s="99" t="s">
        <v>1356</v>
      </c>
      <c r="BH445" s="99"/>
      <c r="BI445" s="101"/>
      <c r="BJ445" s="99"/>
      <c r="BK445" s="101"/>
      <c r="BL445" s="99"/>
      <c r="BM445" s="99" t="s">
        <v>1356</v>
      </c>
      <c r="BN445" s="99"/>
      <c r="BO445" s="101"/>
      <c r="BP445" s="99"/>
      <c r="BQ445" s="101"/>
      <c r="BR445" s="99"/>
      <c r="BS445" s="99" t="s">
        <v>1356</v>
      </c>
      <c r="BT445" s="99"/>
      <c r="BU445" s="101"/>
      <c r="BV445" s="99"/>
      <c r="BW445" s="101"/>
      <c r="BX445" s="119"/>
      <c r="BY445" s="119" t="s">
        <v>1356</v>
      </c>
      <c r="BZ445" s="119"/>
      <c r="CA445" s="120"/>
      <c r="CB445" s="119"/>
      <c r="CC445" s="120"/>
      <c r="CD445" s="119"/>
      <c r="CE445" s="119" t="s">
        <v>1356</v>
      </c>
      <c r="CF445" s="119"/>
      <c r="CG445" s="120"/>
      <c r="CH445" s="119"/>
      <c r="CI445" s="120"/>
      <c r="CJ445" s="119"/>
      <c r="CK445" s="119" t="s">
        <v>1356</v>
      </c>
      <c r="CL445" s="119"/>
      <c r="CM445" s="120"/>
      <c r="CN445" s="119"/>
      <c r="CO445" s="120"/>
      <c r="CP445" s="119"/>
      <c r="CQ445" s="119" t="s">
        <v>1356</v>
      </c>
      <c r="CR445" s="119"/>
      <c r="CS445" s="120"/>
      <c r="CT445" s="119"/>
      <c r="CU445" s="120"/>
      <c r="CV445" s="119"/>
      <c r="CW445" s="119" t="s">
        <v>1356</v>
      </c>
      <c r="CX445" s="119"/>
      <c r="CY445" s="120"/>
      <c r="CZ445" s="119"/>
      <c r="DA445" s="120"/>
      <c r="DB445" s="36" t="s">
        <v>7085</v>
      </c>
      <c r="DC445" s="59" t="s">
        <v>6751</v>
      </c>
    </row>
    <row r="446" spans="1:107" s="40" customFormat="1" x14ac:dyDescent="0.3">
      <c r="A446" s="66" t="s">
        <v>3500</v>
      </c>
      <c r="B446" s="66" t="s">
        <v>3689</v>
      </c>
      <c r="C446" s="66" t="s">
        <v>3690</v>
      </c>
      <c r="D446" s="66" t="s">
        <v>1064</v>
      </c>
      <c r="E446" s="66" t="s">
        <v>1065</v>
      </c>
      <c r="F446" s="66" t="s">
        <v>134</v>
      </c>
      <c r="G446" s="68" t="s">
        <v>72</v>
      </c>
      <c r="H446" s="43" t="s">
        <v>251</v>
      </c>
      <c r="I446" s="68">
        <v>1701</v>
      </c>
      <c r="J446" s="68">
        <v>170150</v>
      </c>
      <c r="K446" s="69">
        <v>4</v>
      </c>
      <c r="L446" s="66" t="s">
        <v>1066</v>
      </c>
      <c r="M446" s="66" t="s">
        <v>1067</v>
      </c>
      <c r="N446" s="66" t="s">
        <v>1068</v>
      </c>
      <c r="O446" s="66"/>
      <c r="P446" s="66"/>
      <c r="Q446" s="66"/>
      <c r="R446" s="66" t="s">
        <v>60</v>
      </c>
      <c r="S446" s="66"/>
      <c r="T446" s="66"/>
      <c r="U446" s="66" t="s">
        <v>1069</v>
      </c>
      <c r="V446" s="66"/>
      <c r="W446" s="66" t="s">
        <v>1070</v>
      </c>
      <c r="X446" s="66" t="s">
        <v>1071</v>
      </c>
      <c r="Y446" s="66" t="s">
        <v>1072</v>
      </c>
      <c r="Z446" s="66"/>
      <c r="AA446" s="66"/>
      <c r="AB446" s="66">
        <v>170150141</v>
      </c>
      <c r="AC446" s="66">
        <v>170150141001</v>
      </c>
      <c r="AD446" s="66">
        <v>170150141001001</v>
      </c>
      <c r="AE446" s="69">
        <v>5</v>
      </c>
      <c r="AF446" s="69" t="s">
        <v>772</v>
      </c>
      <c r="AG446" s="46" t="s">
        <v>66</v>
      </c>
      <c r="AH446" s="70" t="s">
        <v>1073</v>
      </c>
      <c r="AI446" s="71" t="s">
        <v>66</v>
      </c>
      <c r="AJ446" s="49" t="s">
        <v>6938</v>
      </c>
      <c r="AK446" s="50" t="s">
        <v>67</v>
      </c>
      <c r="AL446" s="58">
        <v>45583</v>
      </c>
      <c r="AM446" s="52" t="s">
        <v>66</v>
      </c>
      <c r="AN446" s="52"/>
      <c r="AO446" s="52"/>
      <c r="AP446" s="52"/>
      <c r="AQ446" s="53">
        <f t="shared" si="21"/>
        <v>5</v>
      </c>
      <c r="AR446" s="54">
        <f t="shared" si="22"/>
        <v>0</v>
      </c>
      <c r="AS446" s="55">
        <f t="shared" si="23"/>
        <v>5</v>
      </c>
      <c r="AT446" s="102" t="s">
        <v>1074</v>
      </c>
      <c r="AU446" s="103" t="s">
        <v>2550</v>
      </c>
      <c r="AV446" s="104">
        <v>21.41</v>
      </c>
      <c r="AW446" s="105">
        <v>45583</v>
      </c>
      <c r="AX446" s="104">
        <v>21.41</v>
      </c>
      <c r="AY446" s="106">
        <v>45611</v>
      </c>
      <c r="AZ446" s="102" t="s">
        <v>1074</v>
      </c>
      <c r="BA446" s="103" t="s">
        <v>2550</v>
      </c>
      <c r="BB446" s="104">
        <v>1.49</v>
      </c>
      <c r="BC446" s="106">
        <v>45583</v>
      </c>
      <c r="BD446" s="104">
        <v>1.49</v>
      </c>
      <c r="BE446" s="106">
        <v>45611</v>
      </c>
      <c r="BF446" s="102" t="s">
        <v>1074</v>
      </c>
      <c r="BG446" s="103" t="s">
        <v>2550</v>
      </c>
      <c r="BH446" s="104">
        <v>1.32</v>
      </c>
      <c r="BI446" s="106">
        <v>45583</v>
      </c>
      <c r="BJ446" s="104">
        <v>1.32</v>
      </c>
      <c r="BK446" s="106">
        <v>45611</v>
      </c>
      <c r="BL446" s="102" t="s">
        <v>564</v>
      </c>
      <c r="BM446" s="103" t="s">
        <v>2655</v>
      </c>
      <c r="BN446" s="104">
        <v>4.92</v>
      </c>
      <c r="BO446" s="106">
        <v>45583</v>
      </c>
      <c r="BP446" s="104">
        <v>4.92</v>
      </c>
      <c r="BQ446" s="106">
        <v>45611</v>
      </c>
      <c r="BR446" s="102" t="s">
        <v>564</v>
      </c>
      <c r="BS446" s="103" t="s">
        <v>2655</v>
      </c>
      <c r="BT446" s="104">
        <v>4.92</v>
      </c>
      <c r="BU446" s="106">
        <v>45583</v>
      </c>
      <c r="BV446" s="104">
        <v>4.92</v>
      </c>
      <c r="BW446" s="106">
        <v>45611</v>
      </c>
      <c r="BX446" s="121"/>
      <c r="BY446" s="122" t="s">
        <v>1356</v>
      </c>
      <c r="BZ446" s="123"/>
      <c r="CA446" s="124"/>
      <c r="CB446" s="123"/>
      <c r="CC446" s="124"/>
      <c r="CD446" s="121"/>
      <c r="CE446" s="122" t="s">
        <v>1356</v>
      </c>
      <c r="CF446" s="123"/>
      <c r="CG446" s="124"/>
      <c r="CH446" s="123"/>
      <c r="CI446" s="124"/>
      <c r="CJ446" s="121"/>
      <c r="CK446" s="122" t="s">
        <v>1356</v>
      </c>
      <c r="CL446" s="123"/>
      <c r="CM446" s="124"/>
      <c r="CN446" s="123"/>
      <c r="CO446" s="124"/>
      <c r="CP446" s="121"/>
      <c r="CQ446" s="122" t="s">
        <v>1356</v>
      </c>
      <c r="CR446" s="123"/>
      <c r="CS446" s="124"/>
      <c r="CT446" s="123"/>
      <c r="CU446" s="124"/>
      <c r="CV446" s="121"/>
      <c r="CW446" s="122" t="s">
        <v>1356</v>
      </c>
      <c r="CX446" s="123"/>
      <c r="CY446" s="124"/>
      <c r="CZ446" s="123"/>
      <c r="DA446" s="124"/>
      <c r="DB446" s="52" t="s">
        <v>6962</v>
      </c>
      <c r="DC446" s="73" t="s">
        <v>105</v>
      </c>
    </row>
    <row r="447" spans="1:107" s="40" customFormat="1" ht="14.55" customHeight="1" x14ac:dyDescent="0.3">
      <c r="A447" s="35" t="s">
        <v>4219</v>
      </c>
      <c r="B447" s="35" t="s">
        <v>4662</v>
      </c>
      <c r="C447" s="35" t="s">
        <v>4663</v>
      </c>
      <c r="D447" s="35" t="s">
        <v>4664</v>
      </c>
      <c r="E447" s="35" t="s">
        <v>70</v>
      </c>
      <c r="F447" s="35" t="s">
        <v>734</v>
      </c>
      <c r="G447" s="35" t="s">
        <v>4237</v>
      </c>
      <c r="H447" s="27" t="s">
        <v>686</v>
      </c>
      <c r="I447" s="62">
        <v>920</v>
      </c>
      <c r="J447" s="62">
        <v>92050</v>
      </c>
      <c r="K447" s="63">
        <v>3</v>
      </c>
      <c r="L447" s="35"/>
      <c r="M447" s="35"/>
      <c r="N447" s="35"/>
      <c r="O447" s="35"/>
      <c r="P447" s="35"/>
      <c r="Q447" s="35"/>
      <c r="R447" s="35"/>
      <c r="S447" s="35"/>
      <c r="T447" s="35"/>
      <c r="U447" s="35" t="s">
        <v>4665</v>
      </c>
      <c r="V447" s="35"/>
      <c r="W447" s="35" t="s">
        <v>4666</v>
      </c>
      <c r="X447" s="35"/>
      <c r="Y447" s="35" t="s">
        <v>4667</v>
      </c>
      <c r="Z447" s="35"/>
      <c r="AA447" s="35"/>
      <c r="AB447" s="35"/>
      <c r="AC447" s="35"/>
      <c r="AD447" s="35"/>
      <c r="AE447" s="63">
        <v>2</v>
      </c>
      <c r="AF447" s="63" t="s">
        <v>64</v>
      </c>
      <c r="AG447" s="29" t="s">
        <v>65</v>
      </c>
      <c r="AH447" s="75"/>
      <c r="AI447" s="65" t="s">
        <v>65</v>
      </c>
      <c r="AJ447" s="32" t="s">
        <v>6938</v>
      </c>
      <c r="AK447" s="33" t="s">
        <v>92</v>
      </c>
      <c r="AL447" s="58">
        <v>45573</v>
      </c>
      <c r="AM447" s="35"/>
      <c r="AN447" s="35"/>
      <c r="AO447" s="35"/>
      <c r="AP447" s="35"/>
      <c r="AQ447" s="37">
        <f t="shared" si="21"/>
        <v>0</v>
      </c>
      <c r="AR447" s="38">
        <f t="shared" si="22"/>
        <v>0</v>
      </c>
      <c r="AS447" s="39">
        <f t="shared" si="23"/>
        <v>0</v>
      </c>
      <c r="AT447" s="99"/>
      <c r="AU447" s="99" t="s">
        <v>1356</v>
      </c>
      <c r="AV447" s="99"/>
      <c r="AW447" s="100"/>
      <c r="AX447" s="99"/>
      <c r="AY447" s="101"/>
      <c r="AZ447" s="99"/>
      <c r="BA447" s="99" t="s">
        <v>1356</v>
      </c>
      <c r="BB447" s="99"/>
      <c r="BC447" s="101"/>
      <c r="BD447" s="99"/>
      <c r="BE447" s="101"/>
      <c r="BF447" s="99"/>
      <c r="BG447" s="99" t="s">
        <v>1356</v>
      </c>
      <c r="BH447" s="99"/>
      <c r="BI447" s="101"/>
      <c r="BJ447" s="99"/>
      <c r="BK447" s="101"/>
      <c r="BL447" s="99"/>
      <c r="BM447" s="99" t="s">
        <v>1356</v>
      </c>
      <c r="BN447" s="99"/>
      <c r="BO447" s="101"/>
      <c r="BP447" s="99"/>
      <c r="BQ447" s="101"/>
      <c r="BR447" s="99"/>
      <c r="BS447" s="99" t="s">
        <v>1356</v>
      </c>
      <c r="BT447" s="99"/>
      <c r="BU447" s="101"/>
      <c r="BV447" s="99"/>
      <c r="BW447" s="101"/>
      <c r="BX447" s="119"/>
      <c r="BY447" s="119" t="s">
        <v>1356</v>
      </c>
      <c r="BZ447" s="119"/>
      <c r="CA447" s="120"/>
      <c r="CB447" s="119"/>
      <c r="CC447" s="120"/>
      <c r="CD447" s="119"/>
      <c r="CE447" s="119" t="s">
        <v>1356</v>
      </c>
      <c r="CF447" s="119"/>
      <c r="CG447" s="120"/>
      <c r="CH447" s="119"/>
      <c r="CI447" s="120"/>
      <c r="CJ447" s="119"/>
      <c r="CK447" s="119" t="s">
        <v>1356</v>
      </c>
      <c r="CL447" s="119"/>
      <c r="CM447" s="120"/>
      <c r="CN447" s="119"/>
      <c r="CO447" s="120"/>
      <c r="CP447" s="119"/>
      <c r="CQ447" s="119" t="s">
        <v>1356</v>
      </c>
      <c r="CR447" s="119"/>
      <c r="CS447" s="120"/>
      <c r="CT447" s="119"/>
      <c r="CU447" s="120"/>
      <c r="CV447" s="119"/>
      <c r="CW447" s="119" t="s">
        <v>1356</v>
      </c>
      <c r="CX447" s="119"/>
      <c r="CY447" s="120"/>
      <c r="CZ447" s="119"/>
      <c r="DA447" s="120"/>
      <c r="DB447" s="36" t="s">
        <v>7085</v>
      </c>
      <c r="DC447" s="59" t="s">
        <v>92</v>
      </c>
    </row>
    <row r="448" spans="1:107" s="40" customFormat="1" ht="14.55" customHeight="1" x14ac:dyDescent="0.3">
      <c r="A448" s="35" t="s">
        <v>4219</v>
      </c>
      <c r="B448" s="35" t="s">
        <v>4668</v>
      </c>
      <c r="C448" s="35" t="s">
        <v>4669</v>
      </c>
      <c r="D448" s="35" t="s">
        <v>4670</v>
      </c>
      <c r="E448" s="35" t="s">
        <v>4670</v>
      </c>
      <c r="F448" s="35" t="s">
        <v>1028</v>
      </c>
      <c r="G448" s="35" t="s">
        <v>4237</v>
      </c>
      <c r="H448" s="27" t="s">
        <v>686</v>
      </c>
      <c r="I448" s="62">
        <v>901</v>
      </c>
      <c r="J448" s="62">
        <v>90150</v>
      </c>
      <c r="K448" s="63">
        <v>3</v>
      </c>
      <c r="L448" s="35" t="s">
        <v>4671</v>
      </c>
      <c r="M448" s="35"/>
      <c r="N448" s="35" t="s">
        <v>4672</v>
      </c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 t="s">
        <v>4673</v>
      </c>
      <c r="Z448" s="35"/>
      <c r="AA448" s="35"/>
      <c r="AB448" s="35"/>
      <c r="AC448" s="35"/>
      <c r="AD448" s="35"/>
      <c r="AE448" s="63">
        <v>2</v>
      </c>
      <c r="AF448" s="63" t="s">
        <v>64</v>
      </c>
      <c r="AG448" s="29" t="s">
        <v>65</v>
      </c>
      <c r="AH448" s="75"/>
      <c r="AI448" s="65" t="s">
        <v>66</v>
      </c>
      <c r="AJ448" s="32" t="s">
        <v>6938</v>
      </c>
      <c r="AK448" s="33" t="s">
        <v>67</v>
      </c>
      <c r="AL448" s="58">
        <v>45574</v>
      </c>
      <c r="AM448" s="35" t="s">
        <v>66</v>
      </c>
      <c r="AN448" s="35"/>
      <c r="AO448" s="35"/>
      <c r="AP448" s="35"/>
      <c r="AQ448" s="37">
        <f t="shared" si="21"/>
        <v>0</v>
      </c>
      <c r="AR448" s="38">
        <f t="shared" si="22"/>
        <v>0</v>
      </c>
      <c r="AS448" s="39">
        <f t="shared" si="23"/>
        <v>0</v>
      </c>
      <c r="AT448" s="99"/>
      <c r="AU448" s="99" t="s">
        <v>1356</v>
      </c>
      <c r="AV448" s="99"/>
      <c r="AW448" s="100"/>
      <c r="AX448" s="99"/>
      <c r="AY448" s="101"/>
      <c r="AZ448" s="99"/>
      <c r="BA448" s="99" t="s">
        <v>1356</v>
      </c>
      <c r="BB448" s="99"/>
      <c r="BC448" s="101"/>
      <c r="BD448" s="99"/>
      <c r="BE448" s="101"/>
      <c r="BF448" s="99"/>
      <c r="BG448" s="99" t="s">
        <v>1356</v>
      </c>
      <c r="BH448" s="99"/>
      <c r="BI448" s="101"/>
      <c r="BJ448" s="99"/>
      <c r="BK448" s="101"/>
      <c r="BL448" s="99"/>
      <c r="BM448" s="99" t="s">
        <v>1356</v>
      </c>
      <c r="BN448" s="99"/>
      <c r="BO448" s="101"/>
      <c r="BP448" s="99"/>
      <c r="BQ448" s="101"/>
      <c r="BR448" s="99"/>
      <c r="BS448" s="99" t="s">
        <v>1356</v>
      </c>
      <c r="BT448" s="99"/>
      <c r="BU448" s="101"/>
      <c r="BV448" s="99"/>
      <c r="BW448" s="101"/>
      <c r="BX448" s="119"/>
      <c r="BY448" s="119" t="s">
        <v>1356</v>
      </c>
      <c r="BZ448" s="119"/>
      <c r="CA448" s="120"/>
      <c r="CB448" s="119"/>
      <c r="CC448" s="120"/>
      <c r="CD448" s="119"/>
      <c r="CE448" s="119" t="s">
        <v>1356</v>
      </c>
      <c r="CF448" s="119"/>
      <c r="CG448" s="120"/>
      <c r="CH448" s="119"/>
      <c r="CI448" s="120"/>
      <c r="CJ448" s="119"/>
      <c r="CK448" s="119" t="s">
        <v>1356</v>
      </c>
      <c r="CL448" s="119"/>
      <c r="CM448" s="120"/>
      <c r="CN448" s="119"/>
      <c r="CO448" s="120"/>
      <c r="CP448" s="119"/>
      <c r="CQ448" s="119" t="s">
        <v>1356</v>
      </c>
      <c r="CR448" s="119"/>
      <c r="CS448" s="120"/>
      <c r="CT448" s="119"/>
      <c r="CU448" s="120"/>
      <c r="CV448" s="119"/>
      <c r="CW448" s="119" t="s">
        <v>1356</v>
      </c>
      <c r="CX448" s="119"/>
      <c r="CY448" s="120"/>
      <c r="CZ448" s="119"/>
      <c r="DA448" s="120"/>
      <c r="DB448" s="36" t="s">
        <v>7085</v>
      </c>
      <c r="DC448" s="59" t="s">
        <v>105</v>
      </c>
    </row>
    <row r="449" spans="1:107" s="40" customFormat="1" ht="14.55" customHeight="1" x14ac:dyDescent="0.3">
      <c r="A449" s="35" t="s">
        <v>4219</v>
      </c>
      <c r="B449" s="35" t="s">
        <v>4674</v>
      </c>
      <c r="C449" s="35" t="s">
        <v>4675</v>
      </c>
      <c r="D449" s="35" t="s">
        <v>4676</v>
      </c>
      <c r="E449" s="35" t="s">
        <v>70</v>
      </c>
      <c r="F449" s="35" t="s">
        <v>3036</v>
      </c>
      <c r="G449" s="35" t="s">
        <v>4237</v>
      </c>
      <c r="H449" s="27" t="s">
        <v>686</v>
      </c>
      <c r="I449" s="62">
        <v>901</v>
      </c>
      <c r="J449" s="62">
        <v>90150</v>
      </c>
      <c r="K449" s="63">
        <v>4</v>
      </c>
      <c r="L449" s="35" t="s">
        <v>4677</v>
      </c>
      <c r="M449" s="35"/>
      <c r="N449" s="35" t="s">
        <v>4678</v>
      </c>
      <c r="O449" s="35"/>
      <c r="P449" s="35"/>
      <c r="Q449" s="35"/>
      <c r="R449" s="35"/>
      <c r="S449" s="35"/>
      <c r="T449" s="35"/>
      <c r="U449" s="35"/>
      <c r="V449" s="35"/>
      <c r="W449" s="35" t="s">
        <v>4679</v>
      </c>
      <c r="X449" s="35"/>
      <c r="Y449" s="35"/>
      <c r="Z449" s="35"/>
      <c r="AA449" s="35"/>
      <c r="AB449" s="35"/>
      <c r="AC449" s="35"/>
      <c r="AD449" s="35"/>
      <c r="AE449" s="63">
        <v>3</v>
      </c>
      <c r="AF449" s="63" t="s">
        <v>377</v>
      </c>
      <c r="AG449" s="29" t="s">
        <v>65</v>
      </c>
      <c r="AH449" s="75"/>
      <c r="AI449" s="65" t="s">
        <v>65</v>
      </c>
      <c r="AJ449" s="32" t="s">
        <v>6938</v>
      </c>
      <c r="AK449" s="33" t="s">
        <v>92</v>
      </c>
      <c r="AL449" s="58">
        <v>45574</v>
      </c>
      <c r="AM449" s="35"/>
      <c r="AN449" s="35"/>
      <c r="AO449" s="35"/>
      <c r="AP449" s="35"/>
      <c r="AQ449" s="37">
        <f t="shared" si="21"/>
        <v>0</v>
      </c>
      <c r="AR449" s="38">
        <f t="shared" si="22"/>
        <v>0</v>
      </c>
      <c r="AS449" s="39">
        <f t="shared" si="23"/>
        <v>0</v>
      </c>
      <c r="AT449" s="99"/>
      <c r="AU449" s="99" t="s">
        <v>1356</v>
      </c>
      <c r="AV449" s="99"/>
      <c r="AW449" s="100"/>
      <c r="AX449" s="99"/>
      <c r="AY449" s="101"/>
      <c r="AZ449" s="99"/>
      <c r="BA449" s="99" t="s">
        <v>1356</v>
      </c>
      <c r="BB449" s="99"/>
      <c r="BC449" s="101"/>
      <c r="BD449" s="99"/>
      <c r="BE449" s="101"/>
      <c r="BF449" s="99"/>
      <c r="BG449" s="99" t="s">
        <v>1356</v>
      </c>
      <c r="BH449" s="99"/>
      <c r="BI449" s="101"/>
      <c r="BJ449" s="99"/>
      <c r="BK449" s="101"/>
      <c r="BL449" s="99"/>
      <c r="BM449" s="99" t="s">
        <v>1356</v>
      </c>
      <c r="BN449" s="99"/>
      <c r="BO449" s="101"/>
      <c r="BP449" s="99"/>
      <c r="BQ449" s="101"/>
      <c r="BR449" s="99"/>
      <c r="BS449" s="99" t="s">
        <v>1356</v>
      </c>
      <c r="BT449" s="99"/>
      <c r="BU449" s="101"/>
      <c r="BV449" s="99"/>
      <c r="BW449" s="101"/>
      <c r="BX449" s="119"/>
      <c r="BY449" s="119" t="s">
        <v>1356</v>
      </c>
      <c r="BZ449" s="119"/>
      <c r="CA449" s="120"/>
      <c r="CB449" s="119"/>
      <c r="CC449" s="120"/>
      <c r="CD449" s="119"/>
      <c r="CE449" s="119" t="s">
        <v>1356</v>
      </c>
      <c r="CF449" s="119"/>
      <c r="CG449" s="120"/>
      <c r="CH449" s="119"/>
      <c r="CI449" s="120"/>
      <c r="CJ449" s="119"/>
      <c r="CK449" s="119" t="s">
        <v>1356</v>
      </c>
      <c r="CL449" s="119"/>
      <c r="CM449" s="120"/>
      <c r="CN449" s="119"/>
      <c r="CO449" s="120"/>
      <c r="CP449" s="119"/>
      <c r="CQ449" s="119" t="s">
        <v>1356</v>
      </c>
      <c r="CR449" s="119"/>
      <c r="CS449" s="120"/>
      <c r="CT449" s="119"/>
      <c r="CU449" s="120"/>
      <c r="CV449" s="119"/>
      <c r="CW449" s="119" t="s">
        <v>1356</v>
      </c>
      <c r="CX449" s="119"/>
      <c r="CY449" s="120"/>
      <c r="CZ449" s="119"/>
      <c r="DA449" s="120"/>
      <c r="DB449" s="36" t="s">
        <v>7085</v>
      </c>
      <c r="DC449" s="59" t="s">
        <v>92</v>
      </c>
    </row>
    <row r="450" spans="1:107" s="40" customFormat="1" x14ac:dyDescent="0.3">
      <c r="A450" s="35" t="s">
        <v>4219</v>
      </c>
      <c r="B450" s="35" t="s">
        <v>4680</v>
      </c>
      <c r="C450" s="35" t="s">
        <v>4681</v>
      </c>
      <c r="D450" s="35" t="s">
        <v>4682</v>
      </c>
      <c r="E450" s="35" t="s">
        <v>70</v>
      </c>
      <c r="F450" s="35" t="s">
        <v>3036</v>
      </c>
      <c r="G450" s="35" t="s">
        <v>461</v>
      </c>
      <c r="H450" s="27" t="s">
        <v>6933</v>
      </c>
      <c r="I450" s="62">
        <v>1301</v>
      </c>
      <c r="J450" s="62">
        <v>130150</v>
      </c>
      <c r="K450" s="63">
        <v>4</v>
      </c>
      <c r="L450" s="35" t="s">
        <v>4683</v>
      </c>
      <c r="M450" s="35" t="s">
        <v>4684</v>
      </c>
      <c r="N450" s="35"/>
      <c r="O450" s="35"/>
      <c r="P450" s="35"/>
      <c r="Q450" s="35"/>
      <c r="R450" s="35"/>
      <c r="S450" s="35"/>
      <c r="T450" s="35"/>
      <c r="U450" s="35"/>
      <c r="V450" s="35"/>
      <c r="W450" s="35" t="s">
        <v>4685</v>
      </c>
      <c r="X450" s="35" t="s">
        <v>4686</v>
      </c>
      <c r="Y450" s="35"/>
      <c r="Z450" s="35">
        <v>-80.482566000000006</v>
      </c>
      <c r="AA450" s="35">
        <v>-1.051499</v>
      </c>
      <c r="AB450" s="35">
        <v>130150014</v>
      </c>
      <c r="AC450" s="35">
        <v>130150014001</v>
      </c>
      <c r="AD450" s="35">
        <v>130150014001002</v>
      </c>
      <c r="AE450" s="63">
        <v>3</v>
      </c>
      <c r="AF450" s="63" t="s">
        <v>377</v>
      </c>
      <c r="AG450" s="29" t="s">
        <v>65</v>
      </c>
      <c r="AH450" s="75"/>
      <c r="AI450" s="65" t="s">
        <v>66</v>
      </c>
      <c r="AJ450" s="32" t="s">
        <v>6938</v>
      </c>
      <c r="AK450" s="33" t="s">
        <v>67</v>
      </c>
      <c r="AL450" s="34">
        <v>45574</v>
      </c>
      <c r="AM450" s="35" t="s">
        <v>66</v>
      </c>
      <c r="AN450" s="35"/>
      <c r="AO450" s="35"/>
      <c r="AP450" s="35"/>
      <c r="AQ450" s="37">
        <f t="shared" si="21"/>
        <v>0</v>
      </c>
      <c r="AR450" s="38">
        <f t="shared" si="22"/>
        <v>0</v>
      </c>
      <c r="AS450" s="39">
        <f t="shared" si="23"/>
        <v>0</v>
      </c>
      <c r="AT450" s="99"/>
      <c r="AU450" s="99" t="s">
        <v>1356</v>
      </c>
      <c r="AV450" s="99"/>
      <c r="AW450" s="100"/>
      <c r="AX450" s="99"/>
      <c r="AY450" s="101"/>
      <c r="AZ450" s="99"/>
      <c r="BA450" s="99" t="s">
        <v>1356</v>
      </c>
      <c r="BB450" s="99"/>
      <c r="BC450" s="101"/>
      <c r="BD450" s="99"/>
      <c r="BE450" s="101"/>
      <c r="BF450" s="99"/>
      <c r="BG450" s="99" t="s">
        <v>1356</v>
      </c>
      <c r="BH450" s="99"/>
      <c r="BI450" s="101"/>
      <c r="BJ450" s="99"/>
      <c r="BK450" s="101"/>
      <c r="BL450" s="99"/>
      <c r="BM450" s="99" t="s">
        <v>1356</v>
      </c>
      <c r="BN450" s="99"/>
      <c r="BO450" s="101"/>
      <c r="BP450" s="99"/>
      <c r="BQ450" s="101"/>
      <c r="BR450" s="99"/>
      <c r="BS450" s="99" t="s">
        <v>1356</v>
      </c>
      <c r="BT450" s="99"/>
      <c r="BU450" s="101"/>
      <c r="BV450" s="99"/>
      <c r="BW450" s="101"/>
      <c r="BX450" s="119"/>
      <c r="BY450" s="119" t="s">
        <v>1356</v>
      </c>
      <c r="BZ450" s="119"/>
      <c r="CA450" s="120"/>
      <c r="CB450" s="119"/>
      <c r="CC450" s="120"/>
      <c r="CD450" s="119"/>
      <c r="CE450" s="119" t="s">
        <v>1356</v>
      </c>
      <c r="CF450" s="119"/>
      <c r="CG450" s="120"/>
      <c r="CH450" s="119"/>
      <c r="CI450" s="120"/>
      <c r="CJ450" s="119"/>
      <c r="CK450" s="119" t="s">
        <v>1356</v>
      </c>
      <c r="CL450" s="119"/>
      <c r="CM450" s="120"/>
      <c r="CN450" s="119"/>
      <c r="CO450" s="120"/>
      <c r="CP450" s="119"/>
      <c r="CQ450" s="119" t="s">
        <v>1356</v>
      </c>
      <c r="CR450" s="119"/>
      <c r="CS450" s="120"/>
      <c r="CT450" s="119"/>
      <c r="CU450" s="120"/>
      <c r="CV450" s="119"/>
      <c r="CW450" s="119" t="s">
        <v>1356</v>
      </c>
      <c r="CX450" s="119"/>
      <c r="CY450" s="120"/>
      <c r="CZ450" s="119"/>
      <c r="DA450" s="120"/>
      <c r="DB450" s="36" t="s">
        <v>7085</v>
      </c>
      <c r="DC450" s="59" t="s">
        <v>78</v>
      </c>
    </row>
    <row r="451" spans="1:107" s="40" customFormat="1" ht="14.55" customHeight="1" x14ac:dyDescent="0.3">
      <c r="A451" s="35" t="s">
        <v>4219</v>
      </c>
      <c r="B451" s="35" t="s">
        <v>4687</v>
      </c>
      <c r="C451" s="35" t="s">
        <v>4688</v>
      </c>
      <c r="D451" s="35" t="s">
        <v>4689</v>
      </c>
      <c r="E451" s="35" t="s">
        <v>70</v>
      </c>
      <c r="F451" s="35" t="s">
        <v>56</v>
      </c>
      <c r="G451" s="35" t="s">
        <v>461</v>
      </c>
      <c r="H451" s="27" t="s">
        <v>6933</v>
      </c>
      <c r="I451" s="62">
        <v>1308</v>
      </c>
      <c r="J451" s="62">
        <v>130850</v>
      </c>
      <c r="K451" s="63">
        <v>4</v>
      </c>
      <c r="L451" s="35" t="s">
        <v>4690</v>
      </c>
      <c r="M451" s="35"/>
      <c r="N451" s="35" t="s">
        <v>4273</v>
      </c>
      <c r="O451" s="35"/>
      <c r="P451" s="35"/>
      <c r="Q451" s="35"/>
      <c r="R451" s="35"/>
      <c r="S451" s="35"/>
      <c r="T451" s="35"/>
      <c r="U451" s="35" t="s">
        <v>4274</v>
      </c>
      <c r="V451" s="35"/>
      <c r="W451" s="35" t="s">
        <v>4691</v>
      </c>
      <c r="X451" s="35" t="s">
        <v>4692</v>
      </c>
      <c r="Y451" s="35" t="s">
        <v>4693</v>
      </c>
      <c r="Z451" s="35">
        <v>-80.701976999999999</v>
      </c>
      <c r="AA451" s="35">
        <v>-0.95031299999999996</v>
      </c>
      <c r="AB451" s="35">
        <v>130850022</v>
      </c>
      <c r="AC451" s="35">
        <v>130850022004</v>
      </c>
      <c r="AD451" s="35">
        <v>130850022004001</v>
      </c>
      <c r="AE451" s="63">
        <v>3</v>
      </c>
      <c r="AF451" s="63" t="s">
        <v>377</v>
      </c>
      <c r="AG451" s="29" t="s">
        <v>65</v>
      </c>
      <c r="AH451" s="75"/>
      <c r="AI451" s="65" t="s">
        <v>65</v>
      </c>
      <c r="AJ451" s="32" t="s">
        <v>6938</v>
      </c>
      <c r="AK451" s="33" t="s">
        <v>92</v>
      </c>
      <c r="AL451" s="58">
        <v>45568</v>
      </c>
      <c r="AM451" s="35"/>
      <c r="AN451" s="35"/>
      <c r="AO451" s="35"/>
      <c r="AP451" s="35"/>
      <c r="AQ451" s="37">
        <f t="shared" si="21"/>
        <v>0</v>
      </c>
      <c r="AR451" s="38">
        <f t="shared" si="22"/>
        <v>0</v>
      </c>
      <c r="AS451" s="39">
        <f t="shared" si="23"/>
        <v>0</v>
      </c>
      <c r="AT451" s="99"/>
      <c r="AU451" s="99" t="s">
        <v>1356</v>
      </c>
      <c r="AV451" s="99"/>
      <c r="AW451" s="100"/>
      <c r="AX451" s="99"/>
      <c r="AY451" s="101"/>
      <c r="AZ451" s="99"/>
      <c r="BA451" s="99" t="s">
        <v>1356</v>
      </c>
      <c r="BB451" s="99"/>
      <c r="BC451" s="101"/>
      <c r="BD451" s="99"/>
      <c r="BE451" s="101"/>
      <c r="BF451" s="99"/>
      <c r="BG451" s="99" t="s">
        <v>1356</v>
      </c>
      <c r="BH451" s="99"/>
      <c r="BI451" s="101"/>
      <c r="BJ451" s="99"/>
      <c r="BK451" s="101"/>
      <c r="BL451" s="99"/>
      <c r="BM451" s="99" t="s">
        <v>1356</v>
      </c>
      <c r="BN451" s="99"/>
      <c r="BO451" s="101"/>
      <c r="BP451" s="99"/>
      <c r="BQ451" s="101"/>
      <c r="BR451" s="99"/>
      <c r="BS451" s="99" t="s">
        <v>1356</v>
      </c>
      <c r="BT451" s="99"/>
      <c r="BU451" s="101"/>
      <c r="BV451" s="99"/>
      <c r="BW451" s="101"/>
      <c r="BX451" s="119"/>
      <c r="BY451" s="119" t="s">
        <v>1356</v>
      </c>
      <c r="BZ451" s="119"/>
      <c r="CA451" s="120"/>
      <c r="CB451" s="119"/>
      <c r="CC451" s="120"/>
      <c r="CD451" s="119"/>
      <c r="CE451" s="119" t="s">
        <v>1356</v>
      </c>
      <c r="CF451" s="119"/>
      <c r="CG451" s="120"/>
      <c r="CH451" s="119"/>
      <c r="CI451" s="120"/>
      <c r="CJ451" s="119"/>
      <c r="CK451" s="119" t="s">
        <v>1356</v>
      </c>
      <c r="CL451" s="119"/>
      <c r="CM451" s="120"/>
      <c r="CN451" s="119"/>
      <c r="CO451" s="120"/>
      <c r="CP451" s="119"/>
      <c r="CQ451" s="119" t="s">
        <v>1356</v>
      </c>
      <c r="CR451" s="119"/>
      <c r="CS451" s="120"/>
      <c r="CT451" s="119"/>
      <c r="CU451" s="120"/>
      <c r="CV451" s="119"/>
      <c r="CW451" s="119" t="s">
        <v>1356</v>
      </c>
      <c r="CX451" s="119"/>
      <c r="CY451" s="120"/>
      <c r="CZ451" s="119"/>
      <c r="DA451" s="120"/>
      <c r="DB451" s="36" t="s">
        <v>7085</v>
      </c>
      <c r="DC451" s="59" t="s">
        <v>92</v>
      </c>
    </row>
    <row r="452" spans="1:107" s="40" customFormat="1" ht="14.55" customHeight="1" x14ac:dyDescent="0.3">
      <c r="A452" s="35" t="s">
        <v>4219</v>
      </c>
      <c r="B452" s="35" t="s">
        <v>4694</v>
      </c>
      <c r="C452" s="35" t="s">
        <v>4695</v>
      </c>
      <c r="D452" s="35" t="s">
        <v>4696</v>
      </c>
      <c r="E452" s="35" t="s">
        <v>70</v>
      </c>
      <c r="F452" s="35" t="s">
        <v>56</v>
      </c>
      <c r="G452" s="35" t="s">
        <v>461</v>
      </c>
      <c r="H452" s="27" t="s">
        <v>6933</v>
      </c>
      <c r="I452" s="62">
        <v>1308</v>
      </c>
      <c r="J452" s="62">
        <v>130850</v>
      </c>
      <c r="K452" s="63">
        <v>4</v>
      </c>
      <c r="L452" s="35" t="s">
        <v>4697</v>
      </c>
      <c r="M452" s="35"/>
      <c r="N452" s="35" t="s">
        <v>4698</v>
      </c>
      <c r="O452" s="35"/>
      <c r="P452" s="35"/>
      <c r="Q452" s="35" t="s">
        <v>4699</v>
      </c>
      <c r="R452" s="35" t="s">
        <v>425</v>
      </c>
      <c r="S452" s="35" t="s">
        <v>4700</v>
      </c>
      <c r="T452" s="35"/>
      <c r="U452" s="35"/>
      <c r="V452" s="35"/>
      <c r="W452" s="35" t="s">
        <v>4701</v>
      </c>
      <c r="X452" s="35" t="s">
        <v>4702</v>
      </c>
      <c r="Y452" s="35" t="s">
        <v>4703</v>
      </c>
      <c r="Z452" s="35"/>
      <c r="AA452" s="35"/>
      <c r="AB452" s="35"/>
      <c r="AC452" s="35"/>
      <c r="AD452" s="35"/>
      <c r="AE452" s="63">
        <v>3</v>
      </c>
      <c r="AF452" s="63" t="s">
        <v>377</v>
      </c>
      <c r="AG452" s="29" t="s">
        <v>65</v>
      </c>
      <c r="AH452" s="75"/>
      <c r="AI452" s="65" t="s">
        <v>65</v>
      </c>
      <c r="AJ452" s="32" t="s">
        <v>6938</v>
      </c>
      <c r="AK452" s="33" t="s">
        <v>92</v>
      </c>
      <c r="AL452" s="58">
        <v>45574</v>
      </c>
      <c r="AM452" s="35"/>
      <c r="AN452" s="35"/>
      <c r="AO452" s="35"/>
      <c r="AP452" s="35"/>
      <c r="AQ452" s="37">
        <f t="shared" si="21"/>
        <v>0</v>
      </c>
      <c r="AR452" s="38">
        <f t="shared" si="22"/>
        <v>0</v>
      </c>
      <c r="AS452" s="39">
        <f t="shared" si="23"/>
        <v>0</v>
      </c>
      <c r="AT452" s="99"/>
      <c r="AU452" s="99" t="s">
        <v>1356</v>
      </c>
      <c r="AV452" s="99"/>
      <c r="AW452" s="100"/>
      <c r="AX452" s="99"/>
      <c r="AY452" s="101"/>
      <c r="AZ452" s="99"/>
      <c r="BA452" s="99" t="s">
        <v>1356</v>
      </c>
      <c r="BB452" s="99"/>
      <c r="BC452" s="101"/>
      <c r="BD452" s="99"/>
      <c r="BE452" s="101"/>
      <c r="BF452" s="99"/>
      <c r="BG452" s="99" t="s">
        <v>1356</v>
      </c>
      <c r="BH452" s="99"/>
      <c r="BI452" s="101"/>
      <c r="BJ452" s="99"/>
      <c r="BK452" s="101"/>
      <c r="BL452" s="99"/>
      <c r="BM452" s="99" t="s">
        <v>1356</v>
      </c>
      <c r="BN452" s="99"/>
      <c r="BO452" s="101"/>
      <c r="BP452" s="99"/>
      <c r="BQ452" s="101"/>
      <c r="BR452" s="99"/>
      <c r="BS452" s="99" t="s">
        <v>1356</v>
      </c>
      <c r="BT452" s="99"/>
      <c r="BU452" s="101"/>
      <c r="BV452" s="99"/>
      <c r="BW452" s="101"/>
      <c r="BX452" s="119"/>
      <c r="BY452" s="119" t="s">
        <v>1356</v>
      </c>
      <c r="BZ452" s="119"/>
      <c r="CA452" s="120"/>
      <c r="CB452" s="119"/>
      <c r="CC452" s="120"/>
      <c r="CD452" s="119"/>
      <c r="CE452" s="119" t="s">
        <v>1356</v>
      </c>
      <c r="CF452" s="119"/>
      <c r="CG452" s="120"/>
      <c r="CH452" s="119"/>
      <c r="CI452" s="120"/>
      <c r="CJ452" s="119"/>
      <c r="CK452" s="119" t="s">
        <v>1356</v>
      </c>
      <c r="CL452" s="119"/>
      <c r="CM452" s="120"/>
      <c r="CN452" s="119"/>
      <c r="CO452" s="120"/>
      <c r="CP452" s="119"/>
      <c r="CQ452" s="119" t="s">
        <v>1356</v>
      </c>
      <c r="CR452" s="119"/>
      <c r="CS452" s="120"/>
      <c r="CT452" s="119"/>
      <c r="CU452" s="120"/>
      <c r="CV452" s="119"/>
      <c r="CW452" s="119" t="s">
        <v>1356</v>
      </c>
      <c r="CX452" s="119"/>
      <c r="CY452" s="120"/>
      <c r="CZ452" s="119"/>
      <c r="DA452" s="120"/>
      <c r="DB452" s="36" t="s">
        <v>7085</v>
      </c>
      <c r="DC452" s="59" t="s">
        <v>92</v>
      </c>
    </row>
    <row r="453" spans="1:107" s="40" customFormat="1" ht="14.55" customHeight="1" x14ac:dyDescent="0.3">
      <c r="A453" s="35" t="s">
        <v>4219</v>
      </c>
      <c r="B453" s="35" t="s">
        <v>4704</v>
      </c>
      <c r="C453" s="35" t="s">
        <v>4705</v>
      </c>
      <c r="D453" s="35" t="s">
        <v>4706</v>
      </c>
      <c r="E453" s="35" t="s">
        <v>70</v>
      </c>
      <c r="F453" s="35" t="s">
        <v>56</v>
      </c>
      <c r="G453" s="35" t="s">
        <v>461</v>
      </c>
      <c r="H453" s="27" t="s">
        <v>6933</v>
      </c>
      <c r="I453" s="62">
        <v>1308</v>
      </c>
      <c r="J453" s="62">
        <v>130850</v>
      </c>
      <c r="K453" s="63">
        <v>4</v>
      </c>
      <c r="L453" s="35" t="s">
        <v>4707</v>
      </c>
      <c r="M453" s="35"/>
      <c r="N453" s="35" t="s">
        <v>4273</v>
      </c>
      <c r="O453" s="35"/>
      <c r="P453" s="35"/>
      <c r="Q453" s="35"/>
      <c r="R453" s="35"/>
      <c r="S453" s="35"/>
      <c r="T453" s="35"/>
      <c r="U453" s="35" t="s">
        <v>4274</v>
      </c>
      <c r="V453" s="35"/>
      <c r="W453" s="35" t="s">
        <v>4708</v>
      </c>
      <c r="X453" s="35" t="s">
        <v>4709</v>
      </c>
      <c r="Y453" s="35" t="s">
        <v>4710</v>
      </c>
      <c r="Z453" s="35"/>
      <c r="AA453" s="35"/>
      <c r="AB453" s="35">
        <v>130850021</v>
      </c>
      <c r="AC453" s="35">
        <v>130850021001</v>
      </c>
      <c r="AD453" s="35">
        <v>130850021001003</v>
      </c>
      <c r="AE453" s="63">
        <v>3</v>
      </c>
      <c r="AF453" s="63" t="s">
        <v>377</v>
      </c>
      <c r="AG453" s="29" t="s">
        <v>65</v>
      </c>
      <c r="AH453" s="75"/>
      <c r="AI453" s="65" t="s">
        <v>66</v>
      </c>
      <c r="AJ453" s="32" t="s">
        <v>6938</v>
      </c>
      <c r="AK453" s="33" t="s">
        <v>67</v>
      </c>
      <c r="AL453" s="58">
        <v>45574</v>
      </c>
      <c r="AM453" s="35" t="s">
        <v>66</v>
      </c>
      <c r="AN453" s="35"/>
      <c r="AO453" s="35"/>
      <c r="AP453" s="35"/>
      <c r="AQ453" s="37">
        <f t="shared" si="21"/>
        <v>0</v>
      </c>
      <c r="AR453" s="38">
        <f t="shared" si="22"/>
        <v>0</v>
      </c>
      <c r="AS453" s="39">
        <f t="shared" si="23"/>
        <v>0</v>
      </c>
      <c r="AT453" s="99"/>
      <c r="AU453" s="99" t="s">
        <v>1356</v>
      </c>
      <c r="AV453" s="99"/>
      <c r="AW453" s="100"/>
      <c r="AX453" s="99"/>
      <c r="AY453" s="101"/>
      <c r="AZ453" s="99"/>
      <c r="BA453" s="99" t="s">
        <v>1356</v>
      </c>
      <c r="BB453" s="99"/>
      <c r="BC453" s="101"/>
      <c r="BD453" s="99"/>
      <c r="BE453" s="101"/>
      <c r="BF453" s="99"/>
      <c r="BG453" s="99" t="s">
        <v>1356</v>
      </c>
      <c r="BH453" s="99"/>
      <c r="BI453" s="101"/>
      <c r="BJ453" s="99"/>
      <c r="BK453" s="101"/>
      <c r="BL453" s="99"/>
      <c r="BM453" s="99" t="s">
        <v>1356</v>
      </c>
      <c r="BN453" s="99"/>
      <c r="BO453" s="101"/>
      <c r="BP453" s="99"/>
      <c r="BQ453" s="101"/>
      <c r="BR453" s="99"/>
      <c r="BS453" s="99" t="s">
        <v>1356</v>
      </c>
      <c r="BT453" s="99"/>
      <c r="BU453" s="101"/>
      <c r="BV453" s="99"/>
      <c r="BW453" s="101"/>
      <c r="BX453" s="119"/>
      <c r="BY453" s="119" t="s">
        <v>1356</v>
      </c>
      <c r="BZ453" s="119"/>
      <c r="CA453" s="120"/>
      <c r="CB453" s="119"/>
      <c r="CC453" s="120"/>
      <c r="CD453" s="119"/>
      <c r="CE453" s="119" t="s">
        <v>1356</v>
      </c>
      <c r="CF453" s="119"/>
      <c r="CG453" s="120"/>
      <c r="CH453" s="119"/>
      <c r="CI453" s="120"/>
      <c r="CJ453" s="119"/>
      <c r="CK453" s="119" t="s">
        <v>1356</v>
      </c>
      <c r="CL453" s="119"/>
      <c r="CM453" s="120"/>
      <c r="CN453" s="119"/>
      <c r="CO453" s="120"/>
      <c r="CP453" s="119"/>
      <c r="CQ453" s="119" t="s">
        <v>1356</v>
      </c>
      <c r="CR453" s="119"/>
      <c r="CS453" s="120"/>
      <c r="CT453" s="119"/>
      <c r="CU453" s="120"/>
      <c r="CV453" s="119"/>
      <c r="CW453" s="119" t="s">
        <v>1356</v>
      </c>
      <c r="CX453" s="119"/>
      <c r="CY453" s="120"/>
      <c r="CZ453" s="119"/>
      <c r="DA453" s="120"/>
      <c r="DB453" s="36" t="s">
        <v>7085</v>
      </c>
      <c r="DC453" s="59" t="s">
        <v>105</v>
      </c>
    </row>
    <row r="454" spans="1:107" s="40" customFormat="1" ht="14.55" customHeight="1" x14ac:dyDescent="0.3">
      <c r="A454" s="35" t="s">
        <v>4219</v>
      </c>
      <c r="B454" s="35" t="s">
        <v>4711</v>
      </c>
      <c r="C454" s="35" t="s">
        <v>4712</v>
      </c>
      <c r="D454" s="35" t="s">
        <v>4713</v>
      </c>
      <c r="E454" s="35" t="s">
        <v>4714</v>
      </c>
      <c r="F454" s="35" t="s">
        <v>56</v>
      </c>
      <c r="G454" s="35" t="s">
        <v>461</v>
      </c>
      <c r="H454" s="27" t="s">
        <v>6933</v>
      </c>
      <c r="I454" s="62">
        <v>1308</v>
      </c>
      <c r="J454" s="62">
        <v>130850</v>
      </c>
      <c r="K454" s="63">
        <v>3</v>
      </c>
      <c r="L454" s="35" t="s">
        <v>4715</v>
      </c>
      <c r="M454" s="35" t="s">
        <v>258</v>
      </c>
      <c r="N454" s="35"/>
      <c r="O454" s="35"/>
      <c r="P454" s="35"/>
      <c r="Q454" s="35"/>
      <c r="R454" s="35"/>
      <c r="S454" s="35"/>
      <c r="T454" s="35"/>
      <c r="U454" s="35"/>
      <c r="V454" s="35"/>
      <c r="W454" s="35" t="s">
        <v>4716</v>
      </c>
      <c r="X454" s="35"/>
      <c r="Y454" s="35"/>
      <c r="Z454" s="35"/>
      <c r="AA454" s="35"/>
      <c r="AB454" s="35"/>
      <c r="AC454" s="35"/>
      <c r="AD454" s="35"/>
      <c r="AE454" s="63">
        <v>3</v>
      </c>
      <c r="AF454" s="63" t="s">
        <v>377</v>
      </c>
      <c r="AG454" s="29" t="s">
        <v>65</v>
      </c>
      <c r="AH454" s="75"/>
      <c r="AI454" s="65" t="s">
        <v>66</v>
      </c>
      <c r="AJ454" s="32" t="s">
        <v>6938</v>
      </c>
      <c r="AK454" s="33" t="s">
        <v>67</v>
      </c>
      <c r="AL454" s="58">
        <v>45574</v>
      </c>
      <c r="AM454" s="35" t="s">
        <v>66</v>
      </c>
      <c r="AN454" s="35"/>
      <c r="AO454" s="35"/>
      <c r="AP454" s="35"/>
      <c r="AQ454" s="37">
        <f t="shared" ref="AQ454:AQ517" si="24">+COUNTA(AT454,AZ454,BF454,BL454,BR454)</f>
        <v>0</v>
      </c>
      <c r="AR454" s="38">
        <f t="shared" ref="AR454:AR517" si="25">+COUNTA(BX454,CD454,CJ454,CP454,CV454)</f>
        <v>0</v>
      </c>
      <c r="AS454" s="39">
        <f t="shared" ref="AS454:AS517" si="26">+AQ454+AR454</f>
        <v>0</v>
      </c>
      <c r="AT454" s="99"/>
      <c r="AU454" s="99" t="s">
        <v>1356</v>
      </c>
      <c r="AV454" s="99"/>
      <c r="AW454" s="100"/>
      <c r="AX454" s="99"/>
      <c r="AY454" s="101"/>
      <c r="AZ454" s="99"/>
      <c r="BA454" s="99" t="s">
        <v>1356</v>
      </c>
      <c r="BB454" s="99"/>
      <c r="BC454" s="101"/>
      <c r="BD454" s="99"/>
      <c r="BE454" s="101"/>
      <c r="BF454" s="99"/>
      <c r="BG454" s="99" t="s">
        <v>1356</v>
      </c>
      <c r="BH454" s="99"/>
      <c r="BI454" s="101"/>
      <c r="BJ454" s="99"/>
      <c r="BK454" s="101"/>
      <c r="BL454" s="99"/>
      <c r="BM454" s="99" t="s">
        <v>1356</v>
      </c>
      <c r="BN454" s="99"/>
      <c r="BO454" s="101"/>
      <c r="BP454" s="99"/>
      <c r="BQ454" s="101"/>
      <c r="BR454" s="99"/>
      <c r="BS454" s="99" t="s">
        <v>1356</v>
      </c>
      <c r="BT454" s="99"/>
      <c r="BU454" s="101"/>
      <c r="BV454" s="99"/>
      <c r="BW454" s="101"/>
      <c r="BX454" s="119"/>
      <c r="BY454" s="119" t="s">
        <v>1356</v>
      </c>
      <c r="BZ454" s="119"/>
      <c r="CA454" s="120"/>
      <c r="CB454" s="119"/>
      <c r="CC454" s="120"/>
      <c r="CD454" s="119"/>
      <c r="CE454" s="119" t="s">
        <v>1356</v>
      </c>
      <c r="CF454" s="119"/>
      <c r="CG454" s="120"/>
      <c r="CH454" s="119"/>
      <c r="CI454" s="120"/>
      <c r="CJ454" s="119"/>
      <c r="CK454" s="119" t="s">
        <v>1356</v>
      </c>
      <c r="CL454" s="119"/>
      <c r="CM454" s="120"/>
      <c r="CN454" s="119"/>
      <c r="CO454" s="120"/>
      <c r="CP454" s="119"/>
      <c r="CQ454" s="119" t="s">
        <v>1356</v>
      </c>
      <c r="CR454" s="119"/>
      <c r="CS454" s="120"/>
      <c r="CT454" s="119"/>
      <c r="CU454" s="120"/>
      <c r="CV454" s="119"/>
      <c r="CW454" s="119" t="s">
        <v>1356</v>
      </c>
      <c r="CX454" s="119"/>
      <c r="CY454" s="120"/>
      <c r="CZ454" s="119"/>
      <c r="DA454" s="120"/>
      <c r="DB454" s="36" t="s">
        <v>7085</v>
      </c>
      <c r="DC454" s="59" t="s">
        <v>105</v>
      </c>
    </row>
    <row r="455" spans="1:107" s="40" customFormat="1" ht="14.55" customHeight="1" x14ac:dyDescent="0.3">
      <c r="A455" s="35" t="s">
        <v>4219</v>
      </c>
      <c r="B455" s="35" t="s">
        <v>4717</v>
      </c>
      <c r="C455" s="35" t="s">
        <v>4718</v>
      </c>
      <c r="D455" s="35" t="s">
        <v>4719</v>
      </c>
      <c r="E455" s="35" t="s">
        <v>70</v>
      </c>
      <c r="F455" s="35" t="s">
        <v>4289</v>
      </c>
      <c r="G455" s="35" t="s">
        <v>4237</v>
      </c>
      <c r="H455" s="27" t="s">
        <v>686</v>
      </c>
      <c r="I455" s="62">
        <v>901</v>
      </c>
      <c r="J455" s="62">
        <v>90150</v>
      </c>
      <c r="K455" s="63">
        <v>4</v>
      </c>
      <c r="L455" s="35" t="s">
        <v>2955</v>
      </c>
      <c r="M455" s="35" t="s">
        <v>4720</v>
      </c>
      <c r="N455" s="35" t="s">
        <v>4721</v>
      </c>
      <c r="O455" s="35"/>
      <c r="P455" s="35"/>
      <c r="Q455" s="35"/>
      <c r="R455" s="35"/>
      <c r="S455" s="35"/>
      <c r="T455" s="35"/>
      <c r="U455" s="35"/>
      <c r="V455" s="35"/>
      <c r="W455" s="35" t="s">
        <v>4722</v>
      </c>
      <c r="X455" s="35" t="s">
        <v>4723</v>
      </c>
      <c r="Y455" s="35" t="s">
        <v>4724</v>
      </c>
      <c r="Z455" s="35"/>
      <c r="AA455" s="35"/>
      <c r="AB455" s="35">
        <v>90150326</v>
      </c>
      <c r="AC455" s="35">
        <v>90150326004</v>
      </c>
      <c r="AD455" s="35">
        <v>90150326004002</v>
      </c>
      <c r="AE455" s="63">
        <v>3</v>
      </c>
      <c r="AF455" s="63" t="s">
        <v>377</v>
      </c>
      <c r="AG455" s="29" t="s">
        <v>65</v>
      </c>
      <c r="AH455" s="75"/>
      <c r="AI455" s="65" t="s">
        <v>66</v>
      </c>
      <c r="AJ455" s="32" t="s">
        <v>6938</v>
      </c>
      <c r="AK455" s="33" t="s">
        <v>67</v>
      </c>
      <c r="AL455" s="58">
        <v>45574</v>
      </c>
      <c r="AM455" s="35" t="s">
        <v>66</v>
      </c>
      <c r="AN455" s="35"/>
      <c r="AO455" s="35"/>
      <c r="AP455" s="35"/>
      <c r="AQ455" s="37">
        <f t="shared" si="24"/>
        <v>0</v>
      </c>
      <c r="AR455" s="38">
        <f t="shared" si="25"/>
        <v>0</v>
      </c>
      <c r="AS455" s="39">
        <f t="shared" si="26"/>
        <v>0</v>
      </c>
      <c r="AT455" s="99"/>
      <c r="AU455" s="99" t="s">
        <v>1356</v>
      </c>
      <c r="AV455" s="99"/>
      <c r="AW455" s="100"/>
      <c r="AX455" s="99"/>
      <c r="AY455" s="101"/>
      <c r="AZ455" s="99"/>
      <c r="BA455" s="99" t="s">
        <v>1356</v>
      </c>
      <c r="BB455" s="99"/>
      <c r="BC455" s="101"/>
      <c r="BD455" s="99"/>
      <c r="BE455" s="101"/>
      <c r="BF455" s="99"/>
      <c r="BG455" s="99" t="s">
        <v>1356</v>
      </c>
      <c r="BH455" s="99"/>
      <c r="BI455" s="101"/>
      <c r="BJ455" s="99"/>
      <c r="BK455" s="101"/>
      <c r="BL455" s="99"/>
      <c r="BM455" s="99" t="s">
        <v>1356</v>
      </c>
      <c r="BN455" s="99"/>
      <c r="BO455" s="101"/>
      <c r="BP455" s="99"/>
      <c r="BQ455" s="101"/>
      <c r="BR455" s="99"/>
      <c r="BS455" s="99" t="s">
        <v>1356</v>
      </c>
      <c r="BT455" s="99"/>
      <c r="BU455" s="101"/>
      <c r="BV455" s="99"/>
      <c r="BW455" s="101"/>
      <c r="BX455" s="119"/>
      <c r="BY455" s="119" t="s">
        <v>1356</v>
      </c>
      <c r="BZ455" s="119"/>
      <c r="CA455" s="120"/>
      <c r="CB455" s="119"/>
      <c r="CC455" s="120"/>
      <c r="CD455" s="119"/>
      <c r="CE455" s="119" t="s">
        <v>1356</v>
      </c>
      <c r="CF455" s="119"/>
      <c r="CG455" s="120"/>
      <c r="CH455" s="119"/>
      <c r="CI455" s="120"/>
      <c r="CJ455" s="119"/>
      <c r="CK455" s="119" t="s">
        <v>1356</v>
      </c>
      <c r="CL455" s="119"/>
      <c r="CM455" s="120"/>
      <c r="CN455" s="119"/>
      <c r="CO455" s="120"/>
      <c r="CP455" s="119"/>
      <c r="CQ455" s="119" t="s">
        <v>1356</v>
      </c>
      <c r="CR455" s="119"/>
      <c r="CS455" s="120"/>
      <c r="CT455" s="119"/>
      <c r="CU455" s="120"/>
      <c r="CV455" s="119"/>
      <c r="CW455" s="119" t="s">
        <v>1356</v>
      </c>
      <c r="CX455" s="119"/>
      <c r="CY455" s="120"/>
      <c r="CZ455" s="119"/>
      <c r="DA455" s="120"/>
      <c r="DB455" s="36" t="s">
        <v>7085</v>
      </c>
      <c r="DC455" s="59" t="s">
        <v>6751</v>
      </c>
    </row>
    <row r="456" spans="1:107" s="40" customFormat="1" x14ac:dyDescent="0.3">
      <c r="A456" s="35" t="s">
        <v>4219</v>
      </c>
      <c r="B456" s="35" t="s">
        <v>4725</v>
      </c>
      <c r="C456" s="35" t="s">
        <v>4726</v>
      </c>
      <c r="D456" s="35" t="s">
        <v>4727</v>
      </c>
      <c r="E456" s="35" t="s">
        <v>4728</v>
      </c>
      <c r="F456" s="35" t="s">
        <v>4289</v>
      </c>
      <c r="G456" s="35" t="s">
        <v>4237</v>
      </c>
      <c r="H456" s="27" t="s">
        <v>686</v>
      </c>
      <c r="I456" s="62">
        <v>901</v>
      </c>
      <c r="J456" s="62">
        <v>90150</v>
      </c>
      <c r="K456" s="63">
        <v>4</v>
      </c>
      <c r="L456" s="35" t="s">
        <v>4729</v>
      </c>
      <c r="M456" s="35" t="s">
        <v>4730</v>
      </c>
      <c r="N456" s="35" t="s">
        <v>4731</v>
      </c>
      <c r="O456" s="35"/>
      <c r="P456" s="35"/>
      <c r="Q456" s="35" t="s">
        <v>4732</v>
      </c>
      <c r="R456" s="35" t="s">
        <v>811</v>
      </c>
      <c r="S456" s="35"/>
      <c r="T456" s="35"/>
      <c r="U456" s="35" t="s">
        <v>4733</v>
      </c>
      <c r="V456" s="35"/>
      <c r="W456" s="35" t="s">
        <v>4734</v>
      </c>
      <c r="X456" s="35" t="s">
        <v>4735</v>
      </c>
      <c r="Y456" s="35" t="s">
        <v>4736</v>
      </c>
      <c r="Z456" s="35"/>
      <c r="AA456" s="35"/>
      <c r="AB456" s="35"/>
      <c r="AC456" s="35"/>
      <c r="AD456" s="35"/>
      <c r="AE456" s="63">
        <v>3</v>
      </c>
      <c r="AF456" s="63" t="s">
        <v>377</v>
      </c>
      <c r="AG456" s="29" t="s">
        <v>65</v>
      </c>
      <c r="AH456" s="75"/>
      <c r="AI456" s="65" t="s">
        <v>66</v>
      </c>
      <c r="AJ456" s="32" t="s">
        <v>6938</v>
      </c>
      <c r="AK456" s="33" t="s">
        <v>67</v>
      </c>
      <c r="AL456" s="58">
        <v>45574</v>
      </c>
      <c r="AM456" s="35" t="s">
        <v>66</v>
      </c>
      <c r="AN456" s="35"/>
      <c r="AO456" s="35"/>
      <c r="AP456" s="35"/>
      <c r="AQ456" s="37">
        <f t="shared" si="24"/>
        <v>0</v>
      </c>
      <c r="AR456" s="38">
        <f t="shared" si="25"/>
        <v>0</v>
      </c>
      <c r="AS456" s="39">
        <f t="shared" si="26"/>
        <v>0</v>
      </c>
      <c r="AT456" s="99"/>
      <c r="AU456" s="99" t="s">
        <v>1356</v>
      </c>
      <c r="AV456" s="99"/>
      <c r="AW456" s="100"/>
      <c r="AX456" s="99"/>
      <c r="AY456" s="101"/>
      <c r="AZ456" s="99"/>
      <c r="BA456" s="99" t="s">
        <v>1356</v>
      </c>
      <c r="BB456" s="99"/>
      <c r="BC456" s="101"/>
      <c r="BD456" s="99"/>
      <c r="BE456" s="101"/>
      <c r="BF456" s="99"/>
      <c r="BG456" s="99" t="s">
        <v>1356</v>
      </c>
      <c r="BH456" s="99"/>
      <c r="BI456" s="101"/>
      <c r="BJ456" s="99"/>
      <c r="BK456" s="101"/>
      <c r="BL456" s="99"/>
      <c r="BM456" s="99" t="s">
        <v>1356</v>
      </c>
      <c r="BN456" s="99"/>
      <c r="BO456" s="101"/>
      <c r="BP456" s="99"/>
      <c r="BQ456" s="101"/>
      <c r="BR456" s="99"/>
      <c r="BS456" s="99" t="s">
        <v>1356</v>
      </c>
      <c r="BT456" s="99"/>
      <c r="BU456" s="101"/>
      <c r="BV456" s="99"/>
      <c r="BW456" s="101"/>
      <c r="BX456" s="119"/>
      <c r="BY456" s="119" t="s">
        <v>1356</v>
      </c>
      <c r="BZ456" s="119"/>
      <c r="CA456" s="120"/>
      <c r="CB456" s="119"/>
      <c r="CC456" s="120"/>
      <c r="CD456" s="119"/>
      <c r="CE456" s="119" t="s">
        <v>1356</v>
      </c>
      <c r="CF456" s="119"/>
      <c r="CG456" s="120"/>
      <c r="CH456" s="119"/>
      <c r="CI456" s="120"/>
      <c r="CJ456" s="119"/>
      <c r="CK456" s="119" t="s">
        <v>1356</v>
      </c>
      <c r="CL456" s="119"/>
      <c r="CM456" s="120"/>
      <c r="CN456" s="119"/>
      <c r="CO456" s="120"/>
      <c r="CP456" s="119"/>
      <c r="CQ456" s="119" t="s">
        <v>1356</v>
      </c>
      <c r="CR456" s="119"/>
      <c r="CS456" s="120"/>
      <c r="CT456" s="119"/>
      <c r="CU456" s="120"/>
      <c r="CV456" s="119"/>
      <c r="CW456" s="119" t="s">
        <v>1356</v>
      </c>
      <c r="CX456" s="119"/>
      <c r="CY456" s="120"/>
      <c r="CZ456" s="119"/>
      <c r="DA456" s="120"/>
      <c r="DB456" s="36" t="s">
        <v>7085</v>
      </c>
      <c r="DC456" s="59" t="s">
        <v>253</v>
      </c>
    </row>
    <row r="457" spans="1:107" s="40" customFormat="1" x14ac:dyDescent="0.3">
      <c r="A457" s="35" t="s">
        <v>4219</v>
      </c>
      <c r="B457" s="35" t="s">
        <v>4737</v>
      </c>
      <c r="C457" s="35" t="s">
        <v>4738</v>
      </c>
      <c r="D457" s="35" t="s">
        <v>4739</v>
      </c>
      <c r="E457" s="35" t="s">
        <v>70</v>
      </c>
      <c r="F457" s="35" t="s">
        <v>4289</v>
      </c>
      <c r="G457" s="35" t="s">
        <v>461</v>
      </c>
      <c r="H457" s="27" t="s">
        <v>6933</v>
      </c>
      <c r="I457" s="62">
        <v>1309</v>
      </c>
      <c r="J457" s="62">
        <v>130950</v>
      </c>
      <c r="K457" s="63">
        <v>4</v>
      </c>
      <c r="L457" s="35" t="s">
        <v>4740</v>
      </c>
      <c r="M457" s="35" t="s">
        <v>258</v>
      </c>
      <c r="N457" s="35" t="s">
        <v>4741</v>
      </c>
      <c r="O457" s="35"/>
      <c r="P457" s="35"/>
      <c r="Q457" s="35"/>
      <c r="R457" s="35"/>
      <c r="S457" s="35"/>
      <c r="T457" s="35" t="s">
        <v>4742</v>
      </c>
      <c r="U457" s="35"/>
      <c r="V457" s="35"/>
      <c r="W457" s="35" t="s">
        <v>4743</v>
      </c>
      <c r="X457" s="35" t="s">
        <v>4744</v>
      </c>
      <c r="Y457" s="35" t="s">
        <v>4745</v>
      </c>
      <c r="Z457" s="35"/>
      <c r="AA457" s="35"/>
      <c r="AB457" s="35"/>
      <c r="AC457" s="35"/>
      <c r="AD457" s="35"/>
      <c r="AE457" s="63">
        <v>3</v>
      </c>
      <c r="AF457" s="63" t="s">
        <v>377</v>
      </c>
      <c r="AG457" s="29" t="s">
        <v>65</v>
      </c>
      <c r="AH457" s="75"/>
      <c r="AI457" s="65" t="s">
        <v>66</v>
      </c>
      <c r="AJ457" s="32" t="s">
        <v>6938</v>
      </c>
      <c r="AK457" s="33" t="s">
        <v>67</v>
      </c>
      <c r="AL457" s="58">
        <v>45574</v>
      </c>
      <c r="AM457" s="35" t="s">
        <v>66</v>
      </c>
      <c r="AN457" s="35"/>
      <c r="AO457" s="35"/>
      <c r="AP457" s="35"/>
      <c r="AQ457" s="37">
        <f t="shared" si="24"/>
        <v>0</v>
      </c>
      <c r="AR457" s="38">
        <f t="shared" si="25"/>
        <v>0</v>
      </c>
      <c r="AS457" s="39">
        <f t="shared" si="26"/>
        <v>0</v>
      </c>
      <c r="AT457" s="99"/>
      <c r="AU457" s="99" t="s">
        <v>1356</v>
      </c>
      <c r="AV457" s="99"/>
      <c r="AW457" s="100"/>
      <c r="AX457" s="99"/>
      <c r="AY457" s="101"/>
      <c r="AZ457" s="99"/>
      <c r="BA457" s="99" t="s">
        <v>1356</v>
      </c>
      <c r="BB457" s="99"/>
      <c r="BC457" s="101"/>
      <c r="BD457" s="99"/>
      <c r="BE457" s="101"/>
      <c r="BF457" s="99"/>
      <c r="BG457" s="99" t="s">
        <v>1356</v>
      </c>
      <c r="BH457" s="99"/>
      <c r="BI457" s="101"/>
      <c r="BJ457" s="99"/>
      <c r="BK457" s="101"/>
      <c r="BL457" s="99"/>
      <c r="BM457" s="99" t="s">
        <v>1356</v>
      </c>
      <c r="BN457" s="99"/>
      <c r="BO457" s="101"/>
      <c r="BP457" s="99"/>
      <c r="BQ457" s="101"/>
      <c r="BR457" s="99"/>
      <c r="BS457" s="99" t="s">
        <v>1356</v>
      </c>
      <c r="BT457" s="99"/>
      <c r="BU457" s="101"/>
      <c r="BV457" s="99"/>
      <c r="BW457" s="101"/>
      <c r="BX457" s="119"/>
      <c r="BY457" s="119" t="s">
        <v>1356</v>
      </c>
      <c r="BZ457" s="119"/>
      <c r="CA457" s="120"/>
      <c r="CB457" s="119"/>
      <c r="CC457" s="120"/>
      <c r="CD457" s="119"/>
      <c r="CE457" s="119" t="s">
        <v>1356</v>
      </c>
      <c r="CF457" s="119"/>
      <c r="CG457" s="120"/>
      <c r="CH457" s="119"/>
      <c r="CI457" s="120"/>
      <c r="CJ457" s="119"/>
      <c r="CK457" s="119" t="s">
        <v>1356</v>
      </c>
      <c r="CL457" s="119"/>
      <c r="CM457" s="120"/>
      <c r="CN457" s="119"/>
      <c r="CO457" s="120"/>
      <c r="CP457" s="119"/>
      <c r="CQ457" s="119" t="s">
        <v>1356</v>
      </c>
      <c r="CR457" s="119"/>
      <c r="CS457" s="120"/>
      <c r="CT457" s="119"/>
      <c r="CU457" s="120"/>
      <c r="CV457" s="119"/>
      <c r="CW457" s="119" t="s">
        <v>1356</v>
      </c>
      <c r="CX457" s="119"/>
      <c r="CY457" s="120"/>
      <c r="CZ457" s="119"/>
      <c r="DA457" s="120"/>
      <c r="DB457" s="36" t="s">
        <v>7085</v>
      </c>
      <c r="DC457" s="59" t="s">
        <v>6751</v>
      </c>
    </row>
    <row r="458" spans="1:107" s="40" customFormat="1" ht="14.55" customHeight="1" x14ac:dyDescent="0.3">
      <c r="A458" s="35" t="s">
        <v>4219</v>
      </c>
      <c r="B458" s="35" t="s">
        <v>4746</v>
      </c>
      <c r="C458" s="35" t="s">
        <v>4747</v>
      </c>
      <c r="D458" s="35" t="s">
        <v>4748</v>
      </c>
      <c r="E458" s="35" t="s">
        <v>4749</v>
      </c>
      <c r="F458" s="35" t="s">
        <v>4289</v>
      </c>
      <c r="G458" s="35" t="s">
        <v>4230</v>
      </c>
      <c r="H458" s="27" t="s">
        <v>6934</v>
      </c>
      <c r="I458" s="62">
        <v>2401</v>
      </c>
      <c r="J458" s="62">
        <v>240152</v>
      </c>
      <c r="K458" s="63">
        <v>3</v>
      </c>
      <c r="L458" s="35" t="s">
        <v>4290</v>
      </c>
      <c r="M458" s="35" t="s">
        <v>258</v>
      </c>
      <c r="N458" s="35"/>
      <c r="O458" s="35"/>
      <c r="P458" s="35"/>
      <c r="Q458" s="35"/>
      <c r="R458" s="35"/>
      <c r="S458" s="35"/>
      <c r="T458" s="35"/>
      <c r="U458" s="35"/>
      <c r="V458" s="35"/>
      <c r="W458" s="35" t="s">
        <v>4750</v>
      </c>
      <c r="X458" s="35"/>
      <c r="Y458" s="35" t="s">
        <v>4751</v>
      </c>
      <c r="Z458" s="35"/>
      <c r="AA458" s="35"/>
      <c r="AB458" s="35"/>
      <c r="AC458" s="35"/>
      <c r="AD458" s="35"/>
      <c r="AE458" s="63">
        <v>3</v>
      </c>
      <c r="AF458" s="63" t="s">
        <v>377</v>
      </c>
      <c r="AG458" s="29" t="s">
        <v>65</v>
      </c>
      <c r="AH458" s="75"/>
      <c r="AI458" s="65" t="s">
        <v>65</v>
      </c>
      <c r="AJ458" s="32" t="s">
        <v>6938</v>
      </c>
      <c r="AK458" s="33" t="s">
        <v>92</v>
      </c>
      <c r="AL458" s="58">
        <v>45574</v>
      </c>
      <c r="AM458" s="35"/>
      <c r="AN458" s="35"/>
      <c r="AO458" s="35"/>
      <c r="AP458" s="35"/>
      <c r="AQ458" s="37">
        <f t="shared" si="24"/>
        <v>0</v>
      </c>
      <c r="AR458" s="38">
        <f t="shared" si="25"/>
        <v>0</v>
      </c>
      <c r="AS458" s="39">
        <f t="shared" si="26"/>
        <v>0</v>
      </c>
      <c r="AT458" s="99"/>
      <c r="AU458" s="99" t="s">
        <v>1356</v>
      </c>
      <c r="AV458" s="99"/>
      <c r="AW458" s="100"/>
      <c r="AX458" s="99"/>
      <c r="AY458" s="101"/>
      <c r="AZ458" s="99"/>
      <c r="BA458" s="99" t="s">
        <v>1356</v>
      </c>
      <c r="BB458" s="99"/>
      <c r="BC458" s="101"/>
      <c r="BD458" s="99"/>
      <c r="BE458" s="101"/>
      <c r="BF458" s="99"/>
      <c r="BG458" s="99" t="s">
        <v>1356</v>
      </c>
      <c r="BH458" s="99"/>
      <c r="BI458" s="101"/>
      <c r="BJ458" s="99"/>
      <c r="BK458" s="101"/>
      <c r="BL458" s="99"/>
      <c r="BM458" s="99" t="s">
        <v>1356</v>
      </c>
      <c r="BN458" s="99"/>
      <c r="BO458" s="101"/>
      <c r="BP458" s="99"/>
      <c r="BQ458" s="101"/>
      <c r="BR458" s="99"/>
      <c r="BS458" s="99" t="s">
        <v>1356</v>
      </c>
      <c r="BT458" s="99"/>
      <c r="BU458" s="101"/>
      <c r="BV458" s="99"/>
      <c r="BW458" s="101"/>
      <c r="BX458" s="119"/>
      <c r="BY458" s="119" t="s">
        <v>1356</v>
      </c>
      <c r="BZ458" s="119"/>
      <c r="CA458" s="120"/>
      <c r="CB458" s="119"/>
      <c r="CC458" s="120"/>
      <c r="CD458" s="119"/>
      <c r="CE458" s="119" t="s">
        <v>1356</v>
      </c>
      <c r="CF458" s="119"/>
      <c r="CG458" s="120"/>
      <c r="CH458" s="119"/>
      <c r="CI458" s="120"/>
      <c r="CJ458" s="119"/>
      <c r="CK458" s="119" t="s">
        <v>1356</v>
      </c>
      <c r="CL458" s="119"/>
      <c r="CM458" s="120"/>
      <c r="CN458" s="119"/>
      <c r="CO458" s="120"/>
      <c r="CP458" s="119"/>
      <c r="CQ458" s="119" t="s">
        <v>1356</v>
      </c>
      <c r="CR458" s="119"/>
      <c r="CS458" s="120"/>
      <c r="CT458" s="119"/>
      <c r="CU458" s="120"/>
      <c r="CV458" s="119"/>
      <c r="CW458" s="119" t="s">
        <v>1356</v>
      </c>
      <c r="CX458" s="119"/>
      <c r="CY458" s="120"/>
      <c r="CZ458" s="119"/>
      <c r="DA458" s="120"/>
      <c r="DB458" s="36" t="s">
        <v>7085</v>
      </c>
      <c r="DC458" s="59" t="s">
        <v>92</v>
      </c>
    </row>
    <row r="459" spans="1:107" s="40" customFormat="1" x14ac:dyDescent="0.3">
      <c r="A459" s="35" t="s">
        <v>4219</v>
      </c>
      <c r="B459" s="35" t="s">
        <v>4752</v>
      </c>
      <c r="C459" s="35" t="s">
        <v>4753</v>
      </c>
      <c r="D459" s="35" t="s">
        <v>4754</v>
      </c>
      <c r="E459" s="35" t="s">
        <v>70</v>
      </c>
      <c r="F459" s="35" t="s">
        <v>4289</v>
      </c>
      <c r="G459" s="35" t="s">
        <v>461</v>
      </c>
      <c r="H459" s="27" t="s">
        <v>6933</v>
      </c>
      <c r="I459" s="62">
        <v>1317</v>
      </c>
      <c r="J459" s="62">
        <v>131750</v>
      </c>
      <c r="K459" s="63">
        <v>4</v>
      </c>
      <c r="L459" s="35" t="s">
        <v>4755</v>
      </c>
      <c r="M459" s="35"/>
      <c r="N459" s="35"/>
      <c r="O459" s="35" t="s">
        <v>4756</v>
      </c>
      <c r="P459" s="35"/>
      <c r="Q459" s="35"/>
      <c r="R459" s="35" t="s">
        <v>113</v>
      </c>
      <c r="S459" s="35"/>
      <c r="T459" s="35"/>
      <c r="U459" s="35" t="s">
        <v>4757</v>
      </c>
      <c r="V459" s="35"/>
      <c r="W459" s="35" t="s">
        <v>4758</v>
      </c>
      <c r="X459" s="35" t="s">
        <v>4759</v>
      </c>
      <c r="Y459" s="35" t="s">
        <v>4760</v>
      </c>
      <c r="Z459" s="35">
        <v>-80.073916912078857</v>
      </c>
      <c r="AA459" s="35">
        <v>6.9093704056206982E-3</v>
      </c>
      <c r="AB459" s="35">
        <v>131750999</v>
      </c>
      <c r="AC459" s="35">
        <v>131750999042</v>
      </c>
      <c r="AD459" s="35">
        <v>131750999042001</v>
      </c>
      <c r="AE459" s="63">
        <v>3</v>
      </c>
      <c r="AF459" s="63" t="s">
        <v>377</v>
      </c>
      <c r="AG459" s="29" t="s">
        <v>65</v>
      </c>
      <c r="AH459" s="75"/>
      <c r="AI459" s="65" t="s">
        <v>66</v>
      </c>
      <c r="AJ459" s="32" t="s">
        <v>6938</v>
      </c>
      <c r="AK459" s="33" t="s">
        <v>67</v>
      </c>
      <c r="AL459" s="34">
        <v>45562</v>
      </c>
      <c r="AM459" s="35" t="s">
        <v>66</v>
      </c>
      <c r="AN459" s="35"/>
      <c r="AO459" s="35"/>
      <c r="AP459" s="35"/>
      <c r="AQ459" s="37">
        <f t="shared" si="24"/>
        <v>0</v>
      </c>
      <c r="AR459" s="38">
        <f t="shared" si="25"/>
        <v>0</v>
      </c>
      <c r="AS459" s="39">
        <f t="shared" si="26"/>
        <v>0</v>
      </c>
      <c r="AT459" s="99"/>
      <c r="AU459" s="99" t="s">
        <v>1356</v>
      </c>
      <c r="AV459" s="99"/>
      <c r="AW459" s="100"/>
      <c r="AX459" s="99"/>
      <c r="AY459" s="101"/>
      <c r="AZ459" s="99"/>
      <c r="BA459" s="99" t="s">
        <v>1356</v>
      </c>
      <c r="BB459" s="99"/>
      <c r="BC459" s="101"/>
      <c r="BD459" s="99"/>
      <c r="BE459" s="101"/>
      <c r="BF459" s="99"/>
      <c r="BG459" s="99" t="s">
        <v>1356</v>
      </c>
      <c r="BH459" s="99"/>
      <c r="BI459" s="101"/>
      <c r="BJ459" s="99"/>
      <c r="BK459" s="101"/>
      <c r="BL459" s="99"/>
      <c r="BM459" s="99" t="s">
        <v>1356</v>
      </c>
      <c r="BN459" s="99"/>
      <c r="BO459" s="101"/>
      <c r="BP459" s="99"/>
      <c r="BQ459" s="101"/>
      <c r="BR459" s="99"/>
      <c r="BS459" s="99" t="s">
        <v>1356</v>
      </c>
      <c r="BT459" s="99"/>
      <c r="BU459" s="101"/>
      <c r="BV459" s="99"/>
      <c r="BW459" s="101"/>
      <c r="BX459" s="119"/>
      <c r="BY459" s="119" t="s">
        <v>1356</v>
      </c>
      <c r="BZ459" s="119"/>
      <c r="CA459" s="120"/>
      <c r="CB459" s="119"/>
      <c r="CC459" s="120"/>
      <c r="CD459" s="119"/>
      <c r="CE459" s="119" t="s">
        <v>1356</v>
      </c>
      <c r="CF459" s="119"/>
      <c r="CG459" s="120"/>
      <c r="CH459" s="119"/>
      <c r="CI459" s="120"/>
      <c r="CJ459" s="119"/>
      <c r="CK459" s="119" t="s">
        <v>1356</v>
      </c>
      <c r="CL459" s="119"/>
      <c r="CM459" s="120"/>
      <c r="CN459" s="119"/>
      <c r="CO459" s="120"/>
      <c r="CP459" s="119"/>
      <c r="CQ459" s="119" t="s">
        <v>1356</v>
      </c>
      <c r="CR459" s="119"/>
      <c r="CS459" s="120"/>
      <c r="CT459" s="119"/>
      <c r="CU459" s="120"/>
      <c r="CV459" s="119"/>
      <c r="CW459" s="119" t="s">
        <v>1356</v>
      </c>
      <c r="CX459" s="119"/>
      <c r="CY459" s="120"/>
      <c r="CZ459" s="119"/>
      <c r="DA459" s="120"/>
      <c r="DB459" s="36" t="s">
        <v>7085</v>
      </c>
      <c r="DC459" s="59" t="s">
        <v>6751</v>
      </c>
    </row>
    <row r="460" spans="1:107" s="40" customFormat="1" x14ac:dyDescent="0.3">
      <c r="A460" s="35" t="s">
        <v>4219</v>
      </c>
      <c r="B460" s="35" t="s">
        <v>4761</v>
      </c>
      <c r="C460" s="35" t="s">
        <v>4762</v>
      </c>
      <c r="D460" s="35" t="s">
        <v>4763</v>
      </c>
      <c r="E460" s="35" t="s">
        <v>4764</v>
      </c>
      <c r="F460" s="35" t="s">
        <v>81</v>
      </c>
      <c r="G460" s="35" t="s">
        <v>4329</v>
      </c>
      <c r="H460" s="27" t="s">
        <v>6935</v>
      </c>
      <c r="I460" s="62">
        <v>2301</v>
      </c>
      <c r="J460" s="62">
        <v>230155</v>
      </c>
      <c r="K460" s="63">
        <v>4</v>
      </c>
      <c r="L460" s="35" t="s">
        <v>4330</v>
      </c>
      <c r="M460" s="35"/>
      <c r="N460" s="35"/>
      <c r="O460" s="35" t="s">
        <v>228</v>
      </c>
      <c r="P460" s="35"/>
      <c r="Q460" s="35"/>
      <c r="R460" s="35"/>
      <c r="S460" s="35"/>
      <c r="T460" s="35"/>
      <c r="U460" s="35"/>
      <c r="V460" s="35"/>
      <c r="W460" s="35" t="s">
        <v>4765</v>
      </c>
      <c r="X460" s="35"/>
      <c r="Y460" s="35" t="s">
        <v>4766</v>
      </c>
      <c r="Z460" s="35">
        <v>-79.256793999999999</v>
      </c>
      <c r="AA460" s="35">
        <v>-0.118565</v>
      </c>
      <c r="AB460" s="35">
        <v>230155999</v>
      </c>
      <c r="AC460" s="35">
        <v>230155999026</v>
      </c>
      <c r="AD460" s="35">
        <v>230155999026001</v>
      </c>
      <c r="AE460" s="63">
        <v>3</v>
      </c>
      <c r="AF460" s="63" t="s">
        <v>377</v>
      </c>
      <c r="AG460" s="29" t="s">
        <v>65</v>
      </c>
      <c r="AH460" s="75"/>
      <c r="AI460" s="65" t="s">
        <v>66</v>
      </c>
      <c r="AJ460" s="32" t="s">
        <v>6938</v>
      </c>
      <c r="AK460" s="33" t="s">
        <v>67</v>
      </c>
      <c r="AL460" s="58">
        <v>45574</v>
      </c>
      <c r="AM460" s="35" t="s">
        <v>66</v>
      </c>
      <c r="AN460" s="35"/>
      <c r="AO460" s="35"/>
      <c r="AP460" s="35"/>
      <c r="AQ460" s="37">
        <f t="shared" si="24"/>
        <v>0</v>
      </c>
      <c r="AR460" s="38">
        <f t="shared" si="25"/>
        <v>0</v>
      </c>
      <c r="AS460" s="39">
        <f t="shared" si="26"/>
        <v>0</v>
      </c>
      <c r="AT460" s="99"/>
      <c r="AU460" s="99" t="s">
        <v>1356</v>
      </c>
      <c r="AV460" s="99"/>
      <c r="AW460" s="100"/>
      <c r="AX460" s="99"/>
      <c r="AY460" s="101"/>
      <c r="AZ460" s="99"/>
      <c r="BA460" s="99" t="s">
        <v>1356</v>
      </c>
      <c r="BB460" s="99"/>
      <c r="BC460" s="101"/>
      <c r="BD460" s="99"/>
      <c r="BE460" s="101"/>
      <c r="BF460" s="99"/>
      <c r="BG460" s="99" t="s">
        <v>1356</v>
      </c>
      <c r="BH460" s="99"/>
      <c r="BI460" s="101"/>
      <c r="BJ460" s="99"/>
      <c r="BK460" s="101"/>
      <c r="BL460" s="99"/>
      <c r="BM460" s="99" t="s">
        <v>1356</v>
      </c>
      <c r="BN460" s="99"/>
      <c r="BO460" s="101"/>
      <c r="BP460" s="99"/>
      <c r="BQ460" s="101"/>
      <c r="BR460" s="99"/>
      <c r="BS460" s="99" t="s">
        <v>1356</v>
      </c>
      <c r="BT460" s="99"/>
      <c r="BU460" s="101"/>
      <c r="BV460" s="99"/>
      <c r="BW460" s="101"/>
      <c r="BX460" s="119"/>
      <c r="BY460" s="119" t="s">
        <v>1356</v>
      </c>
      <c r="BZ460" s="119"/>
      <c r="CA460" s="120"/>
      <c r="CB460" s="119"/>
      <c r="CC460" s="120"/>
      <c r="CD460" s="119"/>
      <c r="CE460" s="119" t="s">
        <v>1356</v>
      </c>
      <c r="CF460" s="119"/>
      <c r="CG460" s="120"/>
      <c r="CH460" s="119"/>
      <c r="CI460" s="120"/>
      <c r="CJ460" s="119"/>
      <c r="CK460" s="119" t="s">
        <v>1356</v>
      </c>
      <c r="CL460" s="119"/>
      <c r="CM460" s="120"/>
      <c r="CN460" s="119"/>
      <c r="CO460" s="120"/>
      <c r="CP460" s="119"/>
      <c r="CQ460" s="119" t="s">
        <v>1356</v>
      </c>
      <c r="CR460" s="119"/>
      <c r="CS460" s="120"/>
      <c r="CT460" s="119"/>
      <c r="CU460" s="120"/>
      <c r="CV460" s="119"/>
      <c r="CW460" s="119" t="s">
        <v>1356</v>
      </c>
      <c r="CX460" s="119"/>
      <c r="CY460" s="120"/>
      <c r="CZ460" s="119"/>
      <c r="DA460" s="120"/>
      <c r="DB460" s="36" t="s">
        <v>7085</v>
      </c>
      <c r="DC460" s="59" t="s">
        <v>105</v>
      </c>
    </row>
    <row r="461" spans="1:107" s="40" customFormat="1" x14ac:dyDescent="0.3">
      <c r="A461" s="35" t="s">
        <v>4219</v>
      </c>
      <c r="B461" s="35" t="s">
        <v>4767</v>
      </c>
      <c r="C461" s="35" t="s">
        <v>4768</v>
      </c>
      <c r="D461" s="35" t="s">
        <v>4769</v>
      </c>
      <c r="E461" s="35" t="s">
        <v>70</v>
      </c>
      <c r="F461" s="35" t="s">
        <v>81</v>
      </c>
      <c r="G461" s="35" t="s">
        <v>4329</v>
      </c>
      <c r="H461" s="27" t="s">
        <v>6935</v>
      </c>
      <c r="I461" s="62">
        <v>2302</v>
      </c>
      <c r="J461" s="62">
        <v>230250</v>
      </c>
      <c r="K461" s="63">
        <v>4</v>
      </c>
      <c r="L461" s="35" t="s">
        <v>4770</v>
      </c>
      <c r="M461" s="35" t="s">
        <v>4771</v>
      </c>
      <c r="N461" s="35" t="s">
        <v>83</v>
      </c>
      <c r="O461" s="35" t="s">
        <v>338</v>
      </c>
      <c r="P461" s="35"/>
      <c r="Q461" s="35"/>
      <c r="R461" s="35"/>
      <c r="S461" s="35"/>
      <c r="T461" s="35"/>
      <c r="U461" s="35"/>
      <c r="V461" s="35"/>
      <c r="W461" s="35" t="s">
        <v>4772</v>
      </c>
      <c r="X461" s="35" t="s">
        <v>4773</v>
      </c>
      <c r="Y461" s="35" t="s">
        <v>4774</v>
      </c>
      <c r="Z461" s="35"/>
      <c r="AA461" s="35"/>
      <c r="AB461" s="35"/>
      <c r="AC461" s="35"/>
      <c r="AD461" s="35"/>
      <c r="AE461" s="63">
        <v>3</v>
      </c>
      <c r="AF461" s="63" t="s">
        <v>377</v>
      </c>
      <c r="AG461" s="29" t="s">
        <v>65</v>
      </c>
      <c r="AH461" s="75"/>
      <c r="AI461" s="65" t="s">
        <v>66</v>
      </c>
      <c r="AJ461" s="32" t="s">
        <v>6938</v>
      </c>
      <c r="AK461" s="33" t="s">
        <v>67</v>
      </c>
      <c r="AL461" s="58">
        <v>45574</v>
      </c>
      <c r="AM461" s="35" t="s">
        <v>66</v>
      </c>
      <c r="AN461" s="35"/>
      <c r="AO461" s="35"/>
      <c r="AP461" s="35"/>
      <c r="AQ461" s="37">
        <f t="shared" si="24"/>
        <v>0</v>
      </c>
      <c r="AR461" s="38">
        <f t="shared" si="25"/>
        <v>0</v>
      </c>
      <c r="AS461" s="39">
        <f t="shared" si="26"/>
        <v>0</v>
      </c>
      <c r="AT461" s="99"/>
      <c r="AU461" s="99" t="s">
        <v>1356</v>
      </c>
      <c r="AV461" s="99"/>
      <c r="AW461" s="100"/>
      <c r="AX461" s="99"/>
      <c r="AY461" s="101"/>
      <c r="AZ461" s="99"/>
      <c r="BA461" s="99" t="s">
        <v>1356</v>
      </c>
      <c r="BB461" s="99"/>
      <c r="BC461" s="101"/>
      <c r="BD461" s="99"/>
      <c r="BE461" s="101"/>
      <c r="BF461" s="99"/>
      <c r="BG461" s="99" t="s">
        <v>1356</v>
      </c>
      <c r="BH461" s="99"/>
      <c r="BI461" s="101"/>
      <c r="BJ461" s="99"/>
      <c r="BK461" s="101"/>
      <c r="BL461" s="99"/>
      <c r="BM461" s="99" t="s">
        <v>1356</v>
      </c>
      <c r="BN461" s="99"/>
      <c r="BO461" s="101"/>
      <c r="BP461" s="99"/>
      <c r="BQ461" s="101"/>
      <c r="BR461" s="99"/>
      <c r="BS461" s="99" t="s">
        <v>1356</v>
      </c>
      <c r="BT461" s="99"/>
      <c r="BU461" s="101"/>
      <c r="BV461" s="99"/>
      <c r="BW461" s="101"/>
      <c r="BX461" s="119"/>
      <c r="BY461" s="119" t="s">
        <v>1356</v>
      </c>
      <c r="BZ461" s="119"/>
      <c r="CA461" s="120"/>
      <c r="CB461" s="119"/>
      <c r="CC461" s="120"/>
      <c r="CD461" s="119"/>
      <c r="CE461" s="119" t="s">
        <v>1356</v>
      </c>
      <c r="CF461" s="119"/>
      <c r="CG461" s="120"/>
      <c r="CH461" s="119"/>
      <c r="CI461" s="120"/>
      <c r="CJ461" s="119"/>
      <c r="CK461" s="119" t="s">
        <v>1356</v>
      </c>
      <c r="CL461" s="119"/>
      <c r="CM461" s="120"/>
      <c r="CN461" s="119"/>
      <c r="CO461" s="120"/>
      <c r="CP461" s="119"/>
      <c r="CQ461" s="119" t="s">
        <v>1356</v>
      </c>
      <c r="CR461" s="119"/>
      <c r="CS461" s="120"/>
      <c r="CT461" s="119"/>
      <c r="CU461" s="120"/>
      <c r="CV461" s="119"/>
      <c r="CW461" s="119" t="s">
        <v>1356</v>
      </c>
      <c r="CX461" s="119"/>
      <c r="CY461" s="120"/>
      <c r="CZ461" s="119"/>
      <c r="DA461" s="120"/>
      <c r="DB461" s="36" t="s">
        <v>7085</v>
      </c>
      <c r="DC461" s="59" t="s">
        <v>253</v>
      </c>
    </row>
    <row r="462" spans="1:107" s="40" customFormat="1" x14ac:dyDescent="0.3">
      <c r="A462" s="35" t="s">
        <v>4219</v>
      </c>
      <c r="B462" s="35" t="s">
        <v>4775</v>
      </c>
      <c r="C462" s="35" t="s">
        <v>4776</v>
      </c>
      <c r="D462" s="35" t="s">
        <v>4777</v>
      </c>
      <c r="E462" s="35" t="s">
        <v>4778</v>
      </c>
      <c r="F462" s="35" t="s">
        <v>836</v>
      </c>
      <c r="G462" s="35" t="s">
        <v>4329</v>
      </c>
      <c r="H462" s="27" t="s">
        <v>6935</v>
      </c>
      <c r="I462" s="62">
        <v>2301</v>
      </c>
      <c r="J462" s="62">
        <v>230150</v>
      </c>
      <c r="K462" s="63">
        <v>4</v>
      </c>
      <c r="L462" s="35" t="s">
        <v>4779</v>
      </c>
      <c r="M462" s="35"/>
      <c r="N462" s="35" t="s">
        <v>4330</v>
      </c>
      <c r="O462" s="35" t="s">
        <v>933</v>
      </c>
      <c r="P462" s="35"/>
      <c r="Q462" s="35"/>
      <c r="R462" s="35"/>
      <c r="S462" s="35"/>
      <c r="T462" s="35"/>
      <c r="U462" s="35"/>
      <c r="V462" s="35"/>
      <c r="W462" s="35" t="s">
        <v>4780</v>
      </c>
      <c r="X462" s="35" t="s">
        <v>4781</v>
      </c>
      <c r="Y462" s="35" t="s">
        <v>4782</v>
      </c>
      <c r="Z462" s="35"/>
      <c r="AA462" s="35"/>
      <c r="AB462" s="35"/>
      <c r="AC462" s="35"/>
      <c r="AD462" s="35"/>
      <c r="AE462" s="63">
        <v>3</v>
      </c>
      <c r="AF462" s="63" t="s">
        <v>377</v>
      </c>
      <c r="AG462" s="29" t="s">
        <v>65</v>
      </c>
      <c r="AH462" s="75"/>
      <c r="AI462" s="65" t="s">
        <v>66</v>
      </c>
      <c r="AJ462" s="32" t="s">
        <v>6938</v>
      </c>
      <c r="AK462" s="33" t="s">
        <v>67</v>
      </c>
      <c r="AL462" s="58">
        <v>45575</v>
      </c>
      <c r="AM462" s="35" t="s">
        <v>66</v>
      </c>
      <c r="AN462" s="35"/>
      <c r="AO462" s="35"/>
      <c r="AP462" s="35"/>
      <c r="AQ462" s="37">
        <f t="shared" si="24"/>
        <v>0</v>
      </c>
      <c r="AR462" s="38">
        <f t="shared" si="25"/>
        <v>0</v>
      </c>
      <c r="AS462" s="39">
        <f t="shared" si="26"/>
        <v>0</v>
      </c>
      <c r="AT462" s="99"/>
      <c r="AU462" s="99" t="s">
        <v>1356</v>
      </c>
      <c r="AV462" s="99"/>
      <c r="AW462" s="100"/>
      <c r="AX462" s="99"/>
      <c r="AY462" s="101"/>
      <c r="AZ462" s="99"/>
      <c r="BA462" s="99" t="s">
        <v>1356</v>
      </c>
      <c r="BB462" s="99"/>
      <c r="BC462" s="101"/>
      <c r="BD462" s="99"/>
      <c r="BE462" s="101"/>
      <c r="BF462" s="99"/>
      <c r="BG462" s="99" t="s">
        <v>1356</v>
      </c>
      <c r="BH462" s="99"/>
      <c r="BI462" s="101"/>
      <c r="BJ462" s="99"/>
      <c r="BK462" s="101"/>
      <c r="BL462" s="99"/>
      <c r="BM462" s="99" t="s">
        <v>1356</v>
      </c>
      <c r="BN462" s="99"/>
      <c r="BO462" s="101"/>
      <c r="BP462" s="99"/>
      <c r="BQ462" s="101"/>
      <c r="BR462" s="99"/>
      <c r="BS462" s="99" t="s">
        <v>1356</v>
      </c>
      <c r="BT462" s="99"/>
      <c r="BU462" s="101"/>
      <c r="BV462" s="99"/>
      <c r="BW462" s="101"/>
      <c r="BX462" s="119"/>
      <c r="BY462" s="119" t="s">
        <v>1356</v>
      </c>
      <c r="BZ462" s="119"/>
      <c r="CA462" s="120"/>
      <c r="CB462" s="119"/>
      <c r="CC462" s="120"/>
      <c r="CD462" s="119"/>
      <c r="CE462" s="119" t="s">
        <v>1356</v>
      </c>
      <c r="CF462" s="119"/>
      <c r="CG462" s="120"/>
      <c r="CH462" s="119"/>
      <c r="CI462" s="120"/>
      <c r="CJ462" s="119"/>
      <c r="CK462" s="119" t="s">
        <v>1356</v>
      </c>
      <c r="CL462" s="119"/>
      <c r="CM462" s="120"/>
      <c r="CN462" s="119"/>
      <c r="CO462" s="120"/>
      <c r="CP462" s="119"/>
      <c r="CQ462" s="119" t="s">
        <v>1356</v>
      </c>
      <c r="CR462" s="119"/>
      <c r="CS462" s="120"/>
      <c r="CT462" s="119"/>
      <c r="CU462" s="120"/>
      <c r="CV462" s="119"/>
      <c r="CW462" s="119" t="s">
        <v>1356</v>
      </c>
      <c r="CX462" s="119"/>
      <c r="CY462" s="120"/>
      <c r="CZ462" s="119"/>
      <c r="DA462" s="120"/>
      <c r="DB462" s="36" t="s">
        <v>7085</v>
      </c>
      <c r="DC462" s="59" t="s">
        <v>87</v>
      </c>
    </row>
    <row r="463" spans="1:107" s="40" customFormat="1" x14ac:dyDescent="0.3">
      <c r="A463" s="35" t="s">
        <v>4219</v>
      </c>
      <c r="B463" s="35" t="s">
        <v>4783</v>
      </c>
      <c r="C463" s="35" t="s">
        <v>4784</v>
      </c>
      <c r="D463" s="35" t="s">
        <v>4785</v>
      </c>
      <c r="E463" s="35" t="s">
        <v>4786</v>
      </c>
      <c r="F463" s="35" t="s">
        <v>89</v>
      </c>
      <c r="G463" s="35" t="s">
        <v>461</v>
      </c>
      <c r="H463" s="27" t="s">
        <v>6933</v>
      </c>
      <c r="I463" s="62">
        <v>1309</v>
      </c>
      <c r="J463" s="62">
        <v>130950</v>
      </c>
      <c r="K463" s="63">
        <v>3</v>
      </c>
      <c r="L463" s="35" t="s">
        <v>4787</v>
      </c>
      <c r="M463" s="35"/>
      <c r="N463" s="35" t="s">
        <v>4787</v>
      </c>
      <c r="O463" s="35"/>
      <c r="P463" s="35"/>
      <c r="Q463" s="35"/>
      <c r="R463" s="35"/>
      <c r="S463" s="35"/>
      <c r="T463" s="35"/>
      <c r="U463" s="35" t="s">
        <v>4788</v>
      </c>
      <c r="V463" s="35"/>
      <c r="W463" s="35" t="s">
        <v>4789</v>
      </c>
      <c r="X463" s="35"/>
      <c r="Y463" s="35"/>
      <c r="Z463" s="35"/>
      <c r="AA463" s="35"/>
      <c r="AB463" s="35"/>
      <c r="AC463" s="35"/>
      <c r="AD463" s="35"/>
      <c r="AE463" s="63">
        <v>3</v>
      </c>
      <c r="AF463" s="63" t="s">
        <v>377</v>
      </c>
      <c r="AG463" s="29" t="s">
        <v>65</v>
      </c>
      <c r="AH463" s="75"/>
      <c r="AI463" s="65" t="s">
        <v>66</v>
      </c>
      <c r="AJ463" s="32" t="s">
        <v>6938</v>
      </c>
      <c r="AK463" s="33" t="s">
        <v>67</v>
      </c>
      <c r="AL463" s="58">
        <v>45575</v>
      </c>
      <c r="AM463" s="35" t="s">
        <v>66</v>
      </c>
      <c r="AN463" s="35"/>
      <c r="AO463" s="35"/>
      <c r="AP463" s="35"/>
      <c r="AQ463" s="37">
        <f t="shared" si="24"/>
        <v>0</v>
      </c>
      <c r="AR463" s="38">
        <f t="shared" si="25"/>
        <v>0</v>
      </c>
      <c r="AS463" s="39">
        <f t="shared" si="26"/>
        <v>0</v>
      </c>
      <c r="AT463" s="99"/>
      <c r="AU463" s="99" t="s">
        <v>1356</v>
      </c>
      <c r="AV463" s="99"/>
      <c r="AW463" s="100"/>
      <c r="AX463" s="99"/>
      <c r="AY463" s="101"/>
      <c r="AZ463" s="99"/>
      <c r="BA463" s="99" t="s">
        <v>1356</v>
      </c>
      <c r="BB463" s="99"/>
      <c r="BC463" s="101"/>
      <c r="BD463" s="99"/>
      <c r="BE463" s="101"/>
      <c r="BF463" s="99"/>
      <c r="BG463" s="99" t="s">
        <v>1356</v>
      </c>
      <c r="BH463" s="99"/>
      <c r="BI463" s="101"/>
      <c r="BJ463" s="99"/>
      <c r="BK463" s="101"/>
      <c r="BL463" s="99"/>
      <c r="BM463" s="99" t="s">
        <v>1356</v>
      </c>
      <c r="BN463" s="99"/>
      <c r="BO463" s="101"/>
      <c r="BP463" s="99"/>
      <c r="BQ463" s="101"/>
      <c r="BR463" s="99"/>
      <c r="BS463" s="99" t="s">
        <v>1356</v>
      </c>
      <c r="BT463" s="99"/>
      <c r="BU463" s="101"/>
      <c r="BV463" s="99"/>
      <c r="BW463" s="101"/>
      <c r="BX463" s="119"/>
      <c r="BY463" s="119" t="s">
        <v>1356</v>
      </c>
      <c r="BZ463" s="119"/>
      <c r="CA463" s="120"/>
      <c r="CB463" s="119"/>
      <c r="CC463" s="120"/>
      <c r="CD463" s="119"/>
      <c r="CE463" s="119" t="s">
        <v>1356</v>
      </c>
      <c r="CF463" s="119"/>
      <c r="CG463" s="120"/>
      <c r="CH463" s="119"/>
      <c r="CI463" s="120"/>
      <c r="CJ463" s="119"/>
      <c r="CK463" s="119" t="s">
        <v>1356</v>
      </c>
      <c r="CL463" s="119"/>
      <c r="CM463" s="120"/>
      <c r="CN463" s="119"/>
      <c r="CO463" s="120"/>
      <c r="CP463" s="119"/>
      <c r="CQ463" s="119" t="s">
        <v>1356</v>
      </c>
      <c r="CR463" s="119"/>
      <c r="CS463" s="120"/>
      <c r="CT463" s="119"/>
      <c r="CU463" s="120"/>
      <c r="CV463" s="119"/>
      <c r="CW463" s="119" t="s">
        <v>1356</v>
      </c>
      <c r="CX463" s="119"/>
      <c r="CY463" s="120"/>
      <c r="CZ463" s="119"/>
      <c r="DA463" s="120"/>
      <c r="DB463" s="36" t="s">
        <v>7085</v>
      </c>
      <c r="DC463" s="59" t="s">
        <v>6751</v>
      </c>
    </row>
    <row r="464" spans="1:107" s="40" customFormat="1" x14ac:dyDescent="0.3">
      <c r="A464" s="35" t="s">
        <v>4219</v>
      </c>
      <c r="B464" s="35" t="s">
        <v>4790</v>
      </c>
      <c r="C464" s="35" t="s">
        <v>4791</v>
      </c>
      <c r="D464" s="35" t="s">
        <v>4792</v>
      </c>
      <c r="E464" s="35" t="s">
        <v>4793</v>
      </c>
      <c r="F464" s="35" t="s">
        <v>108</v>
      </c>
      <c r="G464" s="35" t="s">
        <v>4237</v>
      </c>
      <c r="H464" s="27" t="s">
        <v>686</v>
      </c>
      <c r="I464" s="62">
        <v>901</v>
      </c>
      <c r="J464" s="62">
        <v>90150</v>
      </c>
      <c r="K464" s="63">
        <v>4</v>
      </c>
      <c r="L464" s="35" t="s">
        <v>4794</v>
      </c>
      <c r="M464" s="35" t="s">
        <v>4795</v>
      </c>
      <c r="N464" s="35" t="s">
        <v>4796</v>
      </c>
      <c r="O464" s="35"/>
      <c r="P464" s="35"/>
      <c r="Q464" s="35" t="s">
        <v>4797</v>
      </c>
      <c r="R464" s="35" t="s">
        <v>4798</v>
      </c>
      <c r="S464" s="35"/>
      <c r="T464" s="35"/>
      <c r="U464" s="35"/>
      <c r="V464" s="35"/>
      <c r="W464" s="35"/>
      <c r="X464" s="35" t="s">
        <v>4799</v>
      </c>
      <c r="Y464" s="35" t="s">
        <v>4800</v>
      </c>
      <c r="Z464" s="35">
        <v>-79.948085000000006</v>
      </c>
      <c r="AA464" s="35">
        <v>-2.0654089999999998</v>
      </c>
      <c r="AB464" s="35">
        <v>90150681</v>
      </c>
      <c r="AC464" s="35">
        <v>90150681009</v>
      </c>
      <c r="AD464" s="35">
        <v>90150681009006</v>
      </c>
      <c r="AE464" s="63">
        <v>3</v>
      </c>
      <c r="AF464" s="63" t="s">
        <v>377</v>
      </c>
      <c r="AG464" s="29" t="s">
        <v>65</v>
      </c>
      <c r="AH464" s="75"/>
      <c r="AI464" s="65" t="s">
        <v>66</v>
      </c>
      <c r="AJ464" s="32" t="s">
        <v>6938</v>
      </c>
      <c r="AK464" s="33" t="s">
        <v>67</v>
      </c>
      <c r="AL464" s="58">
        <v>45575</v>
      </c>
      <c r="AM464" s="35" t="s">
        <v>66</v>
      </c>
      <c r="AN464" s="35"/>
      <c r="AO464" s="35"/>
      <c r="AP464" s="35"/>
      <c r="AQ464" s="37">
        <f t="shared" si="24"/>
        <v>0</v>
      </c>
      <c r="AR464" s="38">
        <f t="shared" si="25"/>
        <v>0</v>
      </c>
      <c r="AS464" s="39">
        <f t="shared" si="26"/>
        <v>0</v>
      </c>
      <c r="AT464" s="99"/>
      <c r="AU464" s="99" t="s">
        <v>1356</v>
      </c>
      <c r="AV464" s="99"/>
      <c r="AW464" s="100"/>
      <c r="AX464" s="99"/>
      <c r="AY464" s="101"/>
      <c r="AZ464" s="99"/>
      <c r="BA464" s="99" t="s">
        <v>1356</v>
      </c>
      <c r="BB464" s="99"/>
      <c r="BC464" s="101"/>
      <c r="BD464" s="99"/>
      <c r="BE464" s="101"/>
      <c r="BF464" s="99"/>
      <c r="BG464" s="99" t="s">
        <v>1356</v>
      </c>
      <c r="BH464" s="99"/>
      <c r="BI464" s="101"/>
      <c r="BJ464" s="99"/>
      <c r="BK464" s="101"/>
      <c r="BL464" s="99"/>
      <c r="BM464" s="99" t="s">
        <v>1356</v>
      </c>
      <c r="BN464" s="99"/>
      <c r="BO464" s="101"/>
      <c r="BP464" s="99"/>
      <c r="BQ464" s="101"/>
      <c r="BR464" s="99"/>
      <c r="BS464" s="99" t="s">
        <v>1356</v>
      </c>
      <c r="BT464" s="99"/>
      <c r="BU464" s="101"/>
      <c r="BV464" s="99"/>
      <c r="BW464" s="101"/>
      <c r="BX464" s="119"/>
      <c r="BY464" s="119" t="s">
        <v>1356</v>
      </c>
      <c r="BZ464" s="119"/>
      <c r="CA464" s="120"/>
      <c r="CB464" s="119"/>
      <c r="CC464" s="120"/>
      <c r="CD464" s="119"/>
      <c r="CE464" s="119" t="s">
        <v>1356</v>
      </c>
      <c r="CF464" s="119"/>
      <c r="CG464" s="120"/>
      <c r="CH464" s="119"/>
      <c r="CI464" s="120"/>
      <c r="CJ464" s="119"/>
      <c r="CK464" s="119" t="s">
        <v>1356</v>
      </c>
      <c r="CL464" s="119"/>
      <c r="CM464" s="120"/>
      <c r="CN464" s="119"/>
      <c r="CO464" s="120"/>
      <c r="CP464" s="119"/>
      <c r="CQ464" s="119" t="s">
        <v>1356</v>
      </c>
      <c r="CR464" s="119"/>
      <c r="CS464" s="120"/>
      <c r="CT464" s="119"/>
      <c r="CU464" s="120"/>
      <c r="CV464" s="119"/>
      <c r="CW464" s="119" t="s">
        <v>1356</v>
      </c>
      <c r="CX464" s="119"/>
      <c r="CY464" s="120"/>
      <c r="CZ464" s="119"/>
      <c r="DA464" s="120"/>
      <c r="DB464" s="36" t="s">
        <v>7085</v>
      </c>
      <c r="DC464" s="59" t="s">
        <v>6751</v>
      </c>
    </row>
    <row r="465" spans="1:107" s="40" customFormat="1" ht="14.55" customHeight="1" x14ac:dyDescent="0.3">
      <c r="A465" s="35" t="s">
        <v>4219</v>
      </c>
      <c r="B465" s="35" t="s">
        <v>4801</v>
      </c>
      <c r="C465" s="35" t="s">
        <v>4802</v>
      </c>
      <c r="D465" s="35" t="s">
        <v>4803</v>
      </c>
      <c r="E465" s="35" t="s">
        <v>4804</v>
      </c>
      <c r="F465" s="35" t="s">
        <v>108</v>
      </c>
      <c r="G465" s="35" t="s">
        <v>461</v>
      </c>
      <c r="H465" s="27" t="s">
        <v>6933</v>
      </c>
      <c r="I465" s="62">
        <v>1301</v>
      </c>
      <c r="J465" s="62">
        <v>130150</v>
      </c>
      <c r="K465" s="63">
        <v>4</v>
      </c>
      <c r="L465" s="35" t="s">
        <v>4805</v>
      </c>
      <c r="M465" s="35"/>
      <c r="N465" s="35" t="s">
        <v>4806</v>
      </c>
      <c r="O465" s="35" t="s">
        <v>4807</v>
      </c>
      <c r="P465" s="35"/>
      <c r="Q465" s="35" t="s">
        <v>4808</v>
      </c>
      <c r="R465" s="35" t="s">
        <v>113</v>
      </c>
      <c r="S465" s="35"/>
      <c r="T465" s="35"/>
      <c r="U465" s="35"/>
      <c r="V465" s="35"/>
      <c r="W465" s="35" t="s">
        <v>4809</v>
      </c>
      <c r="X465" s="35" t="s">
        <v>4810</v>
      </c>
      <c r="Y465" s="35" t="s">
        <v>4811</v>
      </c>
      <c r="Z465" s="35">
        <v>-80.49094623340352</v>
      </c>
      <c r="AA465" s="35">
        <v>-1.0730247244969431</v>
      </c>
      <c r="AB465" s="35">
        <v>130150039</v>
      </c>
      <c r="AC465" s="35">
        <v>130150039001</v>
      </c>
      <c r="AD465" s="35">
        <v>130150039001002</v>
      </c>
      <c r="AE465" s="63">
        <v>3</v>
      </c>
      <c r="AF465" s="63" t="s">
        <v>377</v>
      </c>
      <c r="AG465" s="29" t="s">
        <v>65</v>
      </c>
      <c r="AH465" s="75"/>
      <c r="AI465" s="65" t="s">
        <v>66</v>
      </c>
      <c r="AJ465" s="32" t="s">
        <v>6938</v>
      </c>
      <c r="AK465" s="33" t="s">
        <v>67</v>
      </c>
      <c r="AL465" s="34">
        <v>45562</v>
      </c>
      <c r="AM465" s="35" t="s">
        <v>66</v>
      </c>
      <c r="AN465" s="35"/>
      <c r="AO465" s="35"/>
      <c r="AP465" s="35"/>
      <c r="AQ465" s="37">
        <f t="shared" si="24"/>
        <v>0</v>
      </c>
      <c r="AR465" s="38">
        <f t="shared" si="25"/>
        <v>0</v>
      </c>
      <c r="AS465" s="39">
        <f t="shared" si="26"/>
        <v>0</v>
      </c>
      <c r="AT465" s="99"/>
      <c r="AU465" s="99" t="s">
        <v>1356</v>
      </c>
      <c r="AV465" s="99"/>
      <c r="AW465" s="100"/>
      <c r="AX465" s="99"/>
      <c r="AY465" s="101"/>
      <c r="AZ465" s="99"/>
      <c r="BA465" s="99" t="s">
        <v>1356</v>
      </c>
      <c r="BB465" s="99"/>
      <c r="BC465" s="101"/>
      <c r="BD465" s="99"/>
      <c r="BE465" s="101"/>
      <c r="BF465" s="99"/>
      <c r="BG465" s="99" t="s">
        <v>1356</v>
      </c>
      <c r="BH465" s="99"/>
      <c r="BI465" s="101"/>
      <c r="BJ465" s="99"/>
      <c r="BK465" s="101"/>
      <c r="BL465" s="99"/>
      <c r="BM465" s="99" t="s">
        <v>1356</v>
      </c>
      <c r="BN465" s="99"/>
      <c r="BO465" s="101"/>
      <c r="BP465" s="99"/>
      <c r="BQ465" s="101"/>
      <c r="BR465" s="99"/>
      <c r="BS465" s="99" t="s">
        <v>1356</v>
      </c>
      <c r="BT465" s="99"/>
      <c r="BU465" s="101"/>
      <c r="BV465" s="99"/>
      <c r="BW465" s="101"/>
      <c r="BX465" s="119"/>
      <c r="BY465" s="119" t="s">
        <v>1356</v>
      </c>
      <c r="BZ465" s="119"/>
      <c r="CA465" s="120"/>
      <c r="CB465" s="119"/>
      <c r="CC465" s="120"/>
      <c r="CD465" s="119"/>
      <c r="CE465" s="119" t="s">
        <v>1356</v>
      </c>
      <c r="CF465" s="119"/>
      <c r="CG465" s="120"/>
      <c r="CH465" s="119"/>
      <c r="CI465" s="120"/>
      <c r="CJ465" s="119"/>
      <c r="CK465" s="119" t="s">
        <v>1356</v>
      </c>
      <c r="CL465" s="119"/>
      <c r="CM465" s="120"/>
      <c r="CN465" s="119"/>
      <c r="CO465" s="120"/>
      <c r="CP465" s="119"/>
      <c r="CQ465" s="119" t="s">
        <v>1356</v>
      </c>
      <c r="CR465" s="119"/>
      <c r="CS465" s="120"/>
      <c r="CT465" s="119"/>
      <c r="CU465" s="120"/>
      <c r="CV465" s="119"/>
      <c r="CW465" s="119" t="s">
        <v>1356</v>
      </c>
      <c r="CX465" s="119"/>
      <c r="CY465" s="120"/>
      <c r="CZ465" s="119"/>
      <c r="DA465" s="120"/>
      <c r="DB465" s="36" t="s">
        <v>7085</v>
      </c>
      <c r="DC465" s="59" t="s">
        <v>105</v>
      </c>
    </row>
    <row r="466" spans="1:107" s="40" customFormat="1" x14ac:dyDescent="0.3">
      <c r="A466" s="35" t="s">
        <v>4219</v>
      </c>
      <c r="B466" s="35" t="s">
        <v>4812</v>
      </c>
      <c r="C466" s="35" t="s">
        <v>4813</v>
      </c>
      <c r="D466" s="35" t="s">
        <v>4814</v>
      </c>
      <c r="E466" s="35" t="s">
        <v>70</v>
      </c>
      <c r="F466" s="35" t="s">
        <v>1453</v>
      </c>
      <c r="G466" s="35" t="s">
        <v>4230</v>
      </c>
      <c r="H466" s="27" t="s">
        <v>6934</v>
      </c>
      <c r="I466" s="62">
        <v>2403</v>
      </c>
      <c r="J466" s="62">
        <v>240350</v>
      </c>
      <c r="K466" s="63">
        <v>4</v>
      </c>
      <c r="L466" s="35" t="s">
        <v>4815</v>
      </c>
      <c r="M466" s="35"/>
      <c r="N466" s="35"/>
      <c r="O466" s="35"/>
      <c r="P466" s="35"/>
      <c r="Q466" s="35"/>
      <c r="R466" s="35"/>
      <c r="S466" s="35"/>
      <c r="T466" s="35"/>
      <c r="U466" s="35" t="s">
        <v>4816</v>
      </c>
      <c r="V466" s="35"/>
      <c r="W466" s="35" t="s">
        <v>4817</v>
      </c>
      <c r="X466" s="35" t="s">
        <v>4818</v>
      </c>
      <c r="Y466" s="35" t="s">
        <v>4819</v>
      </c>
      <c r="Z466" s="35">
        <v>-80.930479000000005</v>
      </c>
      <c r="AA466" s="35">
        <v>-2.2444820000000001</v>
      </c>
      <c r="AB466" s="35"/>
      <c r="AC466" s="35"/>
      <c r="AD466" s="35"/>
      <c r="AE466" s="63">
        <v>3</v>
      </c>
      <c r="AF466" s="63" t="s">
        <v>377</v>
      </c>
      <c r="AG466" s="29" t="s">
        <v>65</v>
      </c>
      <c r="AH466" s="75"/>
      <c r="AI466" s="65" t="s">
        <v>66</v>
      </c>
      <c r="AJ466" s="32" t="s">
        <v>6938</v>
      </c>
      <c r="AK466" s="33" t="s">
        <v>67</v>
      </c>
      <c r="AL466" s="58">
        <v>45575</v>
      </c>
      <c r="AM466" s="35" t="s">
        <v>66</v>
      </c>
      <c r="AN466" s="35"/>
      <c r="AO466" s="35"/>
      <c r="AP466" s="35"/>
      <c r="AQ466" s="37">
        <f t="shared" si="24"/>
        <v>0</v>
      </c>
      <c r="AR466" s="38">
        <f t="shared" si="25"/>
        <v>0</v>
      </c>
      <c r="AS466" s="39">
        <f t="shared" si="26"/>
        <v>0</v>
      </c>
      <c r="AT466" s="99"/>
      <c r="AU466" s="99" t="s">
        <v>1356</v>
      </c>
      <c r="AV466" s="99"/>
      <c r="AW466" s="100"/>
      <c r="AX466" s="99"/>
      <c r="AY466" s="101"/>
      <c r="AZ466" s="99"/>
      <c r="BA466" s="99" t="s">
        <v>1356</v>
      </c>
      <c r="BB466" s="99"/>
      <c r="BC466" s="101"/>
      <c r="BD466" s="99"/>
      <c r="BE466" s="101"/>
      <c r="BF466" s="99"/>
      <c r="BG466" s="99" t="s">
        <v>1356</v>
      </c>
      <c r="BH466" s="99"/>
      <c r="BI466" s="101"/>
      <c r="BJ466" s="99"/>
      <c r="BK466" s="101"/>
      <c r="BL466" s="99"/>
      <c r="BM466" s="99" t="s">
        <v>1356</v>
      </c>
      <c r="BN466" s="99"/>
      <c r="BO466" s="101"/>
      <c r="BP466" s="99"/>
      <c r="BQ466" s="101"/>
      <c r="BR466" s="99"/>
      <c r="BS466" s="99" t="s">
        <v>1356</v>
      </c>
      <c r="BT466" s="99"/>
      <c r="BU466" s="101"/>
      <c r="BV466" s="99"/>
      <c r="BW466" s="101"/>
      <c r="BX466" s="119"/>
      <c r="BY466" s="119" t="s">
        <v>1356</v>
      </c>
      <c r="BZ466" s="119"/>
      <c r="CA466" s="120"/>
      <c r="CB466" s="119"/>
      <c r="CC466" s="120"/>
      <c r="CD466" s="119"/>
      <c r="CE466" s="119" t="s">
        <v>1356</v>
      </c>
      <c r="CF466" s="119"/>
      <c r="CG466" s="120"/>
      <c r="CH466" s="119"/>
      <c r="CI466" s="120"/>
      <c r="CJ466" s="119"/>
      <c r="CK466" s="119" t="s">
        <v>1356</v>
      </c>
      <c r="CL466" s="119"/>
      <c r="CM466" s="120"/>
      <c r="CN466" s="119"/>
      <c r="CO466" s="120"/>
      <c r="CP466" s="119"/>
      <c r="CQ466" s="119" t="s">
        <v>1356</v>
      </c>
      <c r="CR466" s="119"/>
      <c r="CS466" s="120"/>
      <c r="CT466" s="119"/>
      <c r="CU466" s="120"/>
      <c r="CV466" s="119"/>
      <c r="CW466" s="119" t="s">
        <v>1356</v>
      </c>
      <c r="CX466" s="119"/>
      <c r="CY466" s="120"/>
      <c r="CZ466" s="119"/>
      <c r="DA466" s="120"/>
      <c r="DB466" s="36" t="s">
        <v>7085</v>
      </c>
      <c r="DC466" s="59" t="s">
        <v>105</v>
      </c>
    </row>
    <row r="467" spans="1:107" s="40" customFormat="1" x14ac:dyDescent="0.3">
      <c r="A467" s="66" t="s">
        <v>3500</v>
      </c>
      <c r="B467" s="66" t="s">
        <v>3691</v>
      </c>
      <c r="C467" s="66" t="s">
        <v>3692</v>
      </c>
      <c r="D467" s="66" t="s">
        <v>1075</v>
      </c>
      <c r="E467" s="66" t="s">
        <v>1076</v>
      </c>
      <c r="F467" s="66" t="s">
        <v>233</v>
      </c>
      <c r="G467" s="68" t="s">
        <v>72</v>
      </c>
      <c r="H467" s="43" t="s">
        <v>251</v>
      </c>
      <c r="I467" s="68">
        <v>1701</v>
      </c>
      <c r="J467" s="68">
        <v>170150</v>
      </c>
      <c r="K467" s="69">
        <v>4</v>
      </c>
      <c r="L467" s="66" t="s">
        <v>1077</v>
      </c>
      <c r="M467" s="66" t="s">
        <v>1078</v>
      </c>
      <c r="N467" s="66" t="s">
        <v>1079</v>
      </c>
      <c r="O467" s="66"/>
      <c r="P467" s="66"/>
      <c r="Q467" s="66" t="s">
        <v>1080</v>
      </c>
      <c r="R467" s="66" t="s">
        <v>1081</v>
      </c>
      <c r="S467" s="66"/>
      <c r="T467" s="66"/>
      <c r="U467" s="66" t="s">
        <v>1082</v>
      </c>
      <c r="V467" s="66"/>
      <c r="W467" s="66" t="s">
        <v>1083</v>
      </c>
      <c r="X467" s="66" t="s">
        <v>1084</v>
      </c>
      <c r="Y467" s="66" t="s">
        <v>1085</v>
      </c>
      <c r="Z467" s="66"/>
      <c r="AA467" s="66"/>
      <c r="AB467" s="66">
        <v>170150172</v>
      </c>
      <c r="AC467" s="66">
        <v>170150172006</v>
      </c>
      <c r="AD467" s="66">
        <v>170150172006001</v>
      </c>
      <c r="AE467" s="69">
        <v>5</v>
      </c>
      <c r="AF467" s="69" t="s">
        <v>772</v>
      </c>
      <c r="AG467" s="46" t="s">
        <v>66</v>
      </c>
      <c r="AH467" s="70" t="s">
        <v>1086</v>
      </c>
      <c r="AI467" s="71" t="s">
        <v>66</v>
      </c>
      <c r="AJ467" s="49" t="s">
        <v>6938</v>
      </c>
      <c r="AK467" s="50" t="s">
        <v>67</v>
      </c>
      <c r="AL467" s="58">
        <v>45583</v>
      </c>
      <c r="AM467" s="52" t="s">
        <v>66</v>
      </c>
      <c r="AN467" s="52"/>
      <c r="AO467" s="52"/>
      <c r="AP467" s="52"/>
      <c r="AQ467" s="53">
        <f t="shared" si="24"/>
        <v>5</v>
      </c>
      <c r="AR467" s="54">
        <f t="shared" si="25"/>
        <v>0</v>
      </c>
      <c r="AS467" s="55">
        <f t="shared" si="26"/>
        <v>5</v>
      </c>
      <c r="AT467" s="102" t="s">
        <v>1087</v>
      </c>
      <c r="AU467" s="103" t="s">
        <v>1523</v>
      </c>
      <c r="AV467" s="104">
        <v>28.87</v>
      </c>
      <c r="AW467" s="105">
        <v>45583</v>
      </c>
      <c r="AX467" s="104">
        <v>33.35</v>
      </c>
      <c r="AY467" s="106">
        <v>45611</v>
      </c>
      <c r="AZ467" s="102" t="s">
        <v>1087</v>
      </c>
      <c r="BA467" s="103" t="s">
        <v>1523</v>
      </c>
      <c r="BB467" s="104">
        <v>26.52</v>
      </c>
      <c r="BC467" s="106">
        <v>45583</v>
      </c>
      <c r="BD467" s="104">
        <v>31.83</v>
      </c>
      <c r="BE467" s="106">
        <v>45611</v>
      </c>
      <c r="BF467" s="102" t="s">
        <v>1088</v>
      </c>
      <c r="BG467" s="103" t="s">
        <v>6714</v>
      </c>
      <c r="BH467" s="104">
        <v>3.04</v>
      </c>
      <c r="BI467" s="106">
        <v>45583</v>
      </c>
      <c r="BJ467" s="104">
        <v>2.52</v>
      </c>
      <c r="BK467" s="106">
        <v>45611</v>
      </c>
      <c r="BL467" s="102" t="s">
        <v>1088</v>
      </c>
      <c r="BM467" s="103" t="s">
        <v>6714</v>
      </c>
      <c r="BN467" s="104">
        <v>3.04</v>
      </c>
      <c r="BO467" s="106">
        <v>45583</v>
      </c>
      <c r="BP467" s="104">
        <v>2.52</v>
      </c>
      <c r="BQ467" s="106">
        <v>45611</v>
      </c>
      <c r="BR467" s="102" t="s">
        <v>1088</v>
      </c>
      <c r="BS467" s="103" t="s">
        <v>6714</v>
      </c>
      <c r="BT467" s="104">
        <v>3.04</v>
      </c>
      <c r="BU467" s="106">
        <v>45583</v>
      </c>
      <c r="BV467" s="104">
        <v>2.52</v>
      </c>
      <c r="BW467" s="106">
        <v>45611</v>
      </c>
      <c r="BX467" s="121"/>
      <c r="BY467" s="122" t="s">
        <v>1356</v>
      </c>
      <c r="BZ467" s="123"/>
      <c r="CA467" s="124"/>
      <c r="CB467" s="123"/>
      <c r="CC467" s="124"/>
      <c r="CD467" s="121"/>
      <c r="CE467" s="122" t="s">
        <v>1356</v>
      </c>
      <c r="CF467" s="123"/>
      <c r="CG467" s="124"/>
      <c r="CH467" s="123"/>
      <c r="CI467" s="124"/>
      <c r="CJ467" s="121"/>
      <c r="CK467" s="122" t="s">
        <v>1356</v>
      </c>
      <c r="CL467" s="123"/>
      <c r="CM467" s="124"/>
      <c r="CN467" s="123"/>
      <c r="CO467" s="124"/>
      <c r="CP467" s="121"/>
      <c r="CQ467" s="122" t="s">
        <v>1356</v>
      </c>
      <c r="CR467" s="123"/>
      <c r="CS467" s="124"/>
      <c r="CT467" s="123"/>
      <c r="CU467" s="124"/>
      <c r="CV467" s="121"/>
      <c r="CW467" s="122" t="s">
        <v>1356</v>
      </c>
      <c r="CX467" s="123"/>
      <c r="CY467" s="124"/>
      <c r="CZ467" s="123"/>
      <c r="DA467" s="124"/>
      <c r="DB467" s="52" t="s">
        <v>6962</v>
      </c>
      <c r="DC467" s="73" t="s">
        <v>105</v>
      </c>
    </row>
    <row r="468" spans="1:107" s="40" customFormat="1" x14ac:dyDescent="0.3">
      <c r="A468" s="35" t="s">
        <v>4219</v>
      </c>
      <c r="B468" s="35" t="s">
        <v>4830</v>
      </c>
      <c r="C468" s="35" t="s">
        <v>4831</v>
      </c>
      <c r="D468" s="35" t="s">
        <v>4832</v>
      </c>
      <c r="E468" s="35" t="s">
        <v>4832</v>
      </c>
      <c r="F468" s="35" t="s">
        <v>1453</v>
      </c>
      <c r="G468" s="35" t="s">
        <v>4230</v>
      </c>
      <c r="H468" s="27" t="s">
        <v>6934</v>
      </c>
      <c r="I468" s="62">
        <v>2403</v>
      </c>
      <c r="J468" s="62">
        <v>240350</v>
      </c>
      <c r="K468" s="63">
        <v>4</v>
      </c>
      <c r="L468" s="35" t="s">
        <v>4833</v>
      </c>
      <c r="M468" s="35"/>
      <c r="N468" s="35"/>
      <c r="O468" s="35"/>
      <c r="P468" s="35"/>
      <c r="Q468" s="35" t="s">
        <v>4834</v>
      </c>
      <c r="R468" s="35" t="s">
        <v>60</v>
      </c>
      <c r="S468" s="35"/>
      <c r="T468" s="35" t="s">
        <v>4835</v>
      </c>
      <c r="U468" s="35"/>
      <c r="V468" s="35"/>
      <c r="W468" s="35" t="s">
        <v>4836</v>
      </c>
      <c r="X468" s="35" t="s">
        <v>4818</v>
      </c>
      <c r="Y468" s="35" t="s">
        <v>4837</v>
      </c>
      <c r="Z468" s="35">
        <v>-80.964968204498291</v>
      </c>
      <c r="AA468" s="35">
        <v>-2.2251160504386629</v>
      </c>
      <c r="AB468" s="35">
        <v>240350999</v>
      </c>
      <c r="AC468" s="35">
        <v>240350999001</v>
      </c>
      <c r="AD468" s="35">
        <v>240350999001001</v>
      </c>
      <c r="AE468" s="63">
        <v>3</v>
      </c>
      <c r="AF468" s="63" t="s">
        <v>377</v>
      </c>
      <c r="AG468" s="29" t="s">
        <v>65</v>
      </c>
      <c r="AH468" s="75"/>
      <c r="AI468" s="65" t="s">
        <v>66</v>
      </c>
      <c r="AJ468" s="32" t="s">
        <v>6938</v>
      </c>
      <c r="AK468" s="33" t="s">
        <v>67</v>
      </c>
      <c r="AL468" s="58">
        <v>45575</v>
      </c>
      <c r="AM468" s="35" t="s">
        <v>66</v>
      </c>
      <c r="AN468" s="35"/>
      <c r="AO468" s="35"/>
      <c r="AP468" s="35"/>
      <c r="AQ468" s="37">
        <f t="shared" si="24"/>
        <v>0</v>
      </c>
      <c r="AR468" s="38">
        <f t="shared" si="25"/>
        <v>0</v>
      </c>
      <c r="AS468" s="39">
        <f t="shared" si="26"/>
        <v>0</v>
      </c>
      <c r="AT468" s="99"/>
      <c r="AU468" s="99" t="s">
        <v>1356</v>
      </c>
      <c r="AV468" s="99"/>
      <c r="AW468" s="100"/>
      <c r="AX468" s="99"/>
      <c r="AY468" s="101"/>
      <c r="AZ468" s="99"/>
      <c r="BA468" s="99" t="s">
        <v>1356</v>
      </c>
      <c r="BB468" s="99"/>
      <c r="BC468" s="101"/>
      <c r="BD468" s="99"/>
      <c r="BE468" s="101"/>
      <c r="BF468" s="99"/>
      <c r="BG468" s="99" t="s">
        <v>1356</v>
      </c>
      <c r="BH468" s="99"/>
      <c r="BI468" s="101"/>
      <c r="BJ468" s="99"/>
      <c r="BK468" s="101"/>
      <c r="BL468" s="99"/>
      <c r="BM468" s="99" t="s">
        <v>1356</v>
      </c>
      <c r="BN468" s="99"/>
      <c r="BO468" s="101"/>
      <c r="BP468" s="99"/>
      <c r="BQ468" s="101"/>
      <c r="BR468" s="99"/>
      <c r="BS468" s="99" t="s">
        <v>1356</v>
      </c>
      <c r="BT468" s="99"/>
      <c r="BU468" s="101"/>
      <c r="BV468" s="99"/>
      <c r="BW468" s="101"/>
      <c r="BX468" s="119"/>
      <c r="BY468" s="119" t="s">
        <v>1356</v>
      </c>
      <c r="BZ468" s="119"/>
      <c r="CA468" s="120"/>
      <c r="CB468" s="119"/>
      <c r="CC468" s="120"/>
      <c r="CD468" s="119"/>
      <c r="CE468" s="119" t="s">
        <v>1356</v>
      </c>
      <c r="CF468" s="119"/>
      <c r="CG468" s="120"/>
      <c r="CH468" s="119"/>
      <c r="CI468" s="120"/>
      <c r="CJ468" s="119"/>
      <c r="CK468" s="119" t="s">
        <v>1356</v>
      </c>
      <c r="CL468" s="119"/>
      <c r="CM468" s="120"/>
      <c r="CN468" s="119"/>
      <c r="CO468" s="120"/>
      <c r="CP468" s="119"/>
      <c r="CQ468" s="119" t="s">
        <v>1356</v>
      </c>
      <c r="CR468" s="119"/>
      <c r="CS468" s="120"/>
      <c r="CT468" s="119"/>
      <c r="CU468" s="120"/>
      <c r="CV468" s="119"/>
      <c r="CW468" s="119" t="s">
        <v>1356</v>
      </c>
      <c r="CX468" s="119"/>
      <c r="CY468" s="120"/>
      <c r="CZ468" s="119"/>
      <c r="DA468" s="120"/>
      <c r="DB468" s="36" t="s">
        <v>7085</v>
      </c>
      <c r="DC468" s="59" t="s">
        <v>105</v>
      </c>
    </row>
    <row r="469" spans="1:107" s="40" customFormat="1" ht="14.55" customHeight="1" x14ac:dyDescent="0.3">
      <c r="A469" s="35" t="s">
        <v>4219</v>
      </c>
      <c r="B469" s="35" t="s">
        <v>4838</v>
      </c>
      <c r="C469" s="35" t="s">
        <v>4839</v>
      </c>
      <c r="D469" s="35" t="s">
        <v>4840</v>
      </c>
      <c r="E469" s="35"/>
      <c r="F469" s="35" t="s">
        <v>142</v>
      </c>
      <c r="G469" s="35" t="s">
        <v>4237</v>
      </c>
      <c r="H469" s="27" t="s">
        <v>686</v>
      </c>
      <c r="I469" s="62">
        <v>901</v>
      </c>
      <c r="J469" s="62">
        <v>90150</v>
      </c>
      <c r="K469" s="63">
        <v>4</v>
      </c>
      <c r="L469" s="35" t="s">
        <v>4446</v>
      </c>
      <c r="M469" s="35" t="s">
        <v>258</v>
      </c>
      <c r="N469" s="35"/>
      <c r="O469" s="35" t="s">
        <v>933</v>
      </c>
      <c r="P469" s="35"/>
      <c r="Q469" s="35"/>
      <c r="R469" s="35"/>
      <c r="S469" s="35"/>
      <c r="T469" s="35"/>
      <c r="U469" s="35"/>
      <c r="V469" s="35"/>
      <c r="W469" s="35" t="s">
        <v>4841</v>
      </c>
      <c r="X469" s="35" t="s">
        <v>4842</v>
      </c>
      <c r="Y469" s="35" t="s">
        <v>4843</v>
      </c>
      <c r="Z469" s="35">
        <v>-79.929940000000002</v>
      </c>
      <c r="AA469" s="35">
        <v>-2.1318920000000001</v>
      </c>
      <c r="AB469" s="35">
        <v>90150375</v>
      </c>
      <c r="AC469" s="35">
        <v>90150375001</v>
      </c>
      <c r="AD469" s="35">
        <v>90150375001004</v>
      </c>
      <c r="AE469" s="63">
        <v>3</v>
      </c>
      <c r="AF469" s="63" t="s">
        <v>377</v>
      </c>
      <c r="AG469" s="29" t="s">
        <v>65</v>
      </c>
      <c r="AH469" s="75"/>
      <c r="AI469" s="65" t="s">
        <v>66</v>
      </c>
      <c r="AJ469" s="32" t="s">
        <v>6938</v>
      </c>
      <c r="AK469" s="33" t="s">
        <v>67</v>
      </c>
      <c r="AL469" s="58">
        <v>45575</v>
      </c>
      <c r="AM469" s="35" t="s">
        <v>66</v>
      </c>
      <c r="AN469" s="35"/>
      <c r="AO469" s="35"/>
      <c r="AP469" s="35"/>
      <c r="AQ469" s="37">
        <f t="shared" si="24"/>
        <v>0</v>
      </c>
      <c r="AR469" s="38">
        <f t="shared" si="25"/>
        <v>0</v>
      </c>
      <c r="AS469" s="39">
        <f t="shared" si="26"/>
        <v>0</v>
      </c>
      <c r="AT469" s="99"/>
      <c r="AU469" s="99" t="s">
        <v>1356</v>
      </c>
      <c r="AV469" s="99"/>
      <c r="AW469" s="100"/>
      <c r="AX469" s="99"/>
      <c r="AY469" s="101"/>
      <c r="AZ469" s="99"/>
      <c r="BA469" s="99" t="s">
        <v>1356</v>
      </c>
      <c r="BB469" s="99"/>
      <c r="BC469" s="101"/>
      <c r="BD469" s="99"/>
      <c r="BE469" s="101"/>
      <c r="BF469" s="99"/>
      <c r="BG469" s="99" t="s">
        <v>1356</v>
      </c>
      <c r="BH469" s="99"/>
      <c r="BI469" s="101"/>
      <c r="BJ469" s="99"/>
      <c r="BK469" s="101"/>
      <c r="BL469" s="99"/>
      <c r="BM469" s="99" t="s">
        <v>1356</v>
      </c>
      <c r="BN469" s="99"/>
      <c r="BO469" s="101"/>
      <c r="BP469" s="99"/>
      <c r="BQ469" s="101"/>
      <c r="BR469" s="99"/>
      <c r="BS469" s="99" t="s">
        <v>1356</v>
      </c>
      <c r="BT469" s="99"/>
      <c r="BU469" s="101"/>
      <c r="BV469" s="99"/>
      <c r="BW469" s="101"/>
      <c r="BX469" s="119"/>
      <c r="BY469" s="119" t="s">
        <v>1356</v>
      </c>
      <c r="BZ469" s="119"/>
      <c r="CA469" s="120"/>
      <c r="CB469" s="119"/>
      <c r="CC469" s="120"/>
      <c r="CD469" s="119"/>
      <c r="CE469" s="119" t="s">
        <v>1356</v>
      </c>
      <c r="CF469" s="119"/>
      <c r="CG469" s="120"/>
      <c r="CH469" s="119"/>
      <c r="CI469" s="120"/>
      <c r="CJ469" s="119"/>
      <c r="CK469" s="119" t="s">
        <v>1356</v>
      </c>
      <c r="CL469" s="119"/>
      <c r="CM469" s="120"/>
      <c r="CN469" s="119"/>
      <c r="CO469" s="120"/>
      <c r="CP469" s="119"/>
      <c r="CQ469" s="119" t="s">
        <v>1356</v>
      </c>
      <c r="CR469" s="119"/>
      <c r="CS469" s="120"/>
      <c r="CT469" s="119"/>
      <c r="CU469" s="120"/>
      <c r="CV469" s="119"/>
      <c r="CW469" s="119" t="s">
        <v>1356</v>
      </c>
      <c r="CX469" s="119"/>
      <c r="CY469" s="120"/>
      <c r="CZ469" s="119"/>
      <c r="DA469" s="120"/>
      <c r="DB469" s="36" t="s">
        <v>7085</v>
      </c>
      <c r="DC469" s="59" t="s">
        <v>105</v>
      </c>
    </row>
    <row r="470" spans="1:107" s="40" customFormat="1" ht="14.55" customHeight="1" x14ac:dyDescent="0.3">
      <c r="A470" s="35" t="s">
        <v>4219</v>
      </c>
      <c r="B470" s="35" t="s">
        <v>4844</v>
      </c>
      <c r="C470" s="35" t="s">
        <v>4845</v>
      </c>
      <c r="D470" s="35" t="s">
        <v>4846</v>
      </c>
      <c r="E470" s="35" t="s">
        <v>70</v>
      </c>
      <c r="F470" s="35" t="s">
        <v>142</v>
      </c>
      <c r="G470" s="35" t="s">
        <v>4237</v>
      </c>
      <c r="H470" s="27" t="s">
        <v>686</v>
      </c>
      <c r="I470" s="62">
        <v>901</v>
      </c>
      <c r="J470" s="62">
        <v>90150</v>
      </c>
      <c r="K470" s="63">
        <v>4</v>
      </c>
      <c r="L470" s="35" t="s">
        <v>4847</v>
      </c>
      <c r="M470" s="35" t="s">
        <v>4848</v>
      </c>
      <c r="N470" s="35" t="s">
        <v>4849</v>
      </c>
      <c r="O470" s="35"/>
      <c r="P470" s="35"/>
      <c r="Q470" s="35"/>
      <c r="R470" s="35"/>
      <c r="S470" s="35"/>
      <c r="T470" s="35" t="s">
        <v>4733</v>
      </c>
      <c r="U470" s="35"/>
      <c r="V470" s="35"/>
      <c r="W470" s="35" t="s">
        <v>4850</v>
      </c>
      <c r="X470" s="35" t="s">
        <v>4851</v>
      </c>
      <c r="Y470" s="35" t="s">
        <v>4852</v>
      </c>
      <c r="Z470" s="35"/>
      <c r="AA470" s="35"/>
      <c r="AB470" s="35"/>
      <c r="AC470" s="35"/>
      <c r="AD470" s="35"/>
      <c r="AE470" s="63">
        <v>3</v>
      </c>
      <c r="AF470" s="63" t="s">
        <v>377</v>
      </c>
      <c r="AG470" s="29" t="s">
        <v>65</v>
      </c>
      <c r="AH470" s="75"/>
      <c r="AI470" s="65" t="s">
        <v>66</v>
      </c>
      <c r="AJ470" s="32" t="s">
        <v>6938</v>
      </c>
      <c r="AK470" s="33" t="s">
        <v>67</v>
      </c>
      <c r="AL470" s="58">
        <v>45575</v>
      </c>
      <c r="AM470" s="35" t="s">
        <v>66</v>
      </c>
      <c r="AN470" s="35"/>
      <c r="AO470" s="35"/>
      <c r="AP470" s="35"/>
      <c r="AQ470" s="37">
        <f t="shared" si="24"/>
        <v>0</v>
      </c>
      <c r="AR470" s="38">
        <f t="shared" si="25"/>
        <v>0</v>
      </c>
      <c r="AS470" s="39">
        <f t="shared" si="26"/>
        <v>0</v>
      </c>
      <c r="AT470" s="99"/>
      <c r="AU470" s="99" t="s">
        <v>1356</v>
      </c>
      <c r="AV470" s="99"/>
      <c r="AW470" s="100"/>
      <c r="AX470" s="99"/>
      <c r="AY470" s="101"/>
      <c r="AZ470" s="99"/>
      <c r="BA470" s="99" t="s">
        <v>1356</v>
      </c>
      <c r="BB470" s="99"/>
      <c r="BC470" s="101"/>
      <c r="BD470" s="99"/>
      <c r="BE470" s="101"/>
      <c r="BF470" s="99"/>
      <c r="BG470" s="99" t="s">
        <v>1356</v>
      </c>
      <c r="BH470" s="99"/>
      <c r="BI470" s="101"/>
      <c r="BJ470" s="99"/>
      <c r="BK470" s="101"/>
      <c r="BL470" s="99"/>
      <c r="BM470" s="99" t="s">
        <v>1356</v>
      </c>
      <c r="BN470" s="99"/>
      <c r="BO470" s="101"/>
      <c r="BP470" s="99"/>
      <c r="BQ470" s="101"/>
      <c r="BR470" s="99"/>
      <c r="BS470" s="99" t="s">
        <v>1356</v>
      </c>
      <c r="BT470" s="99"/>
      <c r="BU470" s="101"/>
      <c r="BV470" s="99"/>
      <c r="BW470" s="101"/>
      <c r="BX470" s="119"/>
      <c r="BY470" s="119" t="s">
        <v>1356</v>
      </c>
      <c r="BZ470" s="119"/>
      <c r="CA470" s="120"/>
      <c r="CB470" s="119"/>
      <c r="CC470" s="120"/>
      <c r="CD470" s="119"/>
      <c r="CE470" s="119" t="s">
        <v>1356</v>
      </c>
      <c r="CF470" s="119"/>
      <c r="CG470" s="120"/>
      <c r="CH470" s="119"/>
      <c r="CI470" s="120"/>
      <c r="CJ470" s="119"/>
      <c r="CK470" s="119" t="s">
        <v>1356</v>
      </c>
      <c r="CL470" s="119"/>
      <c r="CM470" s="120"/>
      <c r="CN470" s="119"/>
      <c r="CO470" s="120"/>
      <c r="CP470" s="119"/>
      <c r="CQ470" s="119" t="s">
        <v>1356</v>
      </c>
      <c r="CR470" s="119"/>
      <c r="CS470" s="120"/>
      <c r="CT470" s="119"/>
      <c r="CU470" s="120"/>
      <c r="CV470" s="119"/>
      <c r="CW470" s="119" t="s">
        <v>1356</v>
      </c>
      <c r="CX470" s="119"/>
      <c r="CY470" s="120"/>
      <c r="CZ470" s="119"/>
      <c r="DA470" s="120"/>
      <c r="DB470" s="36" t="s">
        <v>7085</v>
      </c>
      <c r="DC470" s="59" t="s">
        <v>105</v>
      </c>
    </row>
    <row r="471" spans="1:107" s="40" customFormat="1" x14ac:dyDescent="0.3">
      <c r="A471" s="35" t="s">
        <v>4219</v>
      </c>
      <c r="B471" s="35" t="s">
        <v>4853</v>
      </c>
      <c r="C471" s="35" t="s">
        <v>4854</v>
      </c>
      <c r="D471" s="35" t="s">
        <v>4855</v>
      </c>
      <c r="E471" s="35" t="s">
        <v>4856</v>
      </c>
      <c r="F471" s="35" t="s">
        <v>169</v>
      </c>
      <c r="G471" s="35" t="s">
        <v>4237</v>
      </c>
      <c r="H471" s="27" t="s">
        <v>686</v>
      </c>
      <c r="I471" s="62">
        <v>901</v>
      </c>
      <c r="J471" s="62">
        <v>90150</v>
      </c>
      <c r="K471" s="63">
        <v>4</v>
      </c>
      <c r="L471" s="35" t="s">
        <v>4857</v>
      </c>
      <c r="M471" s="35" t="s">
        <v>4858</v>
      </c>
      <c r="N471" s="35" t="s">
        <v>4859</v>
      </c>
      <c r="O471" s="35"/>
      <c r="P471" s="35"/>
      <c r="Q471" s="35"/>
      <c r="R471" s="35"/>
      <c r="S471" s="35"/>
      <c r="T471" s="35"/>
      <c r="U471" s="35"/>
      <c r="V471" s="35"/>
      <c r="W471" s="35" t="s">
        <v>4860</v>
      </c>
      <c r="X471" s="35" t="s">
        <v>4861</v>
      </c>
      <c r="Y471" s="35" t="s">
        <v>4862</v>
      </c>
      <c r="Z471" s="35">
        <v>-79.885078871000005</v>
      </c>
      <c r="AA471" s="35">
        <v>-2.190476936</v>
      </c>
      <c r="AB471" s="35">
        <v>90150294</v>
      </c>
      <c r="AC471" s="35">
        <v>90150294008</v>
      </c>
      <c r="AD471" s="35">
        <v>90150294008001</v>
      </c>
      <c r="AE471" s="63">
        <v>3</v>
      </c>
      <c r="AF471" s="63" t="s">
        <v>377</v>
      </c>
      <c r="AG471" s="29" t="s">
        <v>65</v>
      </c>
      <c r="AH471" s="75"/>
      <c r="AI471" s="65" t="s">
        <v>66</v>
      </c>
      <c r="AJ471" s="32" t="s">
        <v>6938</v>
      </c>
      <c r="AK471" s="33" t="s">
        <v>67</v>
      </c>
      <c r="AL471" s="34">
        <v>45547</v>
      </c>
      <c r="AM471" s="35" t="s">
        <v>66</v>
      </c>
      <c r="AN471" s="35"/>
      <c r="AO471" s="35"/>
      <c r="AP471" s="35"/>
      <c r="AQ471" s="37">
        <f t="shared" si="24"/>
        <v>0</v>
      </c>
      <c r="AR471" s="38">
        <f t="shared" si="25"/>
        <v>0</v>
      </c>
      <c r="AS471" s="39">
        <f t="shared" si="26"/>
        <v>0</v>
      </c>
      <c r="AT471" s="99"/>
      <c r="AU471" s="99" t="s">
        <v>1356</v>
      </c>
      <c r="AV471" s="99"/>
      <c r="AW471" s="100"/>
      <c r="AX471" s="99"/>
      <c r="AY471" s="101"/>
      <c r="AZ471" s="99"/>
      <c r="BA471" s="99" t="s">
        <v>1356</v>
      </c>
      <c r="BB471" s="99"/>
      <c r="BC471" s="101"/>
      <c r="BD471" s="99"/>
      <c r="BE471" s="101"/>
      <c r="BF471" s="99"/>
      <c r="BG471" s="99" t="s">
        <v>1356</v>
      </c>
      <c r="BH471" s="99"/>
      <c r="BI471" s="101"/>
      <c r="BJ471" s="99"/>
      <c r="BK471" s="101"/>
      <c r="BL471" s="99"/>
      <c r="BM471" s="99" t="s">
        <v>1356</v>
      </c>
      <c r="BN471" s="99"/>
      <c r="BO471" s="101"/>
      <c r="BP471" s="99"/>
      <c r="BQ471" s="101"/>
      <c r="BR471" s="99"/>
      <c r="BS471" s="99" t="s">
        <v>1356</v>
      </c>
      <c r="BT471" s="99"/>
      <c r="BU471" s="101"/>
      <c r="BV471" s="99"/>
      <c r="BW471" s="101"/>
      <c r="BX471" s="119"/>
      <c r="BY471" s="119" t="s">
        <v>1356</v>
      </c>
      <c r="BZ471" s="119"/>
      <c r="CA471" s="120"/>
      <c r="CB471" s="119"/>
      <c r="CC471" s="120"/>
      <c r="CD471" s="119"/>
      <c r="CE471" s="119" t="s">
        <v>1356</v>
      </c>
      <c r="CF471" s="119"/>
      <c r="CG471" s="120"/>
      <c r="CH471" s="119"/>
      <c r="CI471" s="120"/>
      <c r="CJ471" s="119"/>
      <c r="CK471" s="119" t="s">
        <v>1356</v>
      </c>
      <c r="CL471" s="119"/>
      <c r="CM471" s="120"/>
      <c r="CN471" s="119"/>
      <c r="CO471" s="120"/>
      <c r="CP471" s="119"/>
      <c r="CQ471" s="119" t="s">
        <v>1356</v>
      </c>
      <c r="CR471" s="119"/>
      <c r="CS471" s="120"/>
      <c r="CT471" s="119"/>
      <c r="CU471" s="120"/>
      <c r="CV471" s="119"/>
      <c r="CW471" s="119" t="s">
        <v>1356</v>
      </c>
      <c r="CX471" s="119"/>
      <c r="CY471" s="120"/>
      <c r="CZ471" s="119"/>
      <c r="DA471" s="120"/>
      <c r="DB471" s="36" t="s">
        <v>7085</v>
      </c>
      <c r="DC471" s="59" t="s">
        <v>2935</v>
      </c>
    </row>
    <row r="472" spans="1:107" s="40" customFormat="1" x14ac:dyDescent="0.3">
      <c r="A472" s="66" t="s">
        <v>3500</v>
      </c>
      <c r="B472" s="66" t="s">
        <v>3693</v>
      </c>
      <c r="C472" s="66" t="s">
        <v>3694</v>
      </c>
      <c r="D472" s="66" t="s">
        <v>1089</v>
      </c>
      <c r="E472" s="66" t="s">
        <v>1090</v>
      </c>
      <c r="F472" s="66" t="s">
        <v>1091</v>
      </c>
      <c r="G472" s="68" t="s">
        <v>72</v>
      </c>
      <c r="H472" s="43" t="s">
        <v>251</v>
      </c>
      <c r="I472" s="68">
        <v>1701</v>
      </c>
      <c r="J472" s="68">
        <v>170156</v>
      </c>
      <c r="K472" s="69">
        <v>4</v>
      </c>
      <c r="L472" s="66" t="s">
        <v>1092</v>
      </c>
      <c r="M472" s="66" t="s">
        <v>1093</v>
      </c>
      <c r="N472" s="66" t="s">
        <v>1094</v>
      </c>
      <c r="O472" s="66"/>
      <c r="P472" s="66"/>
      <c r="Q472" s="66"/>
      <c r="R472" s="66" t="s">
        <v>60</v>
      </c>
      <c r="S472" s="66"/>
      <c r="T472" s="66"/>
      <c r="U472" s="66" t="s">
        <v>1095</v>
      </c>
      <c r="V472" s="66"/>
      <c r="W472" s="66" t="s">
        <v>1096</v>
      </c>
      <c r="X472" s="66" t="s">
        <v>1097</v>
      </c>
      <c r="Y472" s="66" t="s">
        <v>771</v>
      </c>
      <c r="Z472" s="66"/>
      <c r="AA472" s="66"/>
      <c r="AB472" s="66">
        <v>170156008</v>
      </c>
      <c r="AC472" s="66">
        <v>170156008006</v>
      </c>
      <c r="AD472" s="66">
        <v>170156008006007</v>
      </c>
      <c r="AE472" s="69">
        <v>5</v>
      </c>
      <c r="AF472" s="69" t="s">
        <v>772</v>
      </c>
      <c r="AG472" s="46" t="s">
        <v>66</v>
      </c>
      <c r="AH472" s="70" t="s">
        <v>1098</v>
      </c>
      <c r="AI472" s="71" t="s">
        <v>66</v>
      </c>
      <c r="AJ472" s="49" t="s">
        <v>6938</v>
      </c>
      <c r="AK472" s="50" t="s">
        <v>67</v>
      </c>
      <c r="AL472" s="58">
        <v>45583</v>
      </c>
      <c r="AM472" s="52" t="s">
        <v>66</v>
      </c>
      <c r="AN472" s="52"/>
      <c r="AO472" s="52"/>
      <c r="AP472" s="52"/>
      <c r="AQ472" s="53">
        <f t="shared" si="24"/>
        <v>3</v>
      </c>
      <c r="AR472" s="54">
        <f t="shared" si="25"/>
        <v>0</v>
      </c>
      <c r="AS472" s="55">
        <f t="shared" si="26"/>
        <v>3</v>
      </c>
      <c r="AT472" s="102" t="s">
        <v>1099</v>
      </c>
      <c r="AU472" s="103" t="s">
        <v>6715</v>
      </c>
      <c r="AV472" s="104">
        <v>1.57</v>
      </c>
      <c r="AW472" s="105">
        <v>45583</v>
      </c>
      <c r="AX472" s="104">
        <v>1.57</v>
      </c>
      <c r="AY472" s="106">
        <v>45611</v>
      </c>
      <c r="AZ472" s="102" t="s">
        <v>1099</v>
      </c>
      <c r="BA472" s="103" t="s">
        <v>6715</v>
      </c>
      <c r="BB472" s="104">
        <v>0.93</v>
      </c>
      <c r="BC472" s="106">
        <v>45583</v>
      </c>
      <c r="BD472" s="104">
        <v>0.93</v>
      </c>
      <c r="BE472" s="106">
        <v>45611</v>
      </c>
      <c r="BF472" s="102" t="s">
        <v>1100</v>
      </c>
      <c r="BG472" s="103" t="s">
        <v>6716</v>
      </c>
      <c r="BH472" s="104">
        <v>3.2</v>
      </c>
      <c r="BI472" s="106">
        <v>45583</v>
      </c>
      <c r="BJ472" s="104">
        <v>3.2</v>
      </c>
      <c r="BK472" s="106">
        <v>45611</v>
      </c>
      <c r="BL472" s="102"/>
      <c r="BM472" s="103" t="s">
        <v>1356</v>
      </c>
      <c r="BN472" s="104"/>
      <c r="BO472" s="106"/>
      <c r="BP472" s="104"/>
      <c r="BQ472" s="106"/>
      <c r="BR472" s="102"/>
      <c r="BS472" s="103" t="s">
        <v>1356</v>
      </c>
      <c r="BT472" s="104"/>
      <c r="BU472" s="106"/>
      <c r="BV472" s="104"/>
      <c r="BW472" s="106"/>
      <c r="BX472" s="121"/>
      <c r="BY472" s="122" t="s">
        <v>1356</v>
      </c>
      <c r="BZ472" s="123"/>
      <c r="CA472" s="124"/>
      <c r="CB472" s="123"/>
      <c r="CC472" s="124"/>
      <c r="CD472" s="121"/>
      <c r="CE472" s="122" t="s">
        <v>1356</v>
      </c>
      <c r="CF472" s="123"/>
      <c r="CG472" s="124"/>
      <c r="CH472" s="123"/>
      <c r="CI472" s="124"/>
      <c r="CJ472" s="121"/>
      <c r="CK472" s="122" t="s">
        <v>1356</v>
      </c>
      <c r="CL472" s="123"/>
      <c r="CM472" s="124"/>
      <c r="CN472" s="123"/>
      <c r="CO472" s="124"/>
      <c r="CP472" s="121"/>
      <c r="CQ472" s="122" t="s">
        <v>1356</v>
      </c>
      <c r="CR472" s="123"/>
      <c r="CS472" s="124"/>
      <c r="CT472" s="123"/>
      <c r="CU472" s="124"/>
      <c r="CV472" s="121"/>
      <c r="CW472" s="122" t="s">
        <v>1356</v>
      </c>
      <c r="CX472" s="123"/>
      <c r="CY472" s="124"/>
      <c r="CZ472" s="123"/>
      <c r="DA472" s="124"/>
      <c r="DB472" s="52" t="s">
        <v>6962</v>
      </c>
      <c r="DC472" s="73" t="s">
        <v>105</v>
      </c>
    </row>
    <row r="473" spans="1:107" s="40" customFormat="1" x14ac:dyDescent="0.3">
      <c r="A473" s="35" t="s">
        <v>4219</v>
      </c>
      <c r="B473" s="35" t="s">
        <v>4870</v>
      </c>
      <c r="C473" s="35" t="s">
        <v>4871</v>
      </c>
      <c r="D473" s="35" t="s">
        <v>4872</v>
      </c>
      <c r="E473" s="35" t="s">
        <v>4873</v>
      </c>
      <c r="F473" s="35" t="s">
        <v>190</v>
      </c>
      <c r="G473" s="35" t="s">
        <v>4484</v>
      </c>
      <c r="H473" s="27" t="s">
        <v>6936</v>
      </c>
      <c r="I473" s="62">
        <v>1207</v>
      </c>
      <c r="J473" s="62">
        <v>120750</v>
      </c>
      <c r="K473" s="63">
        <v>4</v>
      </c>
      <c r="L473" s="35" t="s">
        <v>4874</v>
      </c>
      <c r="M473" s="35" t="s">
        <v>258</v>
      </c>
      <c r="N473" s="35"/>
      <c r="O473" s="35" t="s">
        <v>4875</v>
      </c>
      <c r="P473" s="35"/>
      <c r="Q473" s="35"/>
      <c r="R473" s="35"/>
      <c r="S473" s="35"/>
      <c r="T473" s="35"/>
      <c r="U473" s="35"/>
      <c r="V473" s="35"/>
      <c r="W473" s="35" t="s">
        <v>4876</v>
      </c>
      <c r="X473" s="35"/>
      <c r="Y473" s="35" t="s">
        <v>4877</v>
      </c>
      <c r="Z473" s="35"/>
      <c r="AA473" s="35"/>
      <c r="AB473" s="35"/>
      <c r="AC473" s="35"/>
      <c r="AD473" s="35"/>
      <c r="AE473" s="63">
        <v>3</v>
      </c>
      <c r="AF473" s="63" t="s">
        <v>377</v>
      </c>
      <c r="AG473" s="29" t="s">
        <v>65</v>
      </c>
      <c r="AH473" s="75"/>
      <c r="AI473" s="65" t="s">
        <v>66</v>
      </c>
      <c r="AJ473" s="32" t="s">
        <v>6938</v>
      </c>
      <c r="AK473" s="33" t="s">
        <v>67</v>
      </c>
      <c r="AL473" s="58">
        <v>45575</v>
      </c>
      <c r="AM473" s="35" t="s">
        <v>66</v>
      </c>
      <c r="AN473" s="35"/>
      <c r="AO473" s="35"/>
      <c r="AP473" s="35"/>
      <c r="AQ473" s="37">
        <f t="shared" si="24"/>
        <v>0</v>
      </c>
      <c r="AR473" s="38">
        <f t="shared" si="25"/>
        <v>0</v>
      </c>
      <c r="AS473" s="39">
        <f t="shared" si="26"/>
        <v>0</v>
      </c>
      <c r="AT473" s="99"/>
      <c r="AU473" s="99" t="s">
        <v>1356</v>
      </c>
      <c r="AV473" s="99"/>
      <c r="AW473" s="100"/>
      <c r="AX473" s="99"/>
      <c r="AY473" s="101"/>
      <c r="AZ473" s="99"/>
      <c r="BA473" s="99" t="s">
        <v>1356</v>
      </c>
      <c r="BB473" s="99"/>
      <c r="BC473" s="101"/>
      <c r="BD473" s="99"/>
      <c r="BE473" s="101"/>
      <c r="BF473" s="99"/>
      <c r="BG473" s="99" t="s">
        <v>1356</v>
      </c>
      <c r="BH473" s="99"/>
      <c r="BI473" s="101"/>
      <c r="BJ473" s="99"/>
      <c r="BK473" s="101"/>
      <c r="BL473" s="99"/>
      <c r="BM473" s="99" t="s">
        <v>1356</v>
      </c>
      <c r="BN473" s="99"/>
      <c r="BO473" s="101"/>
      <c r="BP473" s="99"/>
      <c r="BQ473" s="101"/>
      <c r="BR473" s="99"/>
      <c r="BS473" s="99" t="s">
        <v>1356</v>
      </c>
      <c r="BT473" s="99"/>
      <c r="BU473" s="101"/>
      <c r="BV473" s="99"/>
      <c r="BW473" s="101"/>
      <c r="BX473" s="119"/>
      <c r="BY473" s="119" t="s">
        <v>1356</v>
      </c>
      <c r="BZ473" s="119"/>
      <c r="CA473" s="120"/>
      <c r="CB473" s="119"/>
      <c r="CC473" s="120"/>
      <c r="CD473" s="119"/>
      <c r="CE473" s="119" t="s">
        <v>1356</v>
      </c>
      <c r="CF473" s="119"/>
      <c r="CG473" s="120"/>
      <c r="CH473" s="119"/>
      <c r="CI473" s="120"/>
      <c r="CJ473" s="119"/>
      <c r="CK473" s="119" t="s">
        <v>1356</v>
      </c>
      <c r="CL473" s="119"/>
      <c r="CM473" s="120"/>
      <c r="CN473" s="119"/>
      <c r="CO473" s="120"/>
      <c r="CP473" s="119"/>
      <c r="CQ473" s="119" t="s">
        <v>1356</v>
      </c>
      <c r="CR473" s="119"/>
      <c r="CS473" s="120"/>
      <c r="CT473" s="119"/>
      <c r="CU473" s="120"/>
      <c r="CV473" s="119"/>
      <c r="CW473" s="119" t="s">
        <v>1356</v>
      </c>
      <c r="CX473" s="119"/>
      <c r="CY473" s="120"/>
      <c r="CZ473" s="119"/>
      <c r="DA473" s="120"/>
      <c r="DB473" s="36" t="s">
        <v>7085</v>
      </c>
      <c r="DC473" s="59" t="s">
        <v>6751</v>
      </c>
    </row>
    <row r="474" spans="1:107" s="40" customFormat="1" x14ac:dyDescent="0.3">
      <c r="A474" s="35" t="s">
        <v>4219</v>
      </c>
      <c r="B474" s="35" t="s">
        <v>4878</v>
      </c>
      <c r="C474" s="35" t="s">
        <v>4879</v>
      </c>
      <c r="D474" s="35" t="s">
        <v>4880</v>
      </c>
      <c r="E474" s="35" t="s">
        <v>4881</v>
      </c>
      <c r="F474" s="35" t="s">
        <v>190</v>
      </c>
      <c r="G474" s="35" t="s">
        <v>4329</v>
      </c>
      <c r="H474" s="27" t="s">
        <v>6935</v>
      </c>
      <c r="I474" s="62">
        <v>2301</v>
      </c>
      <c r="J474" s="62">
        <v>230150</v>
      </c>
      <c r="K474" s="63">
        <v>4</v>
      </c>
      <c r="L474" s="35" t="s">
        <v>4882</v>
      </c>
      <c r="M474" s="35"/>
      <c r="N474" s="35"/>
      <c r="O474" s="35" t="s">
        <v>4883</v>
      </c>
      <c r="P474" s="35"/>
      <c r="Q474" s="35"/>
      <c r="R474" s="35"/>
      <c r="S474" s="35"/>
      <c r="T474" s="35"/>
      <c r="U474" s="35" t="s">
        <v>251</v>
      </c>
      <c r="V474" s="35"/>
      <c r="W474" s="35" t="s">
        <v>4884</v>
      </c>
      <c r="X474" s="35" t="s">
        <v>4885</v>
      </c>
      <c r="Y474" s="35" t="s">
        <v>4886</v>
      </c>
      <c r="Z474" s="35">
        <v>-79.193099000000004</v>
      </c>
      <c r="AA474" s="35">
        <v>-0.28193699999999999</v>
      </c>
      <c r="AB474" s="35">
        <v>230150078</v>
      </c>
      <c r="AC474" s="35">
        <v>230150078010</v>
      </c>
      <c r="AD474" s="35">
        <v>230150078010013</v>
      </c>
      <c r="AE474" s="63">
        <v>3</v>
      </c>
      <c r="AF474" s="63" t="s">
        <v>377</v>
      </c>
      <c r="AG474" s="29" t="s">
        <v>65</v>
      </c>
      <c r="AH474" s="75"/>
      <c r="AI474" s="65" t="s">
        <v>66</v>
      </c>
      <c r="AJ474" s="32" t="s">
        <v>6938</v>
      </c>
      <c r="AK474" s="33" t="s">
        <v>67</v>
      </c>
      <c r="AL474" s="58">
        <v>45575</v>
      </c>
      <c r="AM474" s="35" t="s">
        <v>66</v>
      </c>
      <c r="AN474" s="35"/>
      <c r="AO474" s="35"/>
      <c r="AP474" s="35"/>
      <c r="AQ474" s="37">
        <f t="shared" si="24"/>
        <v>0</v>
      </c>
      <c r="AR474" s="38">
        <f t="shared" si="25"/>
        <v>0</v>
      </c>
      <c r="AS474" s="39">
        <f t="shared" si="26"/>
        <v>0</v>
      </c>
      <c r="AT474" s="99"/>
      <c r="AU474" s="99" t="s">
        <v>1356</v>
      </c>
      <c r="AV474" s="99"/>
      <c r="AW474" s="100"/>
      <c r="AX474" s="99"/>
      <c r="AY474" s="101"/>
      <c r="AZ474" s="99"/>
      <c r="BA474" s="99" t="s">
        <v>1356</v>
      </c>
      <c r="BB474" s="99"/>
      <c r="BC474" s="101"/>
      <c r="BD474" s="99"/>
      <c r="BE474" s="101"/>
      <c r="BF474" s="99"/>
      <c r="BG474" s="99" t="s">
        <v>1356</v>
      </c>
      <c r="BH474" s="99"/>
      <c r="BI474" s="101"/>
      <c r="BJ474" s="99"/>
      <c r="BK474" s="101"/>
      <c r="BL474" s="99"/>
      <c r="BM474" s="99" t="s">
        <v>1356</v>
      </c>
      <c r="BN474" s="99"/>
      <c r="BO474" s="101"/>
      <c r="BP474" s="99"/>
      <c r="BQ474" s="101"/>
      <c r="BR474" s="99"/>
      <c r="BS474" s="99" t="s">
        <v>1356</v>
      </c>
      <c r="BT474" s="99"/>
      <c r="BU474" s="101"/>
      <c r="BV474" s="99"/>
      <c r="BW474" s="101"/>
      <c r="BX474" s="119"/>
      <c r="BY474" s="119" t="s">
        <v>1356</v>
      </c>
      <c r="BZ474" s="119"/>
      <c r="CA474" s="120"/>
      <c r="CB474" s="119"/>
      <c r="CC474" s="120"/>
      <c r="CD474" s="119"/>
      <c r="CE474" s="119" t="s">
        <v>1356</v>
      </c>
      <c r="CF474" s="119"/>
      <c r="CG474" s="120"/>
      <c r="CH474" s="119"/>
      <c r="CI474" s="120"/>
      <c r="CJ474" s="119"/>
      <c r="CK474" s="119" t="s">
        <v>1356</v>
      </c>
      <c r="CL474" s="119"/>
      <c r="CM474" s="120"/>
      <c r="CN474" s="119"/>
      <c r="CO474" s="120"/>
      <c r="CP474" s="119"/>
      <c r="CQ474" s="119" t="s">
        <v>1356</v>
      </c>
      <c r="CR474" s="119"/>
      <c r="CS474" s="120"/>
      <c r="CT474" s="119"/>
      <c r="CU474" s="120"/>
      <c r="CV474" s="119"/>
      <c r="CW474" s="119" t="s">
        <v>1356</v>
      </c>
      <c r="CX474" s="119"/>
      <c r="CY474" s="120"/>
      <c r="CZ474" s="119"/>
      <c r="DA474" s="120"/>
      <c r="DB474" s="36" t="s">
        <v>7085</v>
      </c>
      <c r="DC474" s="59" t="s">
        <v>2935</v>
      </c>
    </row>
    <row r="475" spans="1:107" s="40" customFormat="1" x14ac:dyDescent="0.3">
      <c r="A475" s="35" t="s">
        <v>4219</v>
      </c>
      <c r="B475" s="35" t="s">
        <v>4887</v>
      </c>
      <c r="C475" s="35" t="s">
        <v>4888</v>
      </c>
      <c r="D475" s="35" t="s">
        <v>4889</v>
      </c>
      <c r="E475" s="35" t="s">
        <v>70</v>
      </c>
      <c r="F475" s="35" t="s">
        <v>210</v>
      </c>
      <c r="G475" s="35" t="s">
        <v>4237</v>
      </c>
      <c r="H475" s="27" t="s">
        <v>686</v>
      </c>
      <c r="I475" s="62">
        <v>901</v>
      </c>
      <c r="J475" s="62">
        <v>90150</v>
      </c>
      <c r="K475" s="63">
        <v>4</v>
      </c>
      <c r="L475" s="35" t="s">
        <v>1485</v>
      </c>
      <c r="M475" s="35" t="s">
        <v>810</v>
      </c>
      <c r="N475" s="35" t="s">
        <v>4890</v>
      </c>
      <c r="O475" s="35" t="s">
        <v>4891</v>
      </c>
      <c r="P475" s="35"/>
      <c r="Q475" s="35"/>
      <c r="R475" s="35"/>
      <c r="S475" s="35" t="s">
        <v>146</v>
      </c>
      <c r="T475" s="35"/>
      <c r="U475" s="35"/>
      <c r="V475" s="35"/>
      <c r="W475" s="35" t="s">
        <v>4892</v>
      </c>
      <c r="X475" s="35" t="s">
        <v>4893</v>
      </c>
      <c r="Y475" s="35" t="s">
        <v>4894</v>
      </c>
      <c r="Z475" s="35"/>
      <c r="AA475" s="35"/>
      <c r="AB475" s="35"/>
      <c r="AC475" s="35"/>
      <c r="AD475" s="35"/>
      <c r="AE475" s="63">
        <v>3</v>
      </c>
      <c r="AF475" s="63" t="s">
        <v>377</v>
      </c>
      <c r="AG475" s="29" t="s">
        <v>65</v>
      </c>
      <c r="AH475" s="75"/>
      <c r="AI475" s="65" t="s">
        <v>66</v>
      </c>
      <c r="AJ475" s="32" t="s">
        <v>6938</v>
      </c>
      <c r="AK475" s="33" t="s">
        <v>67</v>
      </c>
      <c r="AL475" s="58">
        <v>45575</v>
      </c>
      <c r="AM475" s="35" t="s">
        <v>66</v>
      </c>
      <c r="AN475" s="35"/>
      <c r="AO475" s="35"/>
      <c r="AP475" s="35"/>
      <c r="AQ475" s="37">
        <f t="shared" si="24"/>
        <v>0</v>
      </c>
      <c r="AR475" s="38">
        <f t="shared" si="25"/>
        <v>0</v>
      </c>
      <c r="AS475" s="39">
        <f t="shared" si="26"/>
        <v>0</v>
      </c>
      <c r="AT475" s="99"/>
      <c r="AU475" s="99" t="s">
        <v>1356</v>
      </c>
      <c r="AV475" s="99"/>
      <c r="AW475" s="100"/>
      <c r="AX475" s="99"/>
      <c r="AY475" s="101"/>
      <c r="AZ475" s="99"/>
      <c r="BA475" s="99" t="s">
        <v>1356</v>
      </c>
      <c r="BB475" s="99"/>
      <c r="BC475" s="101"/>
      <c r="BD475" s="99"/>
      <c r="BE475" s="101"/>
      <c r="BF475" s="99"/>
      <c r="BG475" s="99" t="s">
        <v>1356</v>
      </c>
      <c r="BH475" s="99"/>
      <c r="BI475" s="101"/>
      <c r="BJ475" s="99"/>
      <c r="BK475" s="101"/>
      <c r="BL475" s="99"/>
      <c r="BM475" s="99" t="s">
        <v>1356</v>
      </c>
      <c r="BN475" s="99"/>
      <c r="BO475" s="101"/>
      <c r="BP475" s="99"/>
      <c r="BQ475" s="101"/>
      <c r="BR475" s="99"/>
      <c r="BS475" s="99" t="s">
        <v>1356</v>
      </c>
      <c r="BT475" s="99"/>
      <c r="BU475" s="101"/>
      <c r="BV475" s="99"/>
      <c r="BW475" s="101"/>
      <c r="BX475" s="119"/>
      <c r="BY475" s="119" t="s">
        <v>1356</v>
      </c>
      <c r="BZ475" s="119"/>
      <c r="CA475" s="120"/>
      <c r="CB475" s="119"/>
      <c r="CC475" s="120"/>
      <c r="CD475" s="119"/>
      <c r="CE475" s="119" t="s">
        <v>1356</v>
      </c>
      <c r="CF475" s="119"/>
      <c r="CG475" s="120"/>
      <c r="CH475" s="119"/>
      <c r="CI475" s="120"/>
      <c r="CJ475" s="119"/>
      <c r="CK475" s="119" t="s">
        <v>1356</v>
      </c>
      <c r="CL475" s="119"/>
      <c r="CM475" s="120"/>
      <c r="CN475" s="119"/>
      <c r="CO475" s="120"/>
      <c r="CP475" s="119"/>
      <c r="CQ475" s="119" t="s">
        <v>1356</v>
      </c>
      <c r="CR475" s="119"/>
      <c r="CS475" s="120"/>
      <c r="CT475" s="119"/>
      <c r="CU475" s="120"/>
      <c r="CV475" s="119"/>
      <c r="CW475" s="119" t="s">
        <v>1356</v>
      </c>
      <c r="CX475" s="119"/>
      <c r="CY475" s="120"/>
      <c r="CZ475" s="119"/>
      <c r="DA475" s="120"/>
      <c r="DB475" s="36" t="s">
        <v>7085</v>
      </c>
      <c r="DC475" s="59" t="s">
        <v>2935</v>
      </c>
    </row>
    <row r="476" spans="1:107" s="40" customFormat="1" ht="14.55" customHeight="1" x14ac:dyDescent="0.3">
      <c r="A476" s="35" t="s">
        <v>4219</v>
      </c>
      <c r="B476" s="35" t="s">
        <v>4895</v>
      </c>
      <c r="C476" s="35" t="s">
        <v>4896</v>
      </c>
      <c r="D476" s="35" t="s">
        <v>4897</v>
      </c>
      <c r="E476" s="35" t="s">
        <v>4898</v>
      </c>
      <c r="F476" s="35" t="s">
        <v>210</v>
      </c>
      <c r="G476" s="35" t="s">
        <v>4237</v>
      </c>
      <c r="H476" s="27" t="s">
        <v>686</v>
      </c>
      <c r="I476" s="62">
        <v>901</v>
      </c>
      <c r="J476" s="62">
        <v>90150</v>
      </c>
      <c r="K476" s="63">
        <v>4</v>
      </c>
      <c r="L476" s="35" t="s">
        <v>4899</v>
      </c>
      <c r="M476" s="35"/>
      <c r="N476" s="35" t="s">
        <v>4900</v>
      </c>
      <c r="O476" s="35" t="s">
        <v>4901</v>
      </c>
      <c r="P476" s="35"/>
      <c r="Q476" s="35"/>
      <c r="R476" s="35"/>
      <c r="S476" s="35"/>
      <c r="T476" s="35"/>
      <c r="U476" s="35" t="s">
        <v>4902</v>
      </c>
      <c r="V476" s="35"/>
      <c r="W476" s="35" t="s">
        <v>4903</v>
      </c>
      <c r="X476" s="35" t="s">
        <v>4904</v>
      </c>
      <c r="Y476" s="35" t="s">
        <v>4905</v>
      </c>
      <c r="Z476" s="35">
        <v>-79.936008999999999</v>
      </c>
      <c r="AA476" s="35">
        <v>-2.1142430000000001</v>
      </c>
      <c r="AB476" s="35">
        <v>90150517</v>
      </c>
      <c r="AC476" s="35">
        <v>90150517007</v>
      </c>
      <c r="AD476" s="35">
        <v>90150517007014</v>
      </c>
      <c r="AE476" s="63">
        <v>3</v>
      </c>
      <c r="AF476" s="63" t="s">
        <v>377</v>
      </c>
      <c r="AG476" s="29" t="s">
        <v>65</v>
      </c>
      <c r="AH476" s="75"/>
      <c r="AI476" s="65" t="s">
        <v>65</v>
      </c>
      <c r="AJ476" s="32" t="s">
        <v>6938</v>
      </c>
      <c r="AK476" s="33" t="s">
        <v>92</v>
      </c>
      <c r="AL476" s="58">
        <v>45580</v>
      </c>
      <c r="AM476" s="35"/>
      <c r="AN476" s="35"/>
      <c r="AO476" s="35"/>
      <c r="AP476" s="35"/>
      <c r="AQ476" s="37">
        <f t="shared" si="24"/>
        <v>0</v>
      </c>
      <c r="AR476" s="38">
        <f t="shared" si="25"/>
        <v>0</v>
      </c>
      <c r="AS476" s="39">
        <f t="shared" si="26"/>
        <v>0</v>
      </c>
      <c r="AT476" s="99"/>
      <c r="AU476" s="99" t="s">
        <v>1356</v>
      </c>
      <c r="AV476" s="99"/>
      <c r="AW476" s="100"/>
      <c r="AX476" s="99"/>
      <c r="AY476" s="101"/>
      <c r="AZ476" s="99"/>
      <c r="BA476" s="99" t="s">
        <v>1356</v>
      </c>
      <c r="BB476" s="99"/>
      <c r="BC476" s="101"/>
      <c r="BD476" s="99"/>
      <c r="BE476" s="101"/>
      <c r="BF476" s="99"/>
      <c r="BG476" s="99" t="s">
        <v>1356</v>
      </c>
      <c r="BH476" s="99"/>
      <c r="BI476" s="101"/>
      <c r="BJ476" s="99"/>
      <c r="BK476" s="101"/>
      <c r="BL476" s="99"/>
      <c r="BM476" s="99" t="s">
        <v>1356</v>
      </c>
      <c r="BN476" s="99"/>
      <c r="BO476" s="101"/>
      <c r="BP476" s="99"/>
      <c r="BQ476" s="101"/>
      <c r="BR476" s="99"/>
      <c r="BS476" s="99" t="s">
        <v>1356</v>
      </c>
      <c r="BT476" s="99"/>
      <c r="BU476" s="101"/>
      <c r="BV476" s="99"/>
      <c r="BW476" s="101"/>
      <c r="BX476" s="119"/>
      <c r="BY476" s="119" t="s">
        <v>1356</v>
      </c>
      <c r="BZ476" s="119"/>
      <c r="CA476" s="120"/>
      <c r="CB476" s="119"/>
      <c r="CC476" s="120"/>
      <c r="CD476" s="119"/>
      <c r="CE476" s="119" t="s">
        <v>1356</v>
      </c>
      <c r="CF476" s="119"/>
      <c r="CG476" s="120"/>
      <c r="CH476" s="119"/>
      <c r="CI476" s="120"/>
      <c r="CJ476" s="119"/>
      <c r="CK476" s="119" t="s">
        <v>1356</v>
      </c>
      <c r="CL476" s="119"/>
      <c r="CM476" s="120"/>
      <c r="CN476" s="119"/>
      <c r="CO476" s="120"/>
      <c r="CP476" s="119"/>
      <c r="CQ476" s="119" t="s">
        <v>1356</v>
      </c>
      <c r="CR476" s="119"/>
      <c r="CS476" s="120"/>
      <c r="CT476" s="119"/>
      <c r="CU476" s="120"/>
      <c r="CV476" s="119"/>
      <c r="CW476" s="119" t="s">
        <v>1356</v>
      </c>
      <c r="CX476" s="119"/>
      <c r="CY476" s="120"/>
      <c r="CZ476" s="119"/>
      <c r="DA476" s="120"/>
      <c r="DB476" s="36" t="s">
        <v>7085</v>
      </c>
      <c r="DC476" s="59" t="s">
        <v>92</v>
      </c>
    </row>
    <row r="477" spans="1:107" s="40" customFormat="1" ht="14.55" customHeight="1" x14ac:dyDescent="0.3">
      <c r="A477" s="35" t="s">
        <v>4219</v>
      </c>
      <c r="B477" s="35" t="s">
        <v>4906</v>
      </c>
      <c r="C477" s="35" t="s">
        <v>4907</v>
      </c>
      <c r="D477" s="35" t="s">
        <v>4908</v>
      </c>
      <c r="E477" s="35"/>
      <c r="F477" s="35" t="s">
        <v>420</v>
      </c>
      <c r="G477" s="35" t="s">
        <v>4237</v>
      </c>
      <c r="H477" s="27" t="s">
        <v>686</v>
      </c>
      <c r="I477" s="62">
        <v>910</v>
      </c>
      <c r="J477" s="62">
        <v>91050</v>
      </c>
      <c r="K477" s="63">
        <v>4</v>
      </c>
      <c r="L477" s="35" t="s">
        <v>4909</v>
      </c>
      <c r="M477" s="35" t="s">
        <v>4910</v>
      </c>
      <c r="N477" s="35" t="s">
        <v>4911</v>
      </c>
      <c r="O477" s="35"/>
      <c r="P477" s="35"/>
      <c r="Q477" s="35"/>
      <c r="R477" s="35" t="s">
        <v>113</v>
      </c>
      <c r="S477" s="35"/>
      <c r="T477" s="35" t="s">
        <v>2689</v>
      </c>
      <c r="U477" s="35"/>
      <c r="V477" s="35"/>
      <c r="W477" s="35" t="s">
        <v>4912</v>
      </c>
      <c r="X477" s="35" t="s">
        <v>4913</v>
      </c>
      <c r="Y477" s="35" t="s">
        <v>4914</v>
      </c>
      <c r="Z477" s="35">
        <v>-79.605530083190388</v>
      </c>
      <c r="AA477" s="35">
        <v>-2.1354115331341719</v>
      </c>
      <c r="AB477" s="35">
        <v>91050028</v>
      </c>
      <c r="AC477" s="35">
        <v>91050028008</v>
      </c>
      <c r="AD477" s="35">
        <v>91050028008002</v>
      </c>
      <c r="AE477" s="63">
        <v>3</v>
      </c>
      <c r="AF477" s="63" t="s">
        <v>377</v>
      </c>
      <c r="AG477" s="29" t="s">
        <v>65</v>
      </c>
      <c r="AH477" s="75"/>
      <c r="AI477" s="65" t="s">
        <v>66</v>
      </c>
      <c r="AJ477" s="32" t="s">
        <v>6938</v>
      </c>
      <c r="AK477" s="33" t="s">
        <v>67</v>
      </c>
      <c r="AL477" s="58">
        <v>45580</v>
      </c>
      <c r="AM477" s="35" t="s">
        <v>66</v>
      </c>
      <c r="AN477" s="35"/>
      <c r="AO477" s="35"/>
      <c r="AP477" s="35"/>
      <c r="AQ477" s="37">
        <f t="shared" si="24"/>
        <v>0</v>
      </c>
      <c r="AR477" s="38">
        <f t="shared" si="25"/>
        <v>0</v>
      </c>
      <c r="AS477" s="39">
        <f t="shared" si="26"/>
        <v>0</v>
      </c>
      <c r="AT477" s="99"/>
      <c r="AU477" s="99" t="s">
        <v>1356</v>
      </c>
      <c r="AV477" s="99"/>
      <c r="AW477" s="100"/>
      <c r="AX477" s="99"/>
      <c r="AY477" s="101"/>
      <c r="AZ477" s="99"/>
      <c r="BA477" s="99" t="s">
        <v>1356</v>
      </c>
      <c r="BB477" s="99"/>
      <c r="BC477" s="101"/>
      <c r="BD477" s="99"/>
      <c r="BE477" s="101"/>
      <c r="BF477" s="99"/>
      <c r="BG477" s="99" t="s">
        <v>1356</v>
      </c>
      <c r="BH477" s="99"/>
      <c r="BI477" s="101"/>
      <c r="BJ477" s="99"/>
      <c r="BK477" s="101"/>
      <c r="BL477" s="99"/>
      <c r="BM477" s="99" t="s">
        <v>1356</v>
      </c>
      <c r="BN477" s="99"/>
      <c r="BO477" s="101"/>
      <c r="BP477" s="99"/>
      <c r="BQ477" s="101"/>
      <c r="BR477" s="99"/>
      <c r="BS477" s="99" t="s">
        <v>1356</v>
      </c>
      <c r="BT477" s="99"/>
      <c r="BU477" s="101"/>
      <c r="BV477" s="99"/>
      <c r="BW477" s="101"/>
      <c r="BX477" s="119"/>
      <c r="BY477" s="119" t="s">
        <v>1356</v>
      </c>
      <c r="BZ477" s="119"/>
      <c r="CA477" s="120"/>
      <c r="CB477" s="119"/>
      <c r="CC477" s="120"/>
      <c r="CD477" s="119"/>
      <c r="CE477" s="119" t="s">
        <v>1356</v>
      </c>
      <c r="CF477" s="119"/>
      <c r="CG477" s="120"/>
      <c r="CH477" s="119"/>
      <c r="CI477" s="120"/>
      <c r="CJ477" s="119"/>
      <c r="CK477" s="119" t="s">
        <v>1356</v>
      </c>
      <c r="CL477" s="119"/>
      <c r="CM477" s="120"/>
      <c r="CN477" s="119"/>
      <c r="CO477" s="120"/>
      <c r="CP477" s="119"/>
      <c r="CQ477" s="119" t="s">
        <v>1356</v>
      </c>
      <c r="CR477" s="119"/>
      <c r="CS477" s="120"/>
      <c r="CT477" s="119"/>
      <c r="CU477" s="120"/>
      <c r="CV477" s="119"/>
      <c r="CW477" s="119" t="s">
        <v>1356</v>
      </c>
      <c r="CX477" s="119"/>
      <c r="CY477" s="120"/>
      <c r="CZ477" s="119"/>
      <c r="DA477" s="120"/>
      <c r="DB477" s="36" t="s">
        <v>7085</v>
      </c>
      <c r="DC477" s="59" t="s">
        <v>105</v>
      </c>
    </row>
    <row r="478" spans="1:107" s="40" customFormat="1" x14ac:dyDescent="0.3">
      <c r="A478" s="35" t="s">
        <v>4219</v>
      </c>
      <c r="B478" s="35" t="s">
        <v>4915</v>
      </c>
      <c r="C478" s="35" t="s">
        <v>4916</v>
      </c>
      <c r="D478" s="35" t="s">
        <v>4917</v>
      </c>
      <c r="E478" s="35" t="s">
        <v>4918</v>
      </c>
      <c r="F478" s="35" t="s">
        <v>420</v>
      </c>
      <c r="G478" s="35" t="s">
        <v>4237</v>
      </c>
      <c r="H478" s="27" t="s">
        <v>686</v>
      </c>
      <c r="I478" s="62">
        <v>901</v>
      </c>
      <c r="J478" s="62">
        <v>90150</v>
      </c>
      <c r="K478" s="63">
        <v>4</v>
      </c>
      <c r="L478" s="35" t="s">
        <v>4919</v>
      </c>
      <c r="M478" s="35" t="s">
        <v>258</v>
      </c>
      <c r="N478" s="35" t="s">
        <v>4920</v>
      </c>
      <c r="O478" s="35"/>
      <c r="P478" s="35"/>
      <c r="Q478" s="35" t="s">
        <v>4239</v>
      </c>
      <c r="R478" s="35" t="s">
        <v>4921</v>
      </c>
      <c r="S478" s="35" t="s">
        <v>4922</v>
      </c>
      <c r="T478" s="35" t="s">
        <v>4923</v>
      </c>
      <c r="U478" s="35"/>
      <c r="V478" s="35"/>
      <c r="W478" s="35" t="s">
        <v>4243</v>
      </c>
      <c r="X478" s="35" t="s">
        <v>4924</v>
      </c>
      <c r="Y478" s="35" t="s">
        <v>4925</v>
      </c>
      <c r="Z478" s="35">
        <v>-79.882871210575104</v>
      </c>
      <c r="AA478" s="35">
        <v>-2.1454426966271201</v>
      </c>
      <c r="AB478" s="35">
        <v>90150319</v>
      </c>
      <c r="AC478" s="35">
        <v>90150319002</v>
      </c>
      <c r="AD478" s="35">
        <v>90150319002020</v>
      </c>
      <c r="AE478" s="63">
        <v>3</v>
      </c>
      <c r="AF478" s="63" t="s">
        <v>377</v>
      </c>
      <c r="AG478" s="29" t="s">
        <v>65</v>
      </c>
      <c r="AH478" s="75"/>
      <c r="AI478" s="65" t="s">
        <v>66</v>
      </c>
      <c r="AJ478" s="32" t="s">
        <v>6938</v>
      </c>
      <c r="AK478" s="33" t="s">
        <v>67</v>
      </c>
      <c r="AL478" s="58">
        <v>45580</v>
      </c>
      <c r="AM478" s="35" t="s">
        <v>66</v>
      </c>
      <c r="AN478" s="35"/>
      <c r="AO478" s="35"/>
      <c r="AP478" s="35"/>
      <c r="AQ478" s="37">
        <f t="shared" si="24"/>
        <v>0</v>
      </c>
      <c r="AR478" s="38">
        <f t="shared" si="25"/>
        <v>0</v>
      </c>
      <c r="AS478" s="39">
        <f t="shared" si="26"/>
        <v>0</v>
      </c>
      <c r="AT478" s="99"/>
      <c r="AU478" s="99" t="s">
        <v>1356</v>
      </c>
      <c r="AV478" s="99"/>
      <c r="AW478" s="100"/>
      <c r="AX478" s="99"/>
      <c r="AY478" s="101"/>
      <c r="AZ478" s="99"/>
      <c r="BA478" s="99" t="s">
        <v>1356</v>
      </c>
      <c r="BB478" s="99"/>
      <c r="BC478" s="101"/>
      <c r="BD478" s="99"/>
      <c r="BE478" s="101"/>
      <c r="BF478" s="99"/>
      <c r="BG478" s="99" t="s">
        <v>1356</v>
      </c>
      <c r="BH478" s="99"/>
      <c r="BI478" s="101"/>
      <c r="BJ478" s="99"/>
      <c r="BK478" s="101"/>
      <c r="BL478" s="99"/>
      <c r="BM478" s="99" t="s">
        <v>1356</v>
      </c>
      <c r="BN478" s="99"/>
      <c r="BO478" s="101"/>
      <c r="BP478" s="99"/>
      <c r="BQ478" s="101"/>
      <c r="BR478" s="99"/>
      <c r="BS478" s="99" t="s">
        <v>1356</v>
      </c>
      <c r="BT478" s="99"/>
      <c r="BU478" s="101"/>
      <c r="BV478" s="99"/>
      <c r="BW478" s="101"/>
      <c r="BX478" s="119"/>
      <c r="BY478" s="119" t="s">
        <v>1356</v>
      </c>
      <c r="BZ478" s="119"/>
      <c r="CA478" s="120"/>
      <c r="CB478" s="119"/>
      <c r="CC478" s="120"/>
      <c r="CD478" s="119"/>
      <c r="CE478" s="119" t="s">
        <v>1356</v>
      </c>
      <c r="CF478" s="119"/>
      <c r="CG478" s="120"/>
      <c r="CH478" s="119"/>
      <c r="CI478" s="120"/>
      <c r="CJ478" s="119"/>
      <c r="CK478" s="119" t="s">
        <v>1356</v>
      </c>
      <c r="CL478" s="119"/>
      <c r="CM478" s="120"/>
      <c r="CN478" s="119"/>
      <c r="CO478" s="120"/>
      <c r="CP478" s="119"/>
      <c r="CQ478" s="119" t="s">
        <v>1356</v>
      </c>
      <c r="CR478" s="119"/>
      <c r="CS478" s="120"/>
      <c r="CT478" s="119"/>
      <c r="CU478" s="120"/>
      <c r="CV478" s="119"/>
      <c r="CW478" s="119" t="s">
        <v>1356</v>
      </c>
      <c r="CX478" s="119"/>
      <c r="CY478" s="120"/>
      <c r="CZ478" s="119"/>
      <c r="DA478" s="120"/>
      <c r="DB478" s="36" t="s">
        <v>7085</v>
      </c>
      <c r="DC478" s="59" t="s">
        <v>2935</v>
      </c>
    </row>
    <row r="479" spans="1:107" s="40" customFormat="1" ht="14.55" customHeight="1" x14ac:dyDescent="0.3">
      <c r="A479" s="35" t="s">
        <v>4219</v>
      </c>
      <c r="B479" s="35" t="s">
        <v>4926</v>
      </c>
      <c r="C479" s="35" t="s">
        <v>4927</v>
      </c>
      <c r="D479" s="35" t="s">
        <v>4360</v>
      </c>
      <c r="E479" s="35" t="s">
        <v>4928</v>
      </c>
      <c r="F479" s="35" t="s">
        <v>220</v>
      </c>
      <c r="G479" s="35" t="s">
        <v>4237</v>
      </c>
      <c r="H479" s="27" t="s">
        <v>686</v>
      </c>
      <c r="I479" s="62">
        <v>925</v>
      </c>
      <c r="J479" s="62">
        <v>92550</v>
      </c>
      <c r="K479" s="63">
        <v>3</v>
      </c>
      <c r="L479" s="35" t="s">
        <v>4929</v>
      </c>
      <c r="M479" s="35" t="s">
        <v>4930</v>
      </c>
      <c r="N479" s="35" t="s">
        <v>4931</v>
      </c>
      <c r="O479" s="35"/>
      <c r="P479" s="35"/>
      <c r="Q479" s="35"/>
      <c r="R479" s="35"/>
      <c r="S479" s="35"/>
      <c r="T479" s="35"/>
      <c r="U479" s="35"/>
      <c r="V479" s="35"/>
      <c r="W479" s="35" t="s">
        <v>4932</v>
      </c>
      <c r="X479" s="35"/>
      <c r="Y479" s="35" t="s">
        <v>4933</v>
      </c>
      <c r="Z479" s="35"/>
      <c r="AA479" s="35"/>
      <c r="AB479" s="35"/>
      <c r="AC479" s="35"/>
      <c r="AD479" s="35"/>
      <c r="AE479" s="63">
        <v>3</v>
      </c>
      <c r="AF479" s="63" t="s">
        <v>377</v>
      </c>
      <c r="AG479" s="29" t="s">
        <v>65</v>
      </c>
      <c r="AH479" s="75"/>
      <c r="AI479" s="65" t="s">
        <v>65</v>
      </c>
      <c r="AJ479" s="32" t="s">
        <v>6938</v>
      </c>
      <c r="AK479" s="33" t="s">
        <v>92</v>
      </c>
      <c r="AL479" s="34">
        <v>45565</v>
      </c>
      <c r="AM479" s="35"/>
      <c r="AN479" s="35"/>
      <c r="AO479" s="35"/>
      <c r="AP479" s="35"/>
      <c r="AQ479" s="37">
        <f t="shared" si="24"/>
        <v>0</v>
      </c>
      <c r="AR479" s="38">
        <f t="shared" si="25"/>
        <v>0</v>
      </c>
      <c r="AS479" s="39">
        <f t="shared" si="26"/>
        <v>0</v>
      </c>
      <c r="AT479" s="99"/>
      <c r="AU479" s="99" t="s">
        <v>1356</v>
      </c>
      <c r="AV479" s="99"/>
      <c r="AW479" s="100"/>
      <c r="AX479" s="99"/>
      <c r="AY479" s="101"/>
      <c r="AZ479" s="99"/>
      <c r="BA479" s="99" t="s">
        <v>1356</v>
      </c>
      <c r="BB479" s="99"/>
      <c r="BC479" s="101"/>
      <c r="BD479" s="99"/>
      <c r="BE479" s="101"/>
      <c r="BF479" s="99"/>
      <c r="BG479" s="99" t="s">
        <v>1356</v>
      </c>
      <c r="BH479" s="99"/>
      <c r="BI479" s="101"/>
      <c r="BJ479" s="99"/>
      <c r="BK479" s="101"/>
      <c r="BL479" s="99"/>
      <c r="BM479" s="99" t="s">
        <v>1356</v>
      </c>
      <c r="BN479" s="99"/>
      <c r="BO479" s="101"/>
      <c r="BP479" s="99"/>
      <c r="BQ479" s="101"/>
      <c r="BR479" s="99"/>
      <c r="BS479" s="99" t="s">
        <v>1356</v>
      </c>
      <c r="BT479" s="99"/>
      <c r="BU479" s="101"/>
      <c r="BV479" s="99"/>
      <c r="BW479" s="101"/>
      <c r="BX479" s="119"/>
      <c r="BY479" s="119" t="s">
        <v>1356</v>
      </c>
      <c r="BZ479" s="119"/>
      <c r="CA479" s="120"/>
      <c r="CB479" s="119"/>
      <c r="CC479" s="120"/>
      <c r="CD479" s="119"/>
      <c r="CE479" s="119" t="s">
        <v>1356</v>
      </c>
      <c r="CF479" s="119"/>
      <c r="CG479" s="120"/>
      <c r="CH479" s="119"/>
      <c r="CI479" s="120"/>
      <c r="CJ479" s="119"/>
      <c r="CK479" s="119" t="s">
        <v>1356</v>
      </c>
      <c r="CL479" s="119"/>
      <c r="CM479" s="120"/>
      <c r="CN479" s="119"/>
      <c r="CO479" s="120"/>
      <c r="CP479" s="119"/>
      <c r="CQ479" s="119" t="s">
        <v>1356</v>
      </c>
      <c r="CR479" s="119"/>
      <c r="CS479" s="120"/>
      <c r="CT479" s="119"/>
      <c r="CU479" s="120"/>
      <c r="CV479" s="119"/>
      <c r="CW479" s="119" t="s">
        <v>1356</v>
      </c>
      <c r="CX479" s="119"/>
      <c r="CY479" s="120"/>
      <c r="CZ479" s="119"/>
      <c r="DA479" s="120"/>
      <c r="DB479" s="36" t="s">
        <v>7085</v>
      </c>
      <c r="DC479" s="59" t="s">
        <v>92</v>
      </c>
    </row>
    <row r="480" spans="1:107" s="40" customFormat="1" x14ac:dyDescent="0.3">
      <c r="A480" s="35" t="s">
        <v>4219</v>
      </c>
      <c r="B480" s="35" t="s">
        <v>4934</v>
      </c>
      <c r="C480" s="35" t="s">
        <v>4935</v>
      </c>
      <c r="D480" s="35" t="s">
        <v>4936</v>
      </c>
      <c r="E480" s="35" t="s">
        <v>4937</v>
      </c>
      <c r="F480" s="35" t="s">
        <v>220</v>
      </c>
      <c r="G480" s="35" t="s">
        <v>4237</v>
      </c>
      <c r="H480" s="27" t="s">
        <v>686</v>
      </c>
      <c r="I480" s="62">
        <v>901</v>
      </c>
      <c r="J480" s="62">
        <v>90150</v>
      </c>
      <c r="K480" s="63">
        <v>4</v>
      </c>
      <c r="L480" s="35" t="s">
        <v>4938</v>
      </c>
      <c r="M480" s="35" t="s">
        <v>228</v>
      </c>
      <c r="N480" s="35" t="s">
        <v>4939</v>
      </c>
      <c r="O480" s="35"/>
      <c r="P480" s="35"/>
      <c r="Q480" s="35"/>
      <c r="R480" s="35"/>
      <c r="S480" s="35"/>
      <c r="T480" s="35"/>
      <c r="U480" s="35" t="s">
        <v>4940</v>
      </c>
      <c r="V480" s="35"/>
      <c r="W480" s="35" t="s">
        <v>4941</v>
      </c>
      <c r="X480" s="35" t="s">
        <v>4942</v>
      </c>
      <c r="Y480" s="35" t="s">
        <v>4367</v>
      </c>
      <c r="Z480" s="35">
        <v>-79.941962000000004</v>
      </c>
      <c r="AA480" s="35">
        <v>-2.1096750000000002</v>
      </c>
      <c r="AB480" s="35">
        <v>90150517</v>
      </c>
      <c r="AC480" s="35">
        <v>90150517006</v>
      </c>
      <c r="AD480" s="35">
        <v>90150517006023</v>
      </c>
      <c r="AE480" s="63">
        <v>3</v>
      </c>
      <c r="AF480" s="63" t="s">
        <v>377</v>
      </c>
      <c r="AG480" s="29" t="s">
        <v>65</v>
      </c>
      <c r="AH480" s="75"/>
      <c r="AI480" s="65" t="s">
        <v>66</v>
      </c>
      <c r="AJ480" s="32" t="s">
        <v>6938</v>
      </c>
      <c r="AK480" s="33" t="s">
        <v>67</v>
      </c>
      <c r="AL480" s="58">
        <v>45580</v>
      </c>
      <c r="AM480" s="35" t="s">
        <v>66</v>
      </c>
      <c r="AN480" s="35"/>
      <c r="AO480" s="35"/>
      <c r="AP480" s="35"/>
      <c r="AQ480" s="37">
        <f t="shared" si="24"/>
        <v>0</v>
      </c>
      <c r="AR480" s="38">
        <f t="shared" si="25"/>
        <v>0</v>
      </c>
      <c r="AS480" s="39">
        <f t="shared" si="26"/>
        <v>0</v>
      </c>
      <c r="AT480" s="99"/>
      <c r="AU480" s="99" t="s">
        <v>1356</v>
      </c>
      <c r="AV480" s="99"/>
      <c r="AW480" s="100"/>
      <c r="AX480" s="99"/>
      <c r="AY480" s="101"/>
      <c r="AZ480" s="99"/>
      <c r="BA480" s="99" t="s">
        <v>1356</v>
      </c>
      <c r="BB480" s="99"/>
      <c r="BC480" s="101"/>
      <c r="BD480" s="99"/>
      <c r="BE480" s="101"/>
      <c r="BF480" s="99"/>
      <c r="BG480" s="99" t="s">
        <v>1356</v>
      </c>
      <c r="BH480" s="99"/>
      <c r="BI480" s="101"/>
      <c r="BJ480" s="99"/>
      <c r="BK480" s="101"/>
      <c r="BL480" s="99"/>
      <c r="BM480" s="99" t="s">
        <v>1356</v>
      </c>
      <c r="BN480" s="99"/>
      <c r="BO480" s="101"/>
      <c r="BP480" s="99"/>
      <c r="BQ480" s="101"/>
      <c r="BR480" s="99"/>
      <c r="BS480" s="99" t="s">
        <v>1356</v>
      </c>
      <c r="BT480" s="99"/>
      <c r="BU480" s="101"/>
      <c r="BV480" s="99"/>
      <c r="BW480" s="101"/>
      <c r="BX480" s="119"/>
      <c r="BY480" s="119" t="s">
        <v>1356</v>
      </c>
      <c r="BZ480" s="119"/>
      <c r="CA480" s="120"/>
      <c r="CB480" s="119"/>
      <c r="CC480" s="120"/>
      <c r="CD480" s="119"/>
      <c r="CE480" s="119" t="s">
        <v>1356</v>
      </c>
      <c r="CF480" s="119"/>
      <c r="CG480" s="120"/>
      <c r="CH480" s="119"/>
      <c r="CI480" s="120"/>
      <c r="CJ480" s="119"/>
      <c r="CK480" s="119" t="s">
        <v>1356</v>
      </c>
      <c r="CL480" s="119"/>
      <c r="CM480" s="120"/>
      <c r="CN480" s="119"/>
      <c r="CO480" s="120"/>
      <c r="CP480" s="119"/>
      <c r="CQ480" s="119" t="s">
        <v>1356</v>
      </c>
      <c r="CR480" s="119"/>
      <c r="CS480" s="120"/>
      <c r="CT480" s="119"/>
      <c r="CU480" s="120"/>
      <c r="CV480" s="119"/>
      <c r="CW480" s="119" t="s">
        <v>1356</v>
      </c>
      <c r="CX480" s="119"/>
      <c r="CY480" s="120"/>
      <c r="CZ480" s="119"/>
      <c r="DA480" s="120"/>
      <c r="DB480" s="36" t="s">
        <v>7085</v>
      </c>
      <c r="DC480" s="59" t="s">
        <v>2935</v>
      </c>
    </row>
    <row r="481" spans="1:107" s="40" customFormat="1" ht="14.55" customHeight="1" x14ac:dyDescent="0.3">
      <c r="A481" s="35" t="s">
        <v>4219</v>
      </c>
      <c r="B481" s="35" t="s">
        <v>4943</v>
      </c>
      <c r="C481" s="35" t="s">
        <v>4944</v>
      </c>
      <c r="D481" s="35" t="s">
        <v>4378</v>
      </c>
      <c r="E481" s="35" t="s">
        <v>70</v>
      </c>
      <c r="F481" s="35" t="s">
        <v>220</v>
      </c>
      <c r="G481" s="35" t="s">
        <v>4237</v>
      </c>
      <c r="H481" s="27" t="s">
        <v>686</v>
      </c>
      <c r="I481" s="62">
        <v>901</v>
      </c>
      <c r="J481" s="62">
        <v>90150</v>
      </c>
      <c r="K481" s="63">
        <v>2</v>
      </c>
      <c r="L481" s="35" t="s">
        <v>4483</v>
      </c>
      <c r="M481" s="35" t="s">
        <v>4945</v>
      </c>
      <c r="N481" s="35" t="s">
        <v>4946</v>
      </c>
      <c r="O481" s="35"/>
      <c r="P481" s="35"/>
      <c r="Q481" s="35"/>
      <c r="R481" s="35"/>
      <c r="S481" s="35"/>
      <c r="T481" s="35"/>
      <c r="U481" s="35"/>
      <c r="V481" s="35"/>
      <c r="W481" s="35" t="s">
        <v>4947</v>
      </c>
      <c r="X481" s="35"/>
      <c r="Y481" s="35"/>
      <c r="Z481" s="35"/>
      <c r="AA481" s="35"/>
      <c r="AB481" s="35"/>
      <c r="AC481" s="35"/>
      <c r="AD481" s="35"/>
      <c r="AE481" s="63">
        <v>3</v>
      </c>
      <c r="AF481" s="63" t="s">
        <v>377</v>
      </c>
      <c r="AG481" s="29" t="s">
        <v>65</v>
      </c>
      <c r="AH481" s="75"/>
      <c r="AI481" s="65" t="s">
        <v>65</v>
      </c>
      <c r="AJ481" s="32" t="s">
        <v>6938</v>
      </c>
      <c r="AK481" s="33" t="s">
        <v>92</v>
      </c>
      <c r="AL481" s="58">
        <v>45580</v>
      </c>
      <c r="AM481" s="35"/>
      <c r="AN481" s="35"/>
      <c r="AO481" s="35"/>
      <c r="AP481" s="35"/>
      <c r="AQ481" s="37">
        <f t="shared" si="24"/>
        <v>0</v>
      </c>
      <c r="AR481" s="38">
        <f t="shared" si="25"/>
        <v>0</v>
      </c>
      <c r="AS481" s="39">
        <f t="shared" si="26"/>
        <v>0</v>
      </c>
      <c r="AT481" s="99"/>
      <c r="AU481" s="99" t="s">
        <v>1356</v>
      </c>
      <c r="AV481" s="99"/>
      <c r="AW481" s="100"/>
      <c r="AX481" s="99"/>
      <c r="AY481" s="101"/>
      <c r="AZ481" s="99"/>
      <c r="BA481" s="99" t="s">
        <v>1356</v>
      </c>
      <c r="BB481" s="99"/>
      <c r="BC481" s="101"/>
      <c r="BD481" s="99"/>
      <c r="BE481" s="101"/>
      <c r="BF481" s="99"/>
      <c r="BG481" s="99" t="s">
        <v>1356</v>
      </c>
      <c r="BH481" s="99"/>
      <c r="BI481" s="101"/>
      <c r="BJ481" s="99"/>
      <c r="BK481" s="101"/>
      <c r="BL481" s="99"/>
      <c r="BM481" s="99" t="s">
        <v>1356</v>
      </c>
      <c r="BN481" s="99"/>
      <c r="BO481" s="101"/>
      <c r="BP481" s="99"/>
      <c r="BQ481" s="101"/>
      <c r="BR481" s="99"/>
      <c r="BS481" s="99" t="s">
        <v>1356</v>
      </c>
      <c r="BT481" s="99"/>
      <c r="BU481" s="101"/>
      <c r="BV481" s="99"/>
      <c r="BW481" s="101"/>
      <c r="BX481" s="119"/>
      <c r="BY481" s="119" t="s">
        <v>1356</v>
      </c>
      <c r="BZ481" s="119"/>
      <c r="CA481" s="120"/>
      <c r="CB481" s="119"/>
      <c r="CC481" s="120"/>
      <c r="CD481" s="119"/>
      <c r="CE481" s="119" t="s">
        <v>1356</v>
      </c>
      <c r="CF481" s="119"/>
      <c r="CG481" s="120"/>
      <c r="CH481" s="119"/>
      <c r="CI481" s="120"/>
      <c r="CJ481" s="119"/>
      <c r="CK481" s="119" t="s">
        <v>1356</v>
      </c>
      <c r="CL481" s="119"/>
      <c r="CM481" s="120"/>
      <c r="CN481" s="119"/>
      <c r="CO481" s="120"/>
      <c r="CP481" s="119"/>
      <c r="CQ481" s="119" t="s">
        <v>1356</v>
      </c>
      <c r="CR481" s="119"/>
      <c r="CS481" s="120"/>
      <c r="CT481" s="119"/>
      <c r="CU481" s="120"/>
      <c r="CV481" s="119"/>
      <c r="CW481" s="119" t="s">
        <v>1356</v>
      </c>
      <c r="CX481" s="119"/>
      <c r="CY481" s="120"/>
      <c r="CZ481" s="119"/>
      <c r="DA481" s="120"/>
      <c r="DB481" s="36" t="s">
        <v>7085</v>
      </c>
      <c r="DC481" s="59" t="s">
        <v>92</v>
      </c>
    </row>
    <row r="482" spans="1:107" s="40" customFormat="1" x14ac:dyDescent="0.3">
      <c r="A482" s="35" t="s">
        <v>4219</v>
      </c>
      <c r="B482" s="35" t="s">
        <v>4948</v>
      </c>
      <c r="C482" s="35" t="s">
        <v>4949</v>
      </c>
      <c r="D482" s="35" t="s">
        <v>4950</v>
      </c>
      <c r="E482" s="35" t="s">
        <v>4951</v>
      </c>
      <c r="F482" s="35" t="s">
        <v>651</v>
      </c>
      <c r="G482" s="35" t="s">
        <v>4237</v>
      </c>
      <c r="H482" s="27" t="s">
        <v>686</v>
      </c>
      <c r="I482" s="62">
        <v>901</v>
      </c>
      <c r="J482" s="62">
        <v>90150</v>
      </c>
      <c r="K482" s="63">
        <v>4</v>
      </c>
      <c r="L482" s="35" t="s">
        <v>4952</v>
      </c>
      <c r="M482" s="35" t="s">
        <v>258</v>
      </c>
      <c r="N482" s="35" t="s">
        <v>4953</v>
      </c>
      <c r="O482" s="35"/>
      <c r="P482" s="35"/>
      <c r="Q482" s="35" t="s">
        <v>4954</v>
      </c>
      <c r="R482" s="35" t="s">
        <v>4603</v>
      </c>
      <c r="S482" s="35"/>
      <c r="T482" s="35"/>
      <c r="U482" s="35" t="s">
        <v>4955</v>
      </c>
      <c r="V482" s="35"/>
      <c r="W482" s="35" t="s">
        <v>4956</v>
      </c>
      <c r="X482" s="35" t="s">
        <v>4957</v>
      </c>
      <c r="Y482" s="35" t="s">
        <v>4958</v>
      </c>
      <c r="Z482" s="35">
        <v>-79.939683079719543</v>
      </c>
      <c r="AA482" s="35">
        <v>-2.1157175623710929</v>
      </c>
      <c r="AB482" s="35">
        <v>90150517</v>
      </c>
      <c r="AC482" s="35">
        <v>90150517007</v>
      </c>
      <c r="AD482" s="35">
        <v>90150517007008</v>
      </c>
      <c r="AE482" s="63">
        <v>3</v>
      </c>
      <c r="AF482" s="63" t="s">
        <v>377</v>
      </c>
      <c r="AG482" s="29" t="s">
        <v>65</v>
      </c>
      <c r="AH482" s="75"/>
      <c r="AI482" s="65" t="s">
        <v>65</v>
      </c>
      <c r="AJ482" s="32" t="s">
        <v>6938</v>
      </c>
      <c r="AK482" s="33" t="s">
        <v>92</v>
      </c>
      <c r="AL482" s="58">
        <v>45580</v>
      </c>
      <c r="AM482" s="35"/>
      <c r="AN482" s="35"/>
      <c r="AO482" s="35"/>
      <c r="AP482" s="35"/>
      <c r="AQ482" s="37">
        <f t="shared" si="24"/>
        <v>0</v>
      </c>
      <c r="AR482" s="38">
        <f t="shared" si="25"/>
        <v>0</v>
      </c>
      <c r="AS482" s="39">
        <f t="shared" si="26"/>
        <v>0</v>
      </c>
      <c r="AT482" s="99"/>
      <c r="AU482" s="99" t="s">
        <v>1356</v>
      </c>
      <c r="AV482" s="99"/>
      <c r="AW482" s="100"/>
      <c r="AX482" s="99"/>
      <c r="AY482" s="101"/>
      <c r="AZ482" s="99"/>
      <c r="BA482" s="99" t="s">
        <v>1356</v>
      </c>
      <c r="BB482" s="99"/>
      <c r="BC482" s="101"/>
      <c r="BD482" s="99"/>
      <c r="BE482" s="101"/>
      <c r="BF482" s="99"/>
      <c r="BG482" s="99" t="s">
        <v>1356</v>
      </c>
      <c r="BH482" s="99"/>
      <c r="BI482" s="101"/>
      <c r="BJ482" s="99"/>
      <c r="BK482" s="101"/>
      <c r="BL482" s="99"/>
      <c r="BM482" s="99" t="s">
        <v>1356</v>
      </c>
      <c r="BN482" s="99"/>
      <c r="BO482" s="101"/>
      <c r="BP482" s="99"/>
      <c r="BQ482" s="101"/>
      <c r="BR482" s="99"/>
      <c r="BS482" s="99" t="s">
        <v>1356</v>
      </c>
      <c r="BT482" s="99"/>
      <c r="BU482" s="101"/>
      <c r="BV482" s="99"/>
      <c r="BW482" s="101"/>
      <c r="BX482" s="119"/>
      <c r="BY482" s="119" t="s">
        <v>1356</v>
      </c>
      <c r="BZ482" s="119"/>
      <c r="CA482" s="120"/>
      <c r="CB482" s="119"/>
      <c r="CC482" s="120"/>
      <c r="CD482" s="119"/>
      <c r="CE482" s="119" t="s">
        <v>1356</v>
      </c>
      <c r="CF482" s="119"/>
      <c r="CG482" s="120"/>
      <c r="CH482" s="119"/>
      <c r="CI482" s="120"/>
      <c r="CJ482" s="119"/>
      <c r="CK482" s="119" t="s">
        <v>1356</v>
      </c>
      <c r="CL482" s="119"/>
      <c r="CM482" s="120"/>
      <c r="CN482" s="119"/>
      <c r="CO482" s="120"/>
      <c r="CP482" s="119"/>
      <c r="CQ482" s="119" t="s">
        <v>1356</v>
      </c>
      <c r="CR482" s="119"/>
      <c r="CS482" s="120"/>
      <c r="CT482" s="119"/>
      <c r="CU482" s="120"/>
      <c r="CV482" s="119"/>
      <c r="CW482" s="119" t="s">
        <v>1356</v>
      </c>
      <c r="CX482" s="119"/>
      <c r="CY482" s="120"/>
      <c r="CZ482" s="119"/>
      <c r="DA482" s="120"/>
      <c r="DB482" s="36" t="s">
        <v>7085</v>
      </c>
      <c r="DC482" s="59" t="s">
        <v>92</v>
      </c>
    </row>
    <row r="483" spans="1:107" s="40" customFormat="1" x14ac:dyDescent="0.3">
      <c r="A483" s="66" t="s">
        <v>3500</v>
      </c>
      <c r="B483" s="66" t="s">
        <v>3695</v>
      </c>
      <c r="C483" s="66" t="s">
        <v>3696</v>
      </c>
      <c r="D483" s="66" t="s">
        <v>1101</v>
      </c>
      <c r="E483" s="66" t="s">
        <v>1102</v>
      </c>
      <c r="F483" s="66" t="s">
        <v>1103</v>
      </c>
      <c r="G483" s="68" t="s">
        <v>72</v>
      </c>
      <c r="H483" s="43" t="s">
        <v>251</v>
      </c>
      <c r="I483" s="68">
        <v>1701</v>
      </c>
      <c r="J483" s="68">
        <v>170150</v>
      </c>
      <c r="K483" s="69">
        <v>4</v>
      </c>
      <c r="L483" s="66" t="s">
        <v>531</v>
      </c>
      <c r="M483" s="66" t="s">
        <v>1104</v>
      </c>
      <c r="N483" s="66" t="s">
        <v>1105</v>
      </c>
      <c r="O483" s="66"/>
      <c r="P483" s="66"/>
      <c r="Q483" s="66"/>
      <c r="R483" s="66" t="s">
        <v>60</v>
      </c>
      <c r="S483" s="66"/>
      <c r="T483" s="66"/>
      <c r="U483" s="66" t="s">
        <v>1106</v>
      </c>
      <c r="V483" s="66"/>
      <c r="W483" s="66" t="s">
        <v>1107</v>
      </c>
      <c r="X483" s="66" t="s">
        <v>1108</v>
      </c>
      <c r="Y483" s="66" t="s">
        <v>1109</v>
      </c>
      <c r="Z483" s="66"/>
      <c r="AA483" s="66"/>
      <c r="AB483" s="66">
        <v>170150043</v>
      </c>
      <c r="AC483" s="66">
        <v>170150043010</v>
      </c>
      <c r="AD483" s="66">
        <v>170150043010001</v>
      </c>
      <c r="AE483" s="69">
        <v>5</v>
      </c>
      <c r="AF483" s="69" t="s">
        <v>772</v>
      </c>
      <c r="AG483" s="46" t="s">
        <v>66</v>
      </c>
      <c r="AH483" s="70" t="s">
        <v>1110</v>
      </c>
      <c r="AI483" s="71" t="s">
        <v>66</v>
      </c>
      <c r="AJ483" s="49" t="s">
        <v>6938</v>
      </c>
      <c r="AK483" s="50" t="s">
        <v>67</v>
      </c>
      <c r="AL483" s="58">
        <v>45583</v>
      </c>
      <c r="AM483" s="52" t="s">
        <v>66</v>
      </c>
      <c r="AN483" s="52"/>
      <c r="AO483" s="52"/>
      <c r="AP483" s="52"/>
      <c r="AQ483" s="53">
        <f t="shared" si="24"/>
        <v>4</v>
      </c>
      <c r="AR483" s="54">
        <f t="shared" si="25"/>
        <v>0</v>
      </c>
      <c r="AS483" s="55">
        <f t="shared" si="26"/>
        <v>4</v>
      </c>
      <c r="AT483" s="102" t="s">
        <v>1111</v>
      </c>
      <c r="AU483" s="103" t="s">
        <v>6717</v>
      </c>
      <c r="AV483" s="104">
        <v>38</v>
      </c>
      <c r="AW483" s="105">
        <v>45583</v>
      </c>
      <c r="AX483" s="104">
        <v>36.4</v>
      </c>
      <c r="AY483" s="106">
        <v>45611</v>
      </c>
      <c r="AZ483" s="102" t="s">
        <v>1112</v>
      </c>
      <c r="BA483" s="103" t="s">
        <v>6718</v>
      </c>
      <c r="BB483" s="104">
        <v>0.45</v>
      </c>
      <c r="BC483" s="106">
        <v>45583</v>
      </c>
      <c r="BD483" s="104">
        <v>0.53310000000000002</v>
      </c>
      <c r="BE483" s="106">
        <v>45611</v>
      </c>
      <c r="BF483" s="102" t="s">
        <v>1112</v>
      </c>
      <c r="BG483" s="103" t="s">
        <v>6718</v>
      </c>
      <c r="BH483" s="104">
        <v>31</v>
      </c>
      <c r="BI483" s="106">
        <v>45583</v>
      </c>
      <c r="BJ483" s="104">
        <v>30.15</v>
      </c>
      <c r="BK483" s="106">
        <v>45611</v>
      </c>
      <c r="BL483" s="102" t="s">
        <v>1112</v>
      </c>
      <c r="BM483" s="103" t="s">
        <v>6718</v>
      </c>
      <c r="BN483" s="104">
        <v>84</v>
      </c>
      <c r="BO483" s="106">
        <v>45583</v>
      </c>
      <c r="BP483" s="104">
        <v>69.67</v>
      </c>
      <c r="BQ483" s="106">
        <v>45611</v>
      </c>
      <c r="BR483" s="102"/>
      <c r="BS483" s="103" t="s">
        <v>1356</v>
      </c>
      <c r="BT483" s="104"/>
      <c r="BU483" s="106"/>
      <c r="BV483" s="104"/>
      <c r="BW483" s="106"/>
      <c r="BX483" s="121"/>
      <c r="BY483" s="122" t="s">
        <v>1356</v>
      </c>
      <c r="BZ483" s="123"/>
      <c r="CA483" s="124"/>
      <c r="CB483" s="123"/>
      <c r="CC483" s="124"/>
      <c r="CD483" s="121"/>
      <c r="CE483" s="122" t="s">
        <v>1356</v>
      </c>
      <c r="CF483" s="123"/>
      <c r="CG483" s="124"/>
      <c r="CH483" s="123"/>
      <c r="CI483" s="124"/>
      <c r="CJ483" s="121"/>
      <c r="CK483" s="122" t="s">
        <v>1356</v>
      </c>
      <c r="CL483" s="123"/>
      <c r="CM483" s="124"/>
      <c r="CN483" s="123"/>
      <c r="CO483" s="124"/>
      <c r="CP483" s="121"/>
      <c r="CQ483" s="122" t="s">
        <v>1356</v>
      </c>
      <c r="CR483" s="123"/>
      <c r="CS483" s="124"/>
      <c r="CT483" s="123"/>
      <c r="CU483" s="124"/>
      <c r="CV483" s="121"/>
      <c r="CW483" s="122" t="s">
        <v>1356</v>
      </c>
      <c r="CX483" s="123"/>
      <c r="CY483" s="124"/>
      <c r="CZ483" s="123"/>
      <c r="DA483" s="124"/>
      <c r="DB483" s="52" t="s">
        <v>6962</v>
      </c>
      <c r="DC483" s="73" t="s">
        <v>105</v>
      </c>
    </row>
    <row r="484" spans="1:107" s="40" customFormat="1" ht="14.55" customHeight="1" x14ac:dyDescent="0.3">
      <c r="A484" s="35" t="s">
        <v>4219</v>
      </c>
      <c r="B484" s="35" t="s">
        <v>4970</v>
      </c>
      <c r="C484" s="35" t="s">
        <v>4971</v>
      </c>
      <c r="D484" s="35" t="s">
        <v>4972</v>
      </c>
      <c r="E484" s="35" t="s">
        <v>4973</v>
      </c>
      <c r="F484" s="35" t="s">
        <v>439</v>
      </c>
      <c r="G484" s="35" t="s">
        <v>4237</v>
      </c>
      <c r="H484" s="27" t="s">
        <v>686</v>
      </c>
      <c r="I484" s="62">
        <v>901</v>
      </c>
      <c r="J484" s="62">
        <v>90150</v>
      </c>
      <c r="K484" s="63">
        <v>4</v>
      </c>
      <c r="L484" s="35" t="s">
        <v>4974</v>
      </c>
      <c r="M484" s="35"/>
      <c r="N484" s="35"/>
      <c r="O484" s="35" t="s">
        <v>4975</v>
      </c>
      <c r="P484" s="35"/>
      <c r="Q484" s="35"/>
      <c r="R484" s="35"/>
      <c r="S484" s="35"/>
      <c r="T484" s="35" t="s">
        <v>4976</v>
      </c>
      <c r="U484" s="35"/>
      <c r="V484" s="35"/>
      <c r="W484" s="35"/>
      <c r="X484" s="35" t="s">
        <v>4977</v>
      </c>
      <c r="Y484" s="35" t="s">
        <v>4978</v>
      </c>
      <c r="Z484" s="35">
        <v>-79.931859000000003</v>
      </c>
      <c r="AA484" s="35">
        <v>-2.1241620000000001</v>
      </c>
      <c r="AB484" s="35">
        <v>90150401</v>
      </c>
      <c r="AC484" s="35">
        <v>90150401007</v>
      </c>
      <c r="AD484" s="35">
        <v>90150401007001</v>
      </c>
      <c r="AE484" s="63">
        <v>3</v>
      </c>
      <c r="AF484" s="63" t="s">
        <v>377</v>
      </c>
      <c r="AG484" s="29" t="s">
        <v>65</v>
      </c>
      <c r="AH484" s="75"/>
      <c r="AI484" s="65" t="s">
        <v>65</v>
      </c>
      <c r="AJ484" s="32" t="s">
        <v>6938</v>
      </c>
      <c r="AK484" s="33" t="s">
        <v>92</v>
      </c>
      <c r="AL484" s="58">
        <v>45580</v>
      </c>
      <c r="AM484" s="35"/>
      <c r="AN484" s="35"/>
      <c r="AO484" s="35"/>
      <c r="AP484" s="35"/>
      <c r="AQ484" s="37">
        <f t="shared" si="24"/>
        <v>0</v>
      </c>
      <c r="AR484" s="38">
        <f t="shared" si="25"/>
        <v>0</v>
      </c>
      <c r="AS484" s="39">
        <f t="shared" si="26"/>
        <v>0</v>
      </c>
      <c r="AT484" s="99"/>
      <c r="AU484" s="99" t="s">
        <v>1356</v>
      </c>
      <c r="AV484" s="99"/>
      <c r="AW484" s="100"/>
      <c r="AX484" s="99"/>
      <c r="AY484" s="101"/>
      <c r="AZ484" s="99"/>
      <c r="BA484" s="99" t="s">
        <v>1356</v>
      </c>
      <c r="BB484" s="99"/>
      <c r="BC484" s="101"/>
      <c r="BD484" s="99"/>
      <c r="BE484" s="101"/>
      <c r="BF484" s="99"/>
      <c r="BG484" s="99" t="s">
        <v>1356</v>
      </c>
      <c r="BH484" s="99"/>
      <c r="BI484" s="101"/>
      <c r="BJ484" s="99"/>
      <c r="BK484" s="101"/>
      <c r="BL484" s="99"/>
      <c r="BM484" s="99" t="s">
        <v>1356</v>
      </c>
      <c r="BN484" s="99"/>
      <c r="BO484" s="101"/>
      <c r="BP484" s="99"/>
      <c r="BQ484" s="101"/>
      <c r="BR484" s="99"/>
      <c r="BS484" s="99" t="s">
        <v>1356</v>
      </c>
      <c r="BT484" s="99"/>
      <c r="BU484" s="101"/>
      <c r="BV484" s="99"/>
      <c r="BW484" s="101"/>
      <c r="BX484" s="119"/>
      <c r="BY484" s="119" t="s">
        <v>1356</v>
      </c>
      <c r="BZ484" s="119"/>
      <c r="CA484" s="120"/>
      <c r="CB484" s="119"/>
      <c r="CC484" s="120"/>
      <c r="CD484" s="119"/>
      <c r="CE484" s="119" t="s">
        <v>1356</v>
      </c>
      <c r="CF484" s="119"/>
      <c r="CG484" s="120"/>
      <c r="CH484" s="119"/>
      <c r="CI484" s="120"/>
      <c r="CJ484" s="119"/>
      <c r="CK484" s="119" t="s">
        <v>1356</v>
      </c>
      <c r="CL484" s="119"/>
      <c r="CM484" s="120"/>
      <c r="CN484" s="119"/>
      <c r="CO484" s="120"/>
      <c r="CP484" s="119"/>
      <c r="CQ484" s="119" t="s">
        <v>1356</v>
      </c>
      <c r="CR484" s="119"/>
      <c r="CS484" s="120"/>
      <c r="CT484" s="119"/>
      <c r="CU484" s="120"/>
      <c r="CV484" s="119"/>
      <c r="CW484" s="119" t="s">
        <v>1356</v>
      </c>
      <c r="CX484" s="119"/>
      <c r="CY484" s="120"/>
      <c r="CZ484" s="119"/>
      <c r="DA484" s="120"/>
      <c r="DB484" s="36" t="s">
        <v>7085</v>
      </c>
      <c r="DC484" s="59" t="s">
        <v>92</v>
      </c>
    </row>
    <row r="485" spans="1:107" s="40" customFormat="1" ht="14.55" customHeight="1" x14ac:dyDescent="0.3">
      <c r="A485" s="66" t="s">
        <v>3500</v>
      </c>
      <c r="B485" s="66" t="s">
        <v>3697</v>
      </c>
      <c r="C485" s="66" t="s">
        <v>3698</v>
      </c>
      <c r="D485" s="66" t="s">
        <v>1113</v>
      </c>
      <c r="E485" s="66" t="s">
        <v>1114</v>
      </c>
      <c r="F485" s="66" t="s">
        <v>1115</v>
      </c>
      <c r="G485" s="68" t="s">
        <v>72</v>
      </c>
      <c r="H485" s="43" t="s">
        <v>251</v>
      </c>
      <c r="I485" s="68">
        <v>1701</v>
      </c>
      <c r="J485" s="68">
        <v>170150</v>
      </c>
      <c r="K485" s="69">
        <v>4</v>
      </c>
      <c r="L485" s="66" t="s">
        <v>1116</v>
      </c>
      <c r="M485" s="66" t="s">
        <v>1117</v>
      </c>
      <c r="N485" s="66" t="s">
        <v>464</v>
      </c>
      <c r="O485" s="66"/>
      <c r="P485" s="66"/>
      <c r="Q485" s="66"/>
      <c r="R485" s="66" t="s">
        <v>60</v>
      </c>
      <c r="S485" s="66"/>
      <c r="T485" s="66"/>
      <c r="U485" s="66"/>
      <c r="V485" s="66"/>
      <c r="W485" s="66" t="s">
        <v>1118</v>
      </c>
      <c r="X485" s="66" t="s">
        <v>1119</v>
      </c>
      <c r="Y485" s="66" t="s">
        <v>1120</v>
      </c>
      <c r="Z485" s="66"/>
      <c r="AA485" s="66"/>
      <c r="AB485" s="66">
        <v>170150366</v>
      </c>
      <c r="AC485" s="66">
        <v>170150366002</v>
      </c>
      <c r="AD485" s="66">
        <v>170150366002001</v>
      </c>
      <c r="AE485" s="69">
        <v>5</v>
      </c>
      <c r="AF485" s="69" t="s">
        <v>772</v>
      </c>
      <c r="AG485" s="46" t="s">
        <v>66</v>
      </c>
      <c r="AH485" s="70" t="s">
        <v>1121</v>
      </c>
      <c r="AI485" s="71" t="s">
        <v>66</v>
      </c>
      <c r="AJ485" s="49" t="s">
        <v>6938</v>
      </c>
      <c r="AK485" s="50" t="s">
        <v>67</v>
      </c>
      <c r="AL485" s="58">
        <v>45583</v>
      </c>
      <c r="AM485" s="52" t="s">
        <v>66</v>
      </c>
      <c r="AN485" s="52"/>
      <c r="AO485" s="52"/>
      <c r="AP485" s="52"/>
      <c r="AQ485" s="53">
        <f t="shared" si="24"/>
        <v>5</v>
      </c>
      <c r="AR485" s="54">
        <f t="shared" si="25"/>
        <v>0</v>
      </c>
      <c r="AS485" s="55">
        <f t="shared" si="26"/>
        <v>5</v>
      </c>
      <c r="AT485" s="102" t="s">
        <v>1122</v>
      </c>
      <c r="AU485" s="103" t="s">
        <v>6719</v>
      </c>
      <c r="AV485" s="104">
        <v>37.44</v>
      </c>
      <c r="AW485" s="105">
        <v>45583</v>
      </c>
      <c r="AX485" s="104">
        <v>37.44</v>
      </c>
      <c r="AY485" s="106">
        <v>45611</v>
      </c>
      <c r="AZ485" s="102" t="s">
        <v>1123</v>
      </c>
      <c r="BA485" s="103" t="s">
        <v>6720</v>
      </c>
      <c r="BB485" s="104">
        <v>5.17</v>
      </c>
      <c r="BC485" s="106">
        <v>45583</v>
      </c>
      <c r="BD485" s="104">
        <v>5.17</v>
      </c>
      <c r="BE485" s="106">
        <v>45611</v>
      </c>
      <c r="BF485" s="102" t="s">
        <v>1124</v>
      </c>
      <c r="BG485" s="103" t="s">
        <v>6721</v>
      </c>
      <c r="BH485" s="104">
        <v>23.25</v>
      </c>
      <c r="BI485" s="106">
        <v>45583</v>
      </c>
      <c r="BJ485" s="104">
        <v>23.25</v>
      </c>
      <c r="BK485" s="106">
        <v>45611</v>
      </c>
      <c r="BL485" s="102" t="s">
        <v>1125</v>
      </c>
      <c r="BM485" s="103" t="s">
        <v>6722</v>
      </c>
      <c r="BN485" s="104">
        <v>75.36</v>
      </c>
      <c r="BO485" s="106">
        <v>45583</v>
      </c>
      <c r="BP485" s="104">
        <v>75.36</v>
      </c>
      <c r="BQ485" s="106">
        <v>45611</v>
      </c>
      <c r="BR485" s="102" t="s">
        <v>1126</v>
      </c>
      <c r="BS485" s="103" t="s">
        <v>6723</v>
      </c>
      <c r="BT485" s="104">
        <v>29.28</v>
      </c>
      <c r="BU485" s="106">
        <v>45583</v>
      </c>
      <c r="BV485" s="104">
        <v>29.28</v>
      </c>
      <c r="BW485" s="106">
        <v>45611</v>
      </c>
      <c r="BX485" s="121"/>
      <c r="BY485" s="122" t="s">
        <v>1356</v>
      </c>
      <c r="BZ485" s="123"/>
      <c r="CA485" s="124"/>
      <c r="CB485" s="123"/>
      <c r="CC485" s="124"/>
      <c r="CD485" s="121"/>
      <c r="CE485" s="122" t="s">
        <v>1356</v>
      </c>
      <c r="CF485" s="123"/>
      <c r="CG485" s="124"/>
      <c r="CH485" s="123"/>
      <c r="CI485" s="124"/>
      <c r="CJ485" s="121"/>
      <c r="CK485" s="122" t="s">
        <v>1356</v>
      </c>
      <c r="CL485" s="123"/>
      <c r="CM485" s="124"/>
      <c r="CN485" s="123"/>
      <c r="CO485" s="124"/>
      <c r="CP485" s="121"/>
      <c r="CQ485" s="122" t="s">
        <v>1356</v>
      </c>
      <c r="CR485" s="123"/>
      <c r="CS485" s="124"/>
      <c r="CT485" s="123"/>
      <c r="CU485" s="124"/>
      <c r="CV485" s="121"/>
      <c r="CW485" s="122" t="s">
        <v>1356</v>
      </c>
      <c r="CX485" s="123"/>
      <c r="CY485" s="124"/>
      <c r="CZ485" s="123"/>
      <c r="DA485" s="124"/>
      <c r="DB485" s="52" t="s">
        <v>6962</v>
      </c>
      <c r="DC485" s="73" t="s">
        <v>105</v>
      </c>
    </row>
    <row r="486" spans="1:107" s="40" customFormat="1" x14ac:dyDescent="0.3">
      <c r="A486" s="35" t="s">
        <v>4219</v>
      </c>
      <c r="B486" s="35" t="s">
        <v>4989</v>
      </c>
      <c r="C486" s="35" t="s">
        <v>4990</v>
      </c>
      <c r="D486" s="35" t="s">
        <v>4991</v>
      </c>
      <c r="E486" s="35" t="s">
        <v>4992</v>
      </c>
      <c r="F486" s="35" t="s">
        <v>233</v>
      </c>
      <c r="G486" s="35" t="s">
        <v>4237</v>
      </c>
      <c r="H486" s="27" t="s">
        <v>686</v>
      </c>
      <c r="I486" s="62">
        <v>901</v>
      </c>
      <c r="J486" s="62">
        <v>90150</v>
      </c>
      <c r="K486" s="63">
        <v>4</v>
      </c>
      <c r="L486" s="35" t="s">
        <v>4993</v>
      </c>
      <c r="M486" s="35" t="s">
        <v>258</v>
      </c>
      <c r="N486" s="35" t="s">
        <v>4994</v>
      </c>
      <c r="O486" s="35"/>
      <c r="P486" s="35"/>
      <c r="Q486" s="35" t="s">
        <v>4995</v>
      </c>
      <c r="R486" s="35" t="s">
        <v>4603</v>
      </c>
      <c r="S486" s="35"/>
      <c r="T486" s="35" t="s">
        <v>4996</v>
      </c>
      <c r="U486" s="35"/>
      <c r="V486" s="35"/>
      <c r="W486" s="35" t="s">
        <v>4997</v>
      </c>
      <c r="X486" s="35" t="s">
        <v>4998</v>
      </c>
      <c r="Y486" s="35" t="s">
        <v>4999</v>
      </c>
      <c r="Z486" s="35">
        <v>-79.936969000000005</v>
      </c>
      <c r="AA486" s="35">
        <v>-2.1697039999999999</v>
      </c>
      <c r="AB486" s="35">
        <v>90150306</v>
      </c>
      <c r="AC486" s="35">
        <v>90150306001</v>
      </c>
      <c r="AD486" s="35">
        <v>90150306001003</v>
      </c>
      <c r="AE486" s="63">
        <v>3</v>
      </c>
      <c r="AF486" s="63" t="s">
        <v>377</v>
      </c>
      <c r="AG486" s="29" t="s">
        <v>65</v>
      </c>
      <c r="AH486" s="75"/>
      <c r="AI486" s="65" t="s">
        <v>66</v>
      </c>
      <c r="AJ486" s="32" t="s">
        <v>6938</v>
      </c>
      <c r="AK486" s="33" t="s">
        <v>67</v>
      </c>
      <c r="AL486" s="58">
        <v>45580</v>
      </c>
      <c r="AM486" s="35" t="s">
        <v>66</v>
      </c>
      <c r="AN486" s="35"/>
      <c r="AO486" s="35"/>
      <c r="AP486" s="35"/>
      <c r="AQ486" s="37">
        <f t="shared" si="24"/>
        <v>0</v>
      </c>
      <c r="AR486" s="38">
        <f t="shared" si="25"/>
        <v>0</v>
      </c>
      <c r="AS486" s="39">
        <f t="shared" si="26"/>
        <v>0</v>
      </c>
      <c r="AT486" s="99"/>
      <c r="AU486" s="99" t="s">
        <v>1356</v>
      </c>
      <c r="AV486" s="99"/>
      <c r="AW486" s="100"/>
      <c r="AX486" s="99"/>
      <c r="AY486" s="101"/>
      <c r="AZ486" s="99"/>
      <c r="BA486" s="99" t="s">
        <v>1356</v>
      </c>
      <c r="BB486" s="99"/>
      <c r="BC486" s="101"/>
      <c r="BD486" s="99"/>
      <c r="BE486" s="101"/>
      <c r="BF486" s="99"/>
      <c r="BG486" s="99" t="s">
        <v>1356</v>
      </c>
      <c r="BH486" s="99"/>
      <c r="BI486" s="101"/>
      <c r="BJ486" s="99"/>
      <c r="BK486" s="101"/>
      <c r="BL486" s="99"/>
      <c r="BM486" s="99" t="s">
        <v>1356</v>
      </c>
      <c r="BN486" s="99"/>
      <c r="BO486" s="101"/>
      <c r="BP486" s="99"/>
      <c r="BQ486" s="101"/>
      <c r="BR486" s="99"/>
      <c r="BS486" s="99" t="s">
        <v>1356</v>
      </c>
      <c r="BT486" s="99"/>
      <c r="BU486" s="101"/>
      <c r="BV486" s="99"/>
      <c r="BW486" s="101"/>
      <c r="BX486" s="119"/>
      <c r="BY486" s="119" t="s">
        <v>1356</v>
      </c>
      <c r="BZ486" s="119"/>
      <c r="CA486" s="120"/>
      <c r="CB486" s="119"/>
      <c r="CC486" s="120"/>
      <c r="CD486" s="119"/>
      <c r="CE486" s="119" t="s">
        <v>1356</v>
      </c>
      <c r="CF486" s="119"/>
      <c r="CG486" s="120"/>
      <c r="CH486" s="119"/>
      <c r="CI486" s="120"/>
      <c r="CJ486" s="119"/>
      <c r="CK486" s="119" t="s">
        <v>1356</v>
      </c>
      <c r="CL486" s="119"/>
      <c r="CM486" s="120"/>
      <c r="CN486" s="119"/>
      <c r="CO486" s="120"/>
      <c r="CP486" s="119"/>
      <c r="CQ486" s="119" t="s">
        <v>1356</v>
      </c>
      <c r="CR486" s="119"/>
      <c r="CS486" s="120"/>
      <c r="CT486" s="119"/>
      <c r="CU486" s="120"/>
      <c r="CV486" s="119"/>
      <c r="CW486" s="119" t="s">
        <v>1356</v>
      </c>
      <c r="CX486" s="119"/>
      <c r="CY486" s="120"/>
      <c r="CZ486" s="119"/>
      <c r="DA486" s="120"/>
      <c r="DB486" s="36" t="s">
        <v>7085</v>
      </c>
      <c r="DC486" s="59" t="s">
        <v>2935</v>
      </c>
    </row>
    <row r="487" spans="1:107" s="40" customFormat="1" ht="14.55" customHeight="1" x14ac:dyDescent="0.3">
      <c r="A487" s="35" t="s">
        <v>4219</v>
      </c>
      <c r="B487" s="35" t="s">
        <v>5000</v>
      </c>
      <c r="C487" s="35" t="s">
        <v>5001</v>
      </c>
      <c r="D487" s="35" t="s">
        <v>5002</v>
      </c>
      <c r="E487" s="35" t="s">
        <v>5003</v>
      </c>
      <c r="F487" s="35" t="s">
        <v>1752</v>
      </c>
      <c r="G487" s="35" t="s">
        <v>4237</v>
      </c>
      <c r="H487" s="27" t="s">
        <v>686</v>
      </c>
      <c r="I487" s="62">
        <v>901</v>
      </c>
      <c r="J487" s="62">
        <v>90150</v>
      </c>
      <c r="K487" s="63">
        <v>4</v>
      </c>
      <c r="L487" s="35" t="s">
        <v>5004</v>
      </c>
      <c r="M487" s="35" t="s">
        <v>258</v>
      </c>
      <c r="N487" s="35" t="s">
        <v>4953</v>
      </c>
      <c r="O487" s="35"/>
      <c r="P487" s="35"/>
      <c r="Q487" s="35" t="s">
        <v>5005</v>
      </c>
      <c r="R487" s="35" t="s">
        <v>113</v>
      </c>
      <c r="S487" s="35"/>
      <c r="T487" s="35"/>
      <c r="U487" s="35" t="s">
        <v>5006</v>
      </c>
      <c r="V487" s="35"/>
      <c r="W487" s="35" t="s">
        <v>5007</v>
      </c>
      <c r="X487" s="35" t="s">
        <v>5008</v>
      </c>
      <c r="Y487" s="35" t="s">
        <v>5009</v>
      </c>
      <c r="Z487" s="35">
        <v>-79.941378235816956</v>
      </c>
      <c r="AA487" s="35">
        <v>-2.1072046503690278</v>
      </c>
      <c r="AB487" s="35">
        <v>90150517</v>
      </c>
      <c r="AC487" s="35">
        <v>90150517006</v>
      </c>
      <c r="AD487" s="35">
        <v>90150517006016</v>
      </c>
      <c r="AE487" s="63">
        <v>3</v>
      </c>
      <c r="AF487" s="63" t="s">
        <v>377</v>
      </c>
      <c r="AG487" s="29" t="s">
        <v>65</v>
      </c>
      <c r="AH487" s="75"/>
      <c r="AI487" s="65" t="s">
        <v>66</v>
      </c>
      <c r="AJ487" s="32" t="s">
        <v>6938</v>
      </c>
      <c r="AK487" s="33" t="s">
        <v>67</v>
      </c>
      <c r="AL487" s="34">
        <v>45580</v>
      </c>
      <c r="AM487" s="35" t="s">
        <v>66</v>
      </c>
      <c r="AN487" s="35"/>
      <c r="AO487" s="35"/>
      <c r="AP487" s="35"/>
      <c r="AQ487" s="37">
        <f t="shared" si="24"/>
        <v>0</v>
      </c>
      <c r="AR487" s="38">
        <f t="shared" si="25"/>
        <v>0</v>
      </c>
      <c r="AS487" s="39">
        <f t="shared" si="26"/>
        <v>0</v>
      </c>
      <c r="AT487" s="99"/>
      <c r="AU487" s="99" t="s">
        <v>1356</v>
      </c>
      <c r="AV487" s="99"/>
      <c r="AW487" s="100"/>
      <c r="AX487" s="99"/>
      <c r="AY487" s="101"/>
      <c r="AZ487" s="99"/>
      <c r="BA487" s="99" t="s">
        <v>1356</v>
      </c>
      <c r="BB487" s="99"/>
      <c r="BC487" s="101"/>
      <c r="BD487" s="99"/>
      <c r="BE487" s="101"/>
      <c r="BF487" s="99"/>
      <c r="BG487" s="99" t="s">
        <v>1356</v>
      </c>
      <c r="BH487" s="99"/>
      <c r="BI487" s="101"/>
      <c r="BJ487" s="99"/>
      <c r="BK487" s="101"/>
      <c r="BL487" s="99"/>
      <c r="BM487" s="99" t="s">
        <v>1356</v>
      </c>
      <c r="BN487" s="99"/>
      <c r="BO487" s="101"/>
      <c r="BP487" s="99"/>
      <c r="BQ487" s="101"/>
      <c r="BR487" s="99"/>
      <c r="BS487" s="99" t="s">
        <v>1356</v>
      </c>
      <c r="BT487" s="99"/>
      <c r="BU487" s="101"/>
      <c r="BV487" s="99"/>
      <c r="BW487" s="101"/>
      <c r="BX487" s="119"/>
      <c r="BY487" s="119" t="s">
        <v>1356</v>
      </c>
      <c r="BZ487" s="119"/>
      <c r="CA487" s="120"/>
      <c r="CB487" s="119"/>
      <c r="CC487" s="120"/>
      <c r="CD487" s="119"/>
      <c r="CE487" s="119" t="s">
        <v>1356</v>
      </c>
      <c r="CF487" s="119"/>
      <c r="CG487" s="120"/>
      <c r="CH487" s="119"/>
      <c r="CI487" s="120"/>
      <c r="CJ487" s="119"/>
      <c r="CK487" s="119" t="s">
        <v>1356</v>
      </c>
      <c r="CL487" s="119"/>
      <c r="CM487" s="120"/>
      <c r="CN487" s="119"/>
      <c r="CO487" s="120"/>
      <c r="CP487" s="119"/>
      <c r="CQ487" s="119" t="s">
        <v>1356</v>
      </c>
      <c r="CR487" s="119"/>
      <c r="CS487" s="120"/>
      <c r="CT487" s="119"/>
      <c r="CU487" s="120"/>
      <c r="CV487" s="119"/>
      <c r="CW487" s="119" t="s">
        <v>1356</v>
      </c>
      <c r="CX487" s="119"/>
      <c r="CY487" s="120"/>
      <c r="CZ487" s="119"/>
      <c r="DA487" s="120"/>
      <c r="DB487" s="36" t="s">
        <v>7085</v>
      </c>
      <c r="DC487" s="59" t="s">
        <v>6751</v>
      </c>
    </row>
    <row r="488" spans="1:107" s="40" customFormat="1" x14ac:dyDescent="0.3">
      <c r="A488" s="35" t="s">
        <v>4219</v>
      </c>
      <c r="B488" s="35" t="s">
        <v>5010</v>
      </c>
      <c r="C488" s="35" t="s">
        <v>5011</v>
      </c>
      <c r="D488" s="35" t="s">
        <v>5012</v>
      </c>
      <c r="E488" s="35" t="s">
        <v>5013</v>
      </c>
      <c r="F488" s="35" t="s">
        <v>256</v>
      </c>
      <c r="G488" s="35" t="s">
        <v>4237</v>
      </c>
      <c r="H488" s="27" t="s">
        <v>686</v>
      </c>
      <c r="I488" s="62">
        <v>901</v>
      </c>
      <c r="J488" s="62">
        <v>90150</v>
      </c>
      <c r="K488" s="63">
        <v>4</v>
      </c>
      <c r="L488" s="35" t="s">
        <v>5014</v>
      </c>
      <c r="M488" s="35"/>
      <c r="N488" s="35"/>
      <c r="O488" s="35" t="s">
        <v>5015</v>
      </c>
      <c r="P488" s="35"/>
      <c r="Q488" s="35" t="s">
        <v>5016</v>
      </c>
      <c r="R488" s="35"/>
      <c r="S488" s="35"/>
      <c r="T488" s="35"/>
      <c r="U488" s="35"/>
      <c r="V488" s="35"/>
      <c r="W488" s="35" t="s">
        <v>5017</v>
      </c>
      <c r="X488" s="35" t="s">
        <v>5018</v>
      </c>
      <c r="Y488" s="35" t="s">
        <v>5019</v>
      </c>
      <c r="Z488" s="35">
        <v>-79.913045999999994</v>
      </c>
      <c r="AA488" s="35">
        <v>-2.1765279999999998</v>
      </c>
      <c r="AB488" s="35">
        <v>90150050</v>
      </c>
      <c r="AC488" s="35">
        <v>90150050005</v>
      </c>
      <c r="AD488" s="35">
        <v>90150050005003</v>
      </c>
      <c r="AE488" s="63">
        <v>3</v>
      </c>
      <c r="AF488" s="63" t="s">
        <v>377</v>
      </c>
      <c r="AG488" s="29" t="s">
        <v>65</v>
      </c>
      <c r="AH488" s="75"/>
      <c r="AI488" s="65" t="s">
        <v>66</v>
      </c>
      <c r="AJ488" s="32" t="s">
        <v>6938</v>
      </c>
      <c r="AK488" s="33" t="s">
        <v>67</v>
      </c>
      <c r="AL488" s="58">
        <v>45580</v>
      </c>
      <c r="AM488" s="35" t="s">
        <v>66</v>
      </c>
      <c r="AN488" s="35"/>
      <c r="AO488" s="35"/>
      <c r="AP488" s="35"/>
      <c r="AQ488" s="37">
        <f t="shared" si="24"/>
        <v>0</v>
      </c>
      <c r="AR488" s="38">
        <f t="shared" si="25"/>
        <v>0</v>
      </c>
      <c r="AS488" s="39">
        <f t="shared" si="26"/>
        <v>0</v>
      </c>
      <c r="AT488" s="99"/>
      <c r="AU488" s="99" t="s">
        <v>1356</v>
      </c>
      <c r="AV488" s="99"/>
      <c r="AW488" s="100"/>
      <c r="AX488" s="99"/>
      <c r="AY488" s="101"/>
      <c r="AZ488" s="99"/>
      <c r="BA488" s="99" t="s">
        <v>1356</v>
      </c>
      <c r="BB488" s="99"/>
      <c r="BC488" s="101"/>
      <c r="BD488" s="99"/>
      <c r="BE488" s="101"/>
      <c r="BF488" s="99"/>
      <c r="BG488" s="99" t="s">
        <v>1356</v>
      </c>
      <c r="BH488" s="99"/>
      <c r="BI488" s="101"/>
      <c r="BJ488" s="99"/>
      <c r="BK488" s="101"/>
      <c r="BL488" s="99"/>
      <c r="BM488" s="99" t="s">
        <v>1356</v>
      </c>
      <c r="BN488" s="99"/>
      <c r="BO488" s="101"/>
      <c r="BP488" s="99"/>
      <c r="BQ488" s="101"/>
      <c r="BR488" s="99"/>
      <c r="BS488" s="99" t="s">
        <v>1356</v>
      </c>
      <c r="BT488" s="99"/>
      <c r="BU488" s="101"/>
      <c r="BV488" s="99"/>
      <c r="BW488" s="101"/>
      <c r="BX488" s="119"/>
      <c r="BY488" s="119" t="s">
        <v>1356</v>
      </c>
      <c r="BZ488" s="119"/>
      <c r="CA488" s="120"/>
      <c r="CB488" s="119"/>
      <c r="CC488" s="120"/>
      <c r="CD488" s="119"/>
      <c r="CE488" s="119" t="s">
        <v>1356</v>
      </c>
      <c r="CF488" s="119"/>
      <c r="CG488" s="120"/>
      <c r="CH488" s="119"/>
      <c r="CI488" s="120"/>
      <c r="CJ488" s="119"/>
      <c r="CK488" s="119" t="s">
        <v>1356</v>
      </c>
      <c r="CL488" s="119"/>
      <c r="CM488" s="120"/>
      <c r="CN488" s="119"/>
      <c r="CO488" s="120"/>
      <c r="CP488" s="119"/>
      <c r="CQ488" s="119" t="s">
        <v>1356</v>
      </c>
      <c r="CR488" s="119"/>
      <c r="CS488" s="120"/>
      <c r="CT488" s="119"/>
      <c r="CU488" s="120"/>
      <c r="CV488" s="119"/>
      <c r="CW488" s="119" t="s">
        <v>1356</v>
      </c>
      <c r="CX488" s="119"/>
      <c r="CY488" s="120"/>
      <c r="CZ488" s="119"/>
      <c r="DA488" s="120"/>
      <c r="DB488" s="36" t="s">
        <v>7085</v>
      </c>
      <c r="DC488" s="59" t="s">
        <v>6751</v>
      </c>
    </row>
    <row r="489" spans="1:107" s="40" customFormat="1" x14ac:dyDescent="0.3">
      <c r="A489" s="35" t="s">
        <v>4219</v>
      </c>
      <c r="B489" s="35" t="s">
        <v>5020</v>
      </c>
      <c r="C489" s="35" t="s">
        <v>5021</v>
      </c>
      <c r="D489" s="35" t="s">
        <v>5022</v>
      </c>
      <c r="E489" s="35" t="s">
        <v>5023</v>
      </c>
      <c r="F489" s="35" t="s">
        <v>256</v>
      </c>
      <c r="G489" s="35" t="s">
        <v>4237</v>
      </c>
      <c r="H489" s="27" t="s">
        <v>686</v>
      </c>
      <c r="I489" s="62">
        <v>901</v>
      </c>
      <c r="J489" s="62">
        <v>90150</v>
      </c>
      <c r="K489" s="63">
        <v>4</v>
      </c>
      <c r="L489" s="35" t="s">
        <v>5024</v>
      </c>
      <c r="M489" s="35"/>
      <c r="N489" s="35"/>
      <c r="O489" s="35" t="s">
        <v>2512</v>
      </c>
      <c r="P489" s="35"/>
      <c r="Q489" s="35"/>
      <c r="R489" s="35"/>
      <c r="S489" s="35"/>
      <c r="T489" s="35"/>
      <c r="U489" s="35"/>
      <c r="V489" s="35"/>
      <c r="W489" s="35" t="s">
        <v>5025</v>
      </c>
      <c r="X489" s="35" t="s">
        <v>5026</v>
      </c>
      <c r="Y489" s="35" t="s">
        <v>5027</v>
      </c>
      <c r="Z489" s="35">
        <v>-79.935457999999997</v>
      </c>
      <c r="AA489" s="35">
        <v>-2.1317200000000001</v>
      </c>
      <c r="AB489" s="35">
        <v>90150050</v>
      </c>
      <c r="AC489" s="35">
        <v>90150050005</v>
      </c>
      <c r="AD489" s="35">
        <v>90150050005003</v>
      </c>
      <c r="AE489" s="63">
        <v>3</v>
      </c>
      <c r="AF489" s="63" t="s">
        <v>377</v>
      </c>
      <c r="AG489" s="29" t="s">
        <v>65</v>
      </c>
      <c r="AH489" s="75"/>
      <c r="AI489" s="65" t="s">
        <v>66</v>
      </c>
      <c r="AJ489" s="32" t="s">
        <v>6938</v>
      </c>
      <c r="AK489" s="33" t="s">
        <v>67</v>
      </c>
      <c r="AL489" s="58">
        <v>45580</v>
      </c>
      <c r="AM489" s="35" t="s">
        <v>66</v>
      </c>
      <c r="AN489" s="35"/>
      <c r="AO489" s="35"/>
      <c r="AP489" s="35"/>
      <c r="AQ489" s="37">
        <f t="shared" si="24"/>
        <v>0</v>
      </c>
      <c r="AR489" s="38">
        <f t="shared" si="25"/>
        <v>0</v>
      </c>
      <c r="AS489" s="39">
        <f t="shared" si="26"/>
        <v>0</v>
      </c>
      <c r="AT489" s="99"/>
      <c r="AU489" s="99" t="s">
        <v>1356</v>
      </c>
      <c r="AV489" s="99"/>
      <c r="AW489" s="100"/>
      <c r="AX489" s="99"/>
      <c r="AY489" s="101"/>
      <c r="AZ489" s="99"/>
      <c r="BA489" s="99" t="s">
        <v>1356</v>
      </c>
      <c r="BB489" s="99"/>
      <c r="BC489" s="101"/>
      <c r="BD489" s="99"/>
      <c r="BE489" s="101"/>
      <c r="BF489" s="99"/>
      <c r="BG489" s="99" t="s">
        <v>1356</v>
      </c>
      <c r="BH489" s="99"/>
      <c r="BI489" s="101"/>
      <c r="BJ489" s="99"/>
      <c r="BK489" s="101"/>
      <c r="BL489" s="99"/>
      <c r="BM489" s="99" t="s">
        <v>1356</v>
      </c>
      <c r="BN489" s="99"/>
      <c r="BO489" s="101"/>
      <c r="BP489" s="99"/>
      <c r="BQ489" s="101"/>
      <c r="BR489" s="99"/>
      <c r="BS489" s="99" t="s">
        <v>1356</v>
      </c>
      <c r="BT489" s="99"/>
      <c r="BU489" s="101"/>
      <c r="BV489" s="99"/>
      <c r="BW489" s="101"/>
      <c r="BX489" s="119"/>
      <c r="BY489" s="119" t="s">
        <v>1356</v>
      </c>
      <c r="BZ489" s="119"/>
      <c r="CA489" s="120"/>
      <c r="CB489" s="119"/>
      <c r="CC489" s="120"/>
      <c r="CD489" s="119"/>
      <c r="CE489" s="119" t="s">
        <v>1356</v>
      </c>
      <c r="CF489" s="119"/>
      <c r="CG489" s="120"/>
      <c r="CH489" s="119"/>
      <c r="CI489" s="120"/>
      <c r="CJ489" s="119"/>
      <c r="CK489" s="119" t="s">
        <v>1356</v>
      </c>
      <c r="CL489" s="119"/>
      <c r="CM489" s="120"/>
      <c r="CN489" s="119"/>
      <c r="CO489" s="120"/>
      <c r="CP489" s="119"/>
      <c r="CQ489" s="119" t="s">
        <v>1356</v>
      </c>
      <c r="CR489" s="119"/>
      <c r="CS489" s="120"/>
      <c r="CT489" s="119"/>
      <c r="CU489" s="120"/>
      <c r="CV489" s="119"/>
      <c r="CW489" s="119" t="s">
        <v>1356</v>
      </c>
      <c r="CX489" s="119"/>
      <c r="CY489" s="120"/>
      <c r="CZ489" s="119"/>
      <c r="DA489" s="120"/>
      <c r="DB489" s="36" t="s">
        <v>7085</v>
      </c>
      <c r="DC489" s="59" t="s">
        <v>105</v>
      </c>
    </row>
    <row r="490" spans="1:107" s="40" customFormat="1" x14ac:dyDescent="0.3">
      <c r="A490" s="35" t="s">
        <v>4219</v>
      </c>
      <c r="B490" s="35" t="s">
        <v>5028</v>
      </c>
      <c r="C490" s="35" t="s">
        <v>5029</v>
      </c>
      <c r="D490" s="35" t="s">
        <v>5030</v>
      </c>
      <c r="E490" s="35" t="s">
        <v>5031</v>
      </c>
      <c r="F490" s="35" t="s">
        <v>256</v>
      </c>
      <c r="G490" s="35" t="s">
        <v>4237</v>
      </c>
      <c r="H490" s="27" t="s">
        <v>686</v>
      </c>
      <c r="I490" s="62">
        <v>901</v>
      </c>
      <c r="J490" s="62">
        <v>90150</v>
      </c>
      <c r="K490" s="63">
        <v>4</v>
      </c>
      <c r="L490" s="35" t="s">
        <v>5032</v>
      </c>
      <c r="M490" s="35" t="s">
        <v>5033</v>
      </c>
      <c r="N490" s="35" t="s">
        <v>5034</v>
      </c>
      <c r="O490" s="35" t="s">
        <v>5035</v>
      </c>
      <c r="P490" s="35"/>
      <c r="Q490" s="35"/>
      <c r="R490" s="35"/>
      <c r="S490" s="35"/>
      <c r="T490" s="35"/>
      <c r="U490" s="35" t="s">
        <v>4564</v>
      </c>
      <c r="V490" s="35"/>
      <c r="W490" s="35" t="s">
        <v>5036</v>
      </c>
      <c r="X490" s="35" t="s">
        <v>5037</v>
      </c>
      <c r="Y490" s="35" t="s">
        <v>5038</v>
      </c>
      <c r="Z490" s="35">
        <v>-79.935195744037628</v>
      </c>
      <c r="AA490" s="35">
        <v>-2.1313601842597012</v>
      </c>
      <c r="AB490" s="35">
        <v>90150374</v>
      </c>
      <c r="AC490" s="35">
        <v>90150374006</v>
      </c>
      <c r="AD490" s="35">
        <v>90150374006006</v>
      </c>
      <c r="AE490" s="63">
        <v>3</v>
      </c>
      <c r="AF490" s="63" t="s">
        <v>377</v>
      </c>
      <c r="AG490" s="29" t="s">
        <v>65</v>
      </c>
      <c r="AH490" s="75"/>
      <c r="AI490" s="65" t="s">
        <v>65</v>
      </c>
      <c r="AJ490" s="32" t="s">
        <v>6938</v>
      </c>
      <c r="AK490" s="33" t="s">
        <v>92</v>
      </c>
      <c r="AL490" s="58">
        <v>45580</v>
      </c>
      <c r="AM490" s="35"/>
      <c r="AN490" s="35"/>
      <c r="AO490" s="35"/>
      <c r="AP490" s="35"/>
      <c r="AQ490" s="37">
        <f t="shared" si="24"/>
        <v>0</v>
      </c>
      <c r="AR490" s="38">
        <f t="shared" si="25"/>
        <v>0</v>
      </c>
      <c r="AS490" s="39">
        <f t="shared" si="26"/>
        <v>0</v>
      </c>
      <c r="AT490" s="99"/>
      <c r="AU490" s="99" t="s">
        <v>1356</v>
      </c>
      <c r="AV490" s="99"/>
      <c r="AW490" s="100"/>
      <c r="AX490" s="99"/>
      <c r="AY490" s="101"/>
      <c r="AZ490" s="99"/>
      <c r="BA490" s="99" t="s">
        <v>1356</v>
      </c>
      <c r="BB490" s="99"/>
      <c r="BC490" s="101"/>
      <c r="BD490" s="99"/>
      <c r="BE490" s="101"/>
      <c r="BF490" s="99"/>
      <c r="BG490" s="99" t="s">
        <v>1356</v>
      </c>
      <c r="BH490" s="99"/>
      <c r="BI490" s="101"/>
      <c r="BJ490" s="99"/>
      <c r="BK490" s="101"/>
      <c r="BL490" s="99"/>
      <c r="BM490" s="99" t="s">
        <v>1356</v>
      </c>
      <c r="BN490" s="99"/>
      <c r="BO490" s="101"/>
      <c r="BP490" s="99"/>
      <c r="BQ490" s="101"/>
      <c r="BR490" s="99"/>
      <c r="BS490" s="99" t="s">
        <v>1356</v>
      </c>
      <c r="BT490" s="99"/>
      <c r="BU490" s="101"/>
      <c r="BV490" s="99"/>
      <c r="BW490" s="101"/>
      <c r="BX490" s="119"/>
      <c r="BY490" s="119" t="s">
        <v>1356</v>
      </c>
      <c r="BZ490" s="119"/>
      <c r="CA490" s="120"/>
      <c r="CB490" s="119"/>
      <c r="CC490" s="120"/>
      <c r="CD490" s="119"/>
      <c r="CE490" s="119" t="s">
        <v>1356</v>
      </c>
      <c r="CF490" s="119"/>
      <c r="CG490" s="120"/>
      <c r="CH490" s="119"/>
      <c r="CI490" s="120"/>
      <c r="CJ490" s="119"/>
      <c r="CK490" s="119" t="s">
        <v>1356</v>
      </c>
      <c r="CL490" s="119"/>
      <c r="CM490" s="120"/>
      <c r="CN490" s="119"/>
      <c r="CO490" s="120"/>
      <c r="CP490" s="119"/>
      <c r="CQ490" s="119" t="s">
        <v>1356</v>
      </c>
      <c r="CR490" s="119"/>
      <c r="CS490" s="120"/>
      <c r="CT490" s="119"/>
      <c r="CU490" s="120"/>
      <c r="CV490" s="119"/>
      <c r="CW490" s="119" t="s">
        <v>1356</v>
      </c>
      <c r="CX490" s="119"/>
      <c r="CY490" s="120"/>
      <c r="CZ490" s="119"/>
      <c r="DA490" s="120"/>
      <c r="DB490" s="36" t="s">
        <v>7085</v>
      </c>
      <c r="DC490" s="59" t="s">
        <v>92</v>
      </c>
    </row>
    <row r="491" spans="1:107" s="40" customFormat="1" x14ac:dyDescent="0.3">
      <c r="A491" s="35" t="s">
        <v>4219</v>
      </c>
      <c r="B491" s="35" t="s">
        <v>5039</v>
      </c>
      <c r="C491" s="35" t="s">
        <v>5040</v>
      </c>
      <c r="D491" s="35" t="s">
        <v>5041</v>
      </c>
      <c r="E491" s="35" t="s">
        <v>70</v>
      </c>
      <c r="F491" s="35" t="s">
        <v>825</v>
      </c>
      <c r="G491" s="35" t="s">
        <v>4237</v>
      </c>
      <c r="H491" s="27" t="s">
        <v>686</v>
      </c>
      <c r="I491" s="62">
        <v>901</v>
      </c>
      <c r="J491" s="62">
        <v>90150</v>
      </c>
      <c r="K491" s="63">
        <v>4</v>
      </c>
      <c r="L491" s="35" t="s">
        <v>4446</v>
      </c>
      <c r="M491" s="35"/>
      <c r="N491" s="35" t="s">
        <v>810</v>
      </c>
      <c r="O491" s="35" t="s">
        <v>4964</v>
      </c>
      <c r="P491" s="35"/>
      <c r="Q491" s="35"/>
      <c r="R491" s="35"/>
      <c r="S491" s="35"/>
      <c r="T491" s="35"/>
      <c r="U491" s="35"/>
      <c r="V491" s="35"/>
      <c r="W491" s="35" t="s">
        <v>5042</v>
      </c>
      <c r="X491" s="35"/>
      <c r="Y491" s="35" t="s">
        <v>5043</v>
      </c>
      <c r="Z491" s="35"/>
      <c r="AA491" s="35"/>
      <c r="AB491" s="35">
        <v>90150517</v>
      </c>
      <c r="AC491" s="35">
        <v>90150517006</v>
      </c>
      <c r="AD491" s="35">
        <v>90150517006018</v>
      </c>
      <c r="AE491" s="63">
        <v>3</v>
      </c>
      <c r="AF491" s="63" t="s">
        <v>377</v>
      </c>
      <c r="AG491" s="29" t="s">
        <v>65</v>
      </c>
      <c r="AH491" s="75"/>
      <c r="AI491" s="65" t="s">
        <v>66</v>
      </c>
      <c r="AJ491" s="32" t="s">
        <v>6938</v>
      </c>
      <c r="AK491" s="33" t="s">
        <v>67</v>
      </c>
      <c r="AL491" s="58">
        <v>45569</v>
      </c>
      <c r="AM491" s="35" t="s">
        <v>66</v>
      </c>
      <c r="AN491" s="35"/>
      <c r="AO491" s="35"/>
      <c r="AP491" s="35"/>
      <c r="AQ491" s="37">
        <f t="shared" si="24"/>
        <v>0</v>
      </c>
      <c r="AR491" s="38">
        <f t="shared" si="25"/>
        <v>0</v>
      </c>
      <c r="AS491" s="39">
        <f t="shared" si="26"/>
        <v>0</v>
      </c>
      <c r="AT491" s="99"/>
      <c r="AU491" s="99" t="s">
        <v>1356</v>
      </c>
      <c r="AV491" s="99"/>
      <c r="AW491" s="100"/>
      <c r="AX491" s="99"/>
      <c r="AY491" s="101"/>
      <c r="AZ491" s="99"/>
      <c r="BA491" s="99" t="s">
        <v>1356</v>
      </c>
      <c r="BB491" s="99"/>
      <c r="BC491" s="101"/>
      <c r="BD491" s="99"/>
      <c r="BE491" s="101"/>
      <c r="BF491" s="99"/>
      <c r="BG491" s="99" t="s">
        <v>1356</v>
      </c>
      <c r="BH491" s="99"/>
      <c r="BI491" s="101"/>
      <c r="BJ491" s="99"/>
      <c r="BK491" s="101"/>
      <c r="BL491" s="99"/>
      <c r="BM491" s="99" t="s">
        <v>1356</v>
      </c>
      <c r="BN491" s="99"/>
      <c r="BO491" s="101"/>
      <c r="BP491" s="99"/>
      <c r="BQ491" s="101"/>
      <c r="BR491" s="99"/>
      <c r="BS491" s="99" t="s">
        <v>1356</v>
      </c>
      <c r="BT491" s="99"/>
      <c r="BU491" s="101"/>
      <c r="BV491" s="99"/>
      <c r="BW491" s="101"/>
      <c r="BX491" s="119"/>
      <c r="BY491" s="119" t="s">
        <v>1356</v>
      </c>
      <c r="BZ491" s="119"/>
      <c r="CA491" s="120"/>
      <c r="CB491" s="119"/>
      <c r="CC491" s="120"/>
      <c r="CD491" s="119"/>
      <c r="CE491" s="119" t="s">
        <v>1356</v>
      </c>
      <c r="CF491" s="119"/>
      <c r="CG491" s="120"/>
      <c r="CH491" s="119"/>
      <c r="CI491" s="120"/>
      <c r="CJ491" s="119"/>
      <c r="CK491" s="119" t="s">
        <v>1356</v>
      </c>
      <c r="CL491" s="119"/>
      <c r="CM491" s="120"/>
      <c r="CN491" s="119"/>
      <c r="CO491" s="120"/>
      <c r="CP491" s="119"/>
      <c r="CQ491" s="119" t="s">
        <v>1356</v>
      </c>
      <c r="CR491" s="119"/>
      <c r="CS491" s="120"/>
      <c r="CT491" s="119"/>
      <c r="CU491" s="120"/>
      <c r="CV491" s="119"/>
      <c r="CW491" s="119" t="s">
        <v>1356</v>
      </c>
      <c r="CX491" s="119"/>
      <c r="CY491" s="120"/>
      <c r="CZ491" s="119"/>
      <c r="DA491" s="120"/>
      <c r="DB491" s="36" t="s">
        <v>7085</v>
      </c>
      <c r="DC491" s="59" t="s">
        <v>2935</v>
      </c>
    </row>
    <row r="492" spans="1:107" s="40" customFormat="1" ht="14.55" customHeight="1" x14ac:dyDescent="0.3">
      <c r="A492" s="35" t="s">
        <v>4219</v>
      </c>
      <c r="B492" s="35" t="s">
        <v>5044</v>
      </c>
      <c r="C492" s="35" t="s">
        <v>5045</v>
      </c>
      <c r="D492" s="35" t="s">
        <v>5046</v>
      </c>
      <c r="E492" s="35" t="s">
        <v>70</v>
      </c>
      <c r="F492" s="35" t="s">
        <v>825</v>
      </c>
      <c r="G492" s="35" t="s">
        <v>4237</v>
      </c>
      <c r="H492" s="27" t="s">
        <v>686</v>
      </c>
      <c r="I492" s="62">
        <v>901</v>
      </c>
      <c r="J492" s="62">
        <v>90150</v>
      </c>
      <c r="K492" s="63">
        <v>2</v>
      </c>
      <c r="L492" s="35"/>
      <c r="M492" s="35" t="s">
        <v>5047</v>
      </c>
      <c r="N492" s="35"/>
      <c r="O492" s="35"/>
      <c r="P492" s="35"/>
      <c r="Q492" s="35"/>
      <c r="R492" s="35"/>
      <c r="S492" s="35"/>
      <c r="T492" s="35"/>
      <c r="U492" s="35"/>
      <c r="V492" s="35" t="s">
        <v>5048</v>
      </c>
      <c r="W492" s="35" t="s">
        <v>5049</v>
      </c>
      <c r="X492" s="35"/>
      <c r="Y492" s="35"/>
      <c r="Z492" s="35"/>
      <c r="AA492" s="35"/>
      <c r="AB492" s="35"/>
      <c r="AC492" s="35"/>
      <c r="AD492" s="35"/>
      <c r="AE492" s="63">
        <v>3</v>
      </c>
      <c r="AF492" s="63" t="s">
        <v>377</v>
      </c>
      <c r="AG492" s="29" t="s">
        <v>65</v>
      </c>
      <c r="AH492" s="75"/>
      <c r="AI492" s="65" t="s">
        <v>66</v>
      </c>
      <c r="AJ492" s="32" t="s">
        <v>6938</v>
      </c>
      <c r="AK492" s="33" t="s">
        <v>67</v>
      </c>
      <c r="AL492" s="58">
        <v>45580</v>
      </c>
      <c r="AM492" s="35" t="s">
        <v>66</v>
      </c>
      <c r="AN492" s="35"/>
      <c r="AO492" s="35"/>
      <c r="AP492" s="35"/>
      <c r="AQ492" s="37">
        <f t="shared" si="24"/>
        <v>0</v>
      </c>
      <c r="AR492" s="38">
        <f t="shared" si="25"/>
        <v>0</v>
      </c>
      <c r="AS492" s="39">
        <f t="shared" si="26"/>
        <v>0</v>
      </c>
      <c r="AT492" s="99"/>
      <c r="AU492" s="99" t="s">
        <v>1356</v>
      </c>
      <c r="AV492" s="99"/>
      <c r="AW492" s="100"/>
      <c r="AX492" s="99"/>
      <c r="AY492" s="101"/>
      <c r="AZ492" s="99"/>
      <c r="BA492" s="99" t="s">
        <v>1356</v>
      </c>
      <c r="BB492" s="99"/>
      <c r="BC492" s="101"/>
      <c r="BD492" s="99"/>
      <c r="BE492" s="101"/>
      <c r="BF492" s="99"/>
      <c r="BG492" s="99" t="s">
        <v>1356</v>
      </c>
      <c r="BH492" s="99"/>
      <c r="BI492" s="101"/>
      <c r="BJ492" s="99"/>
      <c r="BK492" s="101"/>
      <c r="BL492" s="99"/>
      <c r="BM492" s="99" t="s">
        <v>1356</v>
      </c>
      <c r="BN492" s="99"/>
      <c r="BO492" s="101"/>
      <c r="BP492" s="99"/>
      <c r="BQ492" s="101"/>
      <c r="BR492" s="99"/>
      <c r="BS492" s="99" t="s">
        <v>1356</v>
      </c>
      <c r="BT492" s="99"/>
      <c r="BU492" s="101"/>
      <c r="BV492" s="99"/>
      <c r="BW492" s="101"/>
      <c r="BX492" s="119"/>
      <c r="BY492" s="119" t="s">
        <v>1356</v>
      </c>
      <c r="BZ492" s="119"/>
      <c r="CA492" s="120"/>
      <c r="CB492" s="119"/>
      <c r="CC492" s="120"/>
      <c r="CD492" s="119"/>
      <c r="CE492" s="119" t="s">
        <v>1356</v>
      </c>
      <c r="CF492" s="119"/>
      <c r="CG492" s="120"/>
      <c r="CH492" s="119"/>
      <c r="CI492" s="120"/>
      <c r="CJ492" s="119"/>
      <c r="CK492" s="119" t="s">
        <v>1356</v>
      </c>
      <c r="CL492" s="119"/>
      <c r="CM492" s="120"/>
      <c r="CN492" s="119"/>
      <c r="CO492" s="120"/>
      <c r="CP492" s="119"/>
      <c r="CQ492" s="119" t="s">
        <v>1356</v>
      </c>
      <c r="CR492" s="119"/>
      <c r="CS492" s="120"/>
      <c r="CT492" s="119"/>
      <c r="CU492" s="120"/>
      <c r="CV492" s="119"/>
      <c r="CW492" s="119" t="s">
        <v>1356</v>
      </c>
      <c r="CX492" s="119"/>
      <c r="CY492" s="120"/>
      <c r="CZ492" s="119"/>
      <c r="DA492" s="120"/>
      <c r="DB492" s="36" t="s">
        <v>7085</v>
      </c>
      <c r="DC492" s="59" t="s">
        <v>105</v>
      </c>
    </row>
    <row r="493" spans="1:107" s="40" customFormat="1" ht="14.55" customHeight="1" x14ac:dyDescent="0.3">
      <c r="A493" s="35" t="s">
        <v>4219</v>
      </c>
      <c r="B493" s="35" t="s">
        <v>5050</v>
      </c>
      <c r="C493" s="35" t="s">
        <v>5051</v>
      </c>
      <c r="D493" s="35" t="s">
        <v>5052</v>
      </c>
      <c r="E493" s="35" t="s">
        <v>5052</v>
      </c>
      <c r="F493" s="35" t="s">
        <v>1493</v>
      </c>
      <c r="G493" s="35" t="s">
        <v>4237</v>
      </c>
      <c r="H493" s="27" t="s">
        <v>686</v>
      </c>
      <c r="I493" s="62">
        <v>916</v>
      </c>
      <c r="J493" s="62">
        <v>91650</v>
      </c>
      <c r="K493" s="63">
        <v>4</v>
      </c>
      <c r="L493" s="35" t="s">
        <v>5053</v>
      </c>
      <c r="M493" s="35"/>
      <c r="N493" s="35"/>
      <c r="O493" s="35" t="s">
        <v>5054</v>
      </c>
      <c r="P493" s="35"/>
      <c r="Q493" s="35"/>
      <c r="R493" s="35"/>
      <c r="S493" s="35"/>
      <c r="T493" s="35"/>
      <c r="U493" s="35" t="s">
        <v>5055</v>
      </c>
      <c r="V493" s="35"/>
      <c r="W493" s="35" t="s">
        <v>5056</v>
      </c>
      <c r="X493" s="35" t="s">
        <v>5057</v>
      </c>
      <c r="Y493" s="35" t="s">
        <v>5058</v>
      </c>
      <c r="Z493" s="35">
        <v>-79.831273999999993</v>
      </c>
      <c r="AA493" s="35">
        <v>-2.0537580000000002</v>
      </c>
      <c r="AB493" s="35">
        <v>91650999</v>
      </c>
      <c r="AC493" s="35">
        <v>91650999020</v>
      </c>
      <c r="AD493" s="35">
        <v>91650999020006</v>
      </c>
      <c r="AE493" s="63">
        <v>3</v>
      </c>
      <c r="AF493" s="63" t="s">
        <v>377</v>
      </c>
      <c r="AG493" s="29" t="s">
        <v>65</v>
      </c>
      <c r="AH493" s="75"/>
      <c r="AI493" s="65" t="s">
        <v>65</v>
      </c>
      <c r="AJ493" s="32" t="s">
        <v>6938</v>
      </c>
      <c r="AK493" s="33" t="s">
        <v>92</v>
      </c>
      <c r="AL493" s="58">
        <v>45580</v>
      </c>
      <c r="AM493" s="35"/>
      <c r="AN493" s="35"/>
      <c r="AO493" s="35"/>
      <c r="AP493" s="35"/>
      <c r="AQ493" s="37">
        <f t="shared" si="24"/>
        <v>0</v>
      </c>
      <c r="AR493" s="38">
        <f t="shared" si="25"/>
        <v>0</v>
      </c>
      <c r="AS493" s="39">
        <f t="shared" si="26"/>
        <v>0</v>
      </c>
      <c r="AT493" s="99"/>
      <c r="AU493" s="99" t="s">
        <v>1356</v>
      </c>
      <c r="AV493" s="99"/>
      <c r="AW493" s="100"/>
      <c r="AX493" s="99"/>
      <c r="AY493" s="101"/>
      <c r="AZ493" s="99"/>
      <c r="BA493" s="99" t="s">
        <v>1356</v>
      </c>
      <c r="BB493" s="99"/>
      <c r="BC493" s="101"/>
      <c r="BD493" s="99"/>
      <c r="BE493" s="101"/>
      <c r="BF493" s="99"/>
      <c r="BG493" s="99" t="s">
        <v>1356</v>
      </c>
      <c r="BH493" s="99"/>
      <c r="BI493" s="101"/>
      <c r="BJ493" s="99"/>
      <c r="BK493" s="101"/>
      <c r="BL493" s="99"/>
      <c r="BM493" s="99" t="s">
        <v>1356</v>
      </c>
      <c r="BN493" s="99"/>
      <c r="BO493" s="101"/>
      <c r="BP493" s="99"/>
      <c r="BQ493" s="101"/>
      <c r="BR493" s="99"/>
      <c r="BS493" s="99" t="s">
        <v>1356</v>
      </c>
      <c r="BT493" s="99"/>
      <c r="BU493" s="101"/>
      <c r="BV493" s="99"/>
      <c r="BW493" s="101"/>
      <c r="BX493" s="119"/>
      <c r="BY493" s="119" t="s">
        <v>1356</v>
      </c>
      <c r="BZ493" s="119"/>
      <c r="CA493" s="120"/>
      <c r="CB493" s="119"/>
      <c r="CC493" s="120"/>
      <c r="CD493" s="119"/>
      <c r="CE493" s="119" t="s">
        <v>1356</v>
      </c>
      <c r="CF493" s="119"/>
      <c r="CG493" s="120"/>
      <c r="CH493" s="119"/>
      <c r="CI493" s="120"/>
      <c r="CJ493" s="119"/>
      <c r="CK493" s="119" t="s">
        <v>1356</v>
      </c>
      <c r="CL493" s="119"/>
      <c r="CM493" s="120"/>
      <c r="CN493" s="119"/>
      <c r="CO493" s="120"/>
      <c r="CP493" s="119"/>
      <c r="CQ493" s="119" t="s">
        <v>1356</v>
      </c>
      <c r="CR493" s="119"/>
      <c r="CS493" s="120"/>
      <c r="CT493" s="119"/>
      <c r="CU493" s="120"/>
      <c r="CV493" s="119"/>
      <c r="CW493" s="119" t="s">
        <v>1356</v>
      </c>
      <c r="CX493" s="119"/>
      <c r="CY493" s="120"/>
      <c r="CZ493" s="119"/>
      <c r="DA493" s="120"/>
      <c r="DB493" s="36" t="s">
        <v>7085</v>
      </c>
      <c r="DC493" s="59" t="s">
        <v>92</v>
      </c>
    </row>
    <row r="494" spans="1:107" s="40" customFormat="1" x14ac:dyDescent="0.3">
      <c r="A494" s="35" t="s">
        <v>4219</v>
      </c>
      <c r="B494" s="35" t="s">
        <v>5059</v>
      </c>
      <c r="C494" s="35" t="s">
        <v>5060</v>
      </c>
      <c r="D494" s="35" t="s">
        <v>5061</v>
      </c>
      <c r="E494" s="35" t="s">
        <v>5062</v>
      </c>
      <c r="F494" s="35" t="s">
        <v>1493</v>
      </c>
      <c r="G494" s="35" t="s">
        <v>4237</v>
      </c>
      <c r="H494" s="27" t="s">
        <v>686</v>
      </c>
      <c r="I494" s="62">
        <v>901</v>
      </c>
      <c r="J494" s="62">
        <v>90150</v>
      </c>
      <c r="K494" s="63">
        <v>4</v>
      </c>
      <c r="L494" s="35" t="s">
        <v>4498</v>
      </c>
      <c r="M494" s="35" t="s">
        <v>5063</v>
      </c>
      <c r="N494" s="35" t="s">
        <v>5064</v>
      </c>
      <c r="O494" s="35" t="s">
        <v>3181</v>
      </c>
      <c r="P494" s="35" t="s">
        <v>5065</v>
      </c>
      <c r="Q494" s="35" t="s">
        <v>5066</v>
      </c>
      <c r="R494" s="35" t="s">
        <v>60</v>
      </c>
      <c r="S494" s="35" t="s">
        <v>5067</v>
      </c>
      <c r="T494" s="35"/>
      <c r="U494" s="35" t="s">
        <v>5068</v>
      </c>
      <c r="V494" s="35"/>
      <c r="W494" s="35" t="s">
        <v>5069</v>
      </c>
      <c r="X494" s="35" t="s">
        <v>5070</v>
      </c>
      <c r="Y494" s="35" t="s">
        <v>5071</v>
      </c>
      <c r="Z494" s="35">
        <v>-79.898584999999997</v>
      </c>
      <c r="AA494" s="35">
        <v>-2.1502699999999999</v>
      </c>
      <c r="AB494" s="35">
        <v>90150050</v>
      </c>
      <c r="AC494" s="35">
        <v>90150050005</v>
      </c>
      <c r="AD494" s="35">
        <v>90150050005003</v>
      </c>
      <c r="AE494" s="63">
        <v>3</v>
      </c>
      <c r="AF494" s="63" t="s">
        <v>377</v>
      </c>
      <c r="AG494" s="29" t="s">
        <v>65</v>
      </c>
      <c r="AH494" s="75"/>
      <c r="AI494" s="65" t="s">
        <v>66</v>
      </c>
      <c r="AJ494" s="32" t="s">
        <v>6938</v>
      </c>
      <c r="AK494" s="33" t="s">
        <v>67</v>
      </c>
      <c r="AL494" s="34">
        <v>45580</v>
      </c>
      <c r="AM494" s="35" t="s">
        <v>66</v>
      </c>
      <c r="AN494" s="35"/>
      <c r="AO494" s="35"/>
      <c r="AP494" s="35"/>
      <c r="AQ494" s="37">
        <f t="shared" si="24"/>
        <v>0</v>
      </c>
      <c r="AR494" s="38">
        <f t="shared" si="25"/>
        <v>0</v>
      </c>
      <c r="AS494" s="39">
        <f t="shared" si="26"/>
        <v>0</v>
      </c>
      <c r="AT494" s="99"/>
      <c r="AU494" s="99" t="s">
        <v>1356</v>
      </c>
      <c r="AV494" s="99"/>
      <c r="AW494" s="100"/>
      <c r="AX494" s="99"/>
      <c r="AY494" s="101"/>
      <c r="AZ494" s="99"/>
      <c r="BA494" s="99" t="s">
        <v>1356</v>
      </c>
      <c r="BB494" s="99"/>
      <c r="BC494" s="101"/>
      <c r="BD494" s="99"/>
      <c r="BE494" s="101"/>
      <c r="BF494" s="99"/>
      <c r="BG494" s="99" t="s">
        <v>1356</v>
      </c>
      <c r="BH494" s="99"/>
      <c r="BI494" s="101"/>
      <c r="BJ494" s="99"/>
      <c r="BK494" s="101"/>
      <c r="BL494" s="99"/>
      <c r="BM494" s="99" t="s">
        <v>1356</v>
      </c>
      <c r="BN494" s="99"/>
      <c r="BO494" s="101"/>
      <c r="BP494" s="99"/>
      <c r="BQ494" s="101"/>
      <c r="BR494" s="99"/>
      <c r="BS494" s="99" t="s">
        <v>1356</v>
      </c>
      <c r="BT494" s="99"/>
      <c r="BU494" s="101"/>
      <c r="BV494" s="99"/>
      <c r="BW494" s="101"/>
      <c r="BX494" s="119"/>
      <c r="BY494" s="119" t="s">
        <v>1356</v>
      </c>
      <c r="BZ494" s="119"/>
      <c r="CA494" s="120"/>
      <c r="CB494" s="119"/>
      <c r="CC494" s="120"/>
      <c r="CD494" s="119"/>
      <c r="CE494" s="119" t="s">
        <v>1356</v>
      </c>
      <c r="CF494" s="119"/>
      <c r="CG494" s="120"/>
      <c r="CH494" s="119"/>
      <c r="CI494" s="120"/>
      <c r="CJ494" s="119"/>
      <c r="CK494" s="119" t="s">
        <v>1356</v>
      </c>
      <c r="CL494" s="119"/>
      <c r="CM494" s="120"/>
      <c r="CN494" s="119"/>
      <c r="CO494" s="120"/>
      <c r="CP494" s="119"/>
      <c r="CQ494" s="119" t="s">
        <v>1356</v>
      </c>
      <c r="CR494" s="119"/>
      <c r="CS494" s="120"/>
      <c r="CT494" s="119"/>
      <c r="CU494" s="120"/>
      <c r="CV494" s="119"/>
      <c r="CW494" s="119" t="s">
        <v>1356</v>
      </c>
      <c r="CX494" s="119"/>
      <c r="CY494" s="120"/>
      <c r="CZ494" s="119"/>
      <c r="DA494" s="120"/>
      <c r="DB494" s="36" t="s">
        <v>7085</v>
      </c>
      <c r="DC494" s="59" t="s">
        <v>2935</v>
      </c>
    </row>
    <row r="495" spans="1:107" s="40" customFormat="1" ht="14.55" customHeight="1" x14ac:dyDescent="0.3">
      <c r="A495" s="35" t="s">
        <v>4219</v>
      </c>
      <c r="B495" s="35" t="s">
        <v>5072</v>
      </c>
      <c r="C495" s="35" t="s">
        <v>5073</v>
      </c>
      <c r="D495" s="35" t="s">
        <v>5074</v>
      </c>
      <c r="E495" s="35" t="s">
        <v>5075</v>
      </c>
      <c r="F495" s="35" t="s">
        <v>282</v>
      </c>
      <c r="G495" s="35" t="s">
        <v>4329</v>
      </c>
      <c r="H495" s="27" t="s">
        <v>6935</v>
      </c>
      <c r="I495" s="62">
        <v>2301</v>
      </c>
      <c r="J495" s="62">
        <v>230150</v>
      </c>
      <c r="K495" s="63">
        <v>3</v>
      </c>
      <c r="L495" s="35" t="s">
        <v>5076</v>
      </c>
      <c r="M495" s="35" t="s">
        <v>258</v>
      </c>
      <c r="N495" s="35" t="s">
        <v>5077</v>
      </c>
      <c r="O495" s="35" t="s">
        <v>5078</v>
      </c>
      <c r="P495" s="35"/>
      <c r="Q495" s="35" t="s">
        <v>5079</v>
      </c>
      <c r="R495" s="35" t="s">
        <v>113</v>
      </c>
      <c r="S495" s="35" t="s">
        <v>60</v>
      </c>
      <c r="T495" s="35"/>
      <c r="U495" s="35"/>
      <c r="V495" s="35"/>
      <c r="W495" s="35" t="s">
        <v>5080</v>
      </c>
      <c r="X495" s="35" t="s">
        <v>5081</v>
      </c>
      <c r="Y495" s="35" t="s">
        <v>5082</v>
      </c>
      <c r="Z495" s="35">
        <v>-79.110294999999994</v>
      </c>
      <c r="AA495" s="35">
        <v>-0.270123</v>
      </c>
      <c r="AB495" s="35">
        <v>230150027</v>
      </c>
      <c r="AC495" s="35">
        <v>230150027010</v>
      </c>
      <c r="AD495" s="35">
        <v>230150027010005</v>
      </c>
      <c r="AE495" s="63">
        <v>3</v>
      </c>
      <c r="AF495" s="63" t="s">
        <v>377</v>
      </c>
      <c r="AG495" s="29" t="s">
        <v>65</v>
      </c>
      <c r="AH495" s="75"/>
      <c r="AI495" s="65" t="s">
        <v>65</v>
      </c>
      <c r="AJ495" s="32" t="s">
        <v>6938</v>
      </c>
      <c r="AK495" s="33" t="s">
        <v>92</v>
      </c>
      <c r="AL495" s="58">
        <v>45583</v>
      </c>
      <c r="AM495" s="35"/>
      <c r="AN495" s="35"/>
      <c r="AO495" s="35"/>
      <c r="AP495" s="35"/>
      <c r="AQ495" s="37">
        <f t="shared" si="24"/>
        <v>0</v>
      </c>
      <c r="AR495" s="38">
        <f t="shared" si="25"/>
        <v>0</v>
      </c>
      <c r="AS495" s="39">
        <f t="shared" si="26"/>
        <v>0</v>
      </c>
      <c r="AT495" s="99"/>
      <c r="AU495" s="99" t="s">
        <v>1356</v>
      </c>
      <c r="AV495" s="99"/>
      <c r="AW495" s="100"/>
      <c r="AX495" s="99"/>
      <c r="AY495" s="101"/>
      <c r="AZ495" s="99"/>
      <c r="BA495" s="99" t="s">
        <v>1356</v>
      </c>
      <c r="BB495" s="99"/>
      <c r="BC495" s="101"/>
      <c r="BD495" s="99"/>
      <c r="BE495" s="101"/>
      <c r="BF495" s="99"/>
      <c r="BG495" s="99" t="s">
        <v>1356</v>
      </c>
      <c r="BH495" s="99"/>
      <c r="BI495" s="101"/>
      <c r="BJ495" s="99"/>
      <c r="BK495" s="101"/>
      <c r="BL495" s="99"/>
      <c r="BM495" s="99" t="s">
        <v>1356</v>
      </c>
      <c r="BN495" s="99"/>
      <c r="BO495" s="101"/>
      <c r="BP495" s="99"/>
      <c r="BQ495" s="101"/>
      <c r="BR495" s="99"/>
      <c r="BS495" s="99" t="s">
        <v>1356</v>
      </c>
      <c r="BT495" s="99"/>
      <c r="BU495" s="101"/>
      <c r="BV495" s="99"/>
      <c r="BW495" s="101"/>
      <c r="BX495" s="119"/>
      <c r="BY495" s="119" t="s">
        <v>1356</v>
      </c>
      <c r="BZ495" s="119"/>
      <c r="CA495" s="120"/>
      <c r="CB495" s="119"/>
      <c r="CC495" s="120"/>
      <c r="CD495" s="119"/>
      <c r="CE495" s="119" t="s">
        <v>1356</v>
      </c>
      <c r="CF495" s="119"/>
      <c r="CG495" s="120"/>
      <c r="CH495" s="119"/>
      <c r="CI495" s="120"/>
      <c r="CJ495" s="119"/>
      <c r="CK495" s="119" t="s">
        <v>1356</v>
      </c>
      <c r="CL495" s="119"/>
      <c r="CM495" s="120"/>
      <c r="CN495" s="119"/>
      <c r="CO495" s="120"/>
      <c r="CP495" s="119"/>
      <c r="CQ495" s="119" t="s">
        <v>1356</v>
      </c>
      <c r="CR495" s="119"/>
      <c r="CS495" s="120"/>
      <c r="CT495" s="119"/>
      <c r="CU495" s="120"/>
      <c r="CV495" s="119"/>
      <c r="CW495" s="119" t="s">
        <v>1356</v>
      </c>
      <c r="CX495" s="119"/>
      <c r="CY495" s="120"/>
      <c r="CZ495" s="119"/>
      <c r="DA495" s="120"/>
      <c r="DB495" s="36" t="s">
        <v>7085</v>
      </c>
      <c r="DC495" s="59" t="s">
        <v>92</v>
      </c>
    </row>
    <row r="496" spans="1:107" s="40" customFormat="1" ht="14.55" customHeight="1" x14ac:dyDescent="0.3">
      <c r="A496" s="35" t="s">
        <v>4219</v>
      </c>
      <c r="B496" s="35" t="s">
        <v>5083</v>
      </c>
      <c r="C496" s="35" t="s">
        <v>5084</v>
      </c>
      <c r="D496" s="35" t="s">
        <v>5085</v>
      </c>
      <c r="E496" s="35" t="s">
        <v>5086</v>
      </c>
      <c r="F496" s="35" t="s">
        <v>291</v>
      </c>
      <c r="G496" s="35" t="s">
        <v>4329</v>
      </c>
      <c r="H496" s="27" t="s">
        <v>6935</v>
      </c>
      <c r="I496" s="62">
        <v>2301</v>
      </c>
      <c r="J496" s="62">
        <v>230150</v>
      </c>
      <c r="K496" s="63">
        <v>4</v>
      </c>
      <c r="L496" s="35" t="s">
        <v>5087</v>
      </c>
      <c r="M496" s="35"/>
      <c r="N496" s="35" t="s">
        <v>5088</v>
      </c>
      <c r="O496" s="35"/>
      <c r="P496" s="35"/>
      <c r="Q496" s="35" t="s">
        <v>5089</v>
      </c>
      <c r="R496" s="35" t="s">
        <v>1498</v>
      </c>
      <c r="S496" s="35" t="s">
        <v>5090</v>
      </c>
      <c r="T496" s="35"/>
      <c r="U496" s="35"/>
      <c r="V496" s="35"/>
      <c r="W496" s="35" t="s">
        <v>5091</v>
      </c>
      <c r="X496" s="35" t="s">
        <v>5092</v>
      </c>
      <c r="Y496" s="35" t="s">
        <v>5093</v>
      </c>
      <c r="Z496" s="35"/>
      <c r="AA496" s="35"/>
      <c r="AB496" s="35">
        <v>230150004</v>
      </c>
      <c r="AC496" s="35">
        <v>230150004006</v>
      </c>
      <c r="AD496" s="35">
        <v>230150004006007</v>
      </c>
      <c r="AE496" s="63">
        <v>3</v>
      </c>
      <c r="AF496" s="63" t="s">
        <v>377</v>
      </c>
      <c r="AG496" s="29" t="s">
        <v>65</v>
      </c>
      <c r="AH496" s="75"/>
      <c r="AI496" s="65" t="s">
        <v>66</v>
      </c>
      <c r="AJ496" s="32" t="s">
        <v>6938</v>
      </c>
      <c r="AK496" s="33" t="s">
        <v>67</v>
      </c>
      <c r="AL496" s="58">
        <v>45583</v>
      </c>
      <c r="AM496" s="35" t="s">
        <v>66</v>
      </c>
      <c r="AN496" s="35"/>
      <c r="AO496" s="35"/>
      <c r="AP496" s="35"/>
      <c r="AQ496" s="37">
        <f t="shared" si="24"/>
        <v>0</v>
      </c>
      <c r="AR496" s="38">
        <f t="shared" si="25"/>
        <v>0</v>
      </c>
      <c r="AS496" s="39">
        <f t="shared" si="26"/>
        <v>0</v>
      </c>
      <c r="AT496" s="99"/>
      <c r="AU496" s="99" t="s">
        <v>1356</v>
      </c>
      <c r="AV496" s="99"/>
      <c r="AW496" s="100"/>
      <c r="AX496" s="99"/>
      <c r="AY496" s="101"/>
      <c r="AZ496" s="99"/>
      <c r="BA496" s="99" t="s">
        <v>1356</v>
      </c>
      <c r="BB496" s="99"/>
      <c r="BC496" s="101"/>
      <c r="BD496" s="99"/>
      <c r="BE496" s="101"/>
      <c r="BF496" s="99"/>
      <c r="BG496" s="99" t="s">
        <v>1356</v>
      </c>
      <c r="BH496" s="99"/>
      <c r="BI496" s="101"/>
      <c r="BJ496" s="99"/>
      <c r="BK496" s="101"/>
      <c r="BL496" s="99"/>
      <c r="BM496" s="99" t="s">
        <v>1356</v>
      </c>
      <c r="BN496" s="99"/>
      <c r="BO496" s="101"/>
      <c r="BP496" s="99"/>
      <c r="BQ496" s="101"/>
      <c r="BR496" s="99"/>
      <c r="BS496" s="99" t="s">
        <v>1356</v>
      </c>
      <c r="BT496" s="99"/>
      <c r="BU496" s="101"/>
      <c r="BV496" s="99"/>
      <c r="BW496" s="101"/>
      <c r="BX496" s="119"/>
      <c r="BY496" s="119" t="s">
        <v>1356</v>
      </c>
      <c r="BZ496" s="119"/>
      <c r="CA496" s="120"/>
      <c r="CB496" s="119"/>
      <c r="CC496" s="120"/>
      <c r="CD496" s="119"/>
      <c r="CE496" s="119" t="s">
        <v>1356</v>
      </c>
      <c r="CF496" s="119"/>
      <c r="CG496" s="120"/>
      <c r="CH496" s="119"/>
      <c r="CI496" s="120"/>
      <c r="CJ496" s="119"/>
      <c r="CK496" s="119" t="s">
        <v>1356</v>
      </c>
      <c r="CL496" s="119"/>
      <c r="CM496" s="120"/>
      <c r="CN496" s="119"/>
      <c r="CO496" s="120"/>
      <c r="CP496" s="119"/>
      <c r="CQ496" s="119" t="s">
        <v>1356</v>
      </c>
      <c r="CR496" s="119"/>
      <c r="CS496" s="120"/>
      <c r="CT496" s="119"/>
      <c r="CU496" s="120"/>
      <c r="CV496" s="119"/>
      <c r="CW496" s="119" t="s">
        <v>1356</v>
      </c>
      <c r="CX496" s="119"/>
      <c r="CY496" s="120"/>
      <c r="CZ496" s="119"/>
      <c r="DA496" s="120"/>
      <c r="DB496" s="36" t="s">
        <v>7085</v>
      </c>
      <c r="DC496" s="59" t="s">
        <v>105</v>
      </c>
    </row>
    <row r="497" spans="1:107" s="40" customFormat="1" x14ac:dyDescent="0.3">
      <c r="A497" s="35" t="s">
        <v>4219</v>
      </c>
      <c r="B497" s="35" t="s">
        <v>5094</v>
      </c>
      <c r="C497" s="35" t="s">
        <v>5095</v>
      </c>
      <c r="D497" s="35" t="s">
        <v>5096</v>
      </c>
      <c r="E497" s="35" t="s">
        <v>5097</v>
      </c>
      <c r="F497" s="35" t="s">
        <v>291</v>
      </c>
      <c r="G497" s="35" t="s">
        <v>4237</v>
      </c>
      <c r="H497" s="27" t="s">
        <v>686</v>
      </c>
      <c r="I497" s="62">
        <v>907</v>
      </c>
      <c r="J497" s="62">
        <v>90750</v>
      </c>
      <c r="K497" s="63">
        <v>4</v>
      </c>
      <c r="L497" s="35" t="s">
        <v>5098</v>
      </c>
      <c r="M497" s="35"/>
      <c r="N497" s="35" t="s">
        <v>5099</v>
      </c>
      <c r="O497" s="35" t="s">
        <v>5100</v>
      </c>
      <c r="P497" s="35"/>
      <c r="Q497" s="35"/>
      <c r="R497" s="35" t="s">
        <v>113</v>
      </c>
      <c r="S497" s="35"/>
      <c r="T497" s="35"/>
      <c r="U497" s="35"/>
      <c r="V497" s="35"/>
      <c r="W497" s="35" t="s">
        <v>5101</v>
      </c>
      <c r="X497" s="35"/>
      <c r="Y497" s="35" t="s">
        <v>5102</v>
      </c>
      <c r="Z497" s="35">
        <v>-79.815019000000007</v>
      </c>
      <c r="AA497" s="35">
        <v>-2.201209</v>
      </c>
      <c r="AB497" s="35">
        <v>90750071</v>
      </c>
      <c r="AC497" s="35">
        <v>90750071007</v>
      </c>
      <c r="AD497" s="35">
        <v>90750071007001</v>
      </c>
      <c r="AE497" s="63">
        <v>3</v>
      </c>
      <c r="AF497" s="63" t="s">
        <v>377</v>
      </c>
      <c r="AG497" s="29" t="s">
        <v>65</v>
      </c>
      <c r="AH497" s="75"/>
      <c r="AI497" s="65" t="s">
        <v>66</v>
      </c>
      <c r="AJ497" s="32" t="s">
        <v>6938</v>
      </c>
      <c r="AK497" s="33" t="s">
        <v>67</v>
      </c>
      <c r="AL497" s="58">
        <v>45583</v>
      </c>
      <c r="AM497" s="35" t="s">
        <v>66</v>
      </c>
      <c r="AN497" s="35"/>
      <c r="AO497" s="35"/>
      <c r="AP497" s="35"/>
      <c r="AQ497" s="37">
        <f t="shared" si="24"/>
        <v>0</v>
      </c>
      <c r="AR497" s="38">
        <f t="shared" si="25"/>
        <v>0</v>
      </c>
      <c r="AS497" s="39">
        <f t="shared" si="26"/>
        <v>0</v>
      </c>
      <c r="AT497" s="99"/>
      <c r="AU497" s="99" t="s">
        <v>1356</v>
      </c>
      <c r="AV497" s="99"/>
      <c r="AW497" s="100"/>
      <c r="AX497" s="99"/>
      <c r="AY497" s="101"/>
      <c r="AZ497" s="99"/>
      <c r="BA497" s="99" t="s">
        <v>1356</v>
      </c>
      <c r="BB497" s="99"/>
      <c r="BC497" s="101"/>
      <c r="BD497" s="99"/>
      <c r="BE497" s="101"/>
      <c r="BF497" s="99"/>
      <c r="BG497" s="99" t="s">
        <v>1356</v>
      </c>
      <c r="BH497" s="99"/>
      <c r="BI497" s="101"/>
      <c r="BJ497" s="99"/>
      <c r="BK497" s="101"/>
      <c r="BL497" s="99"/>
      <c r="BM497" s="99" t="s">
        <v>1356</v>
      </c>
      <c r="BN497" s="99"/>
      <c r="BO497" s="101"/>
      <c r="BP497" s="99"/>
      <c r="BQ497" s="101"/>
      <c r="BR497" s="99"/>
      <c r="BS497" s="99" t="s">
        <v>1356</v>
      </c>
      <c r="BT497" s="99"/>
      <c r="BU497" s="101"/>
      <c r="BV497" s="99"/>
      <c r="BW497" s="101"/>
      <c r="BX497" s="119"/>
      <c r="BY497" s="119" t="s">
        <v>1356</v>
      </c>
      <c r="BZ497" s="119"/>
      <c r="CA497" s="120"/>
      <c r="CB497" s="119"/>
      <c r="CC497" s="120"/>
      <c r="CD497" s="119"/>
      <c r="CE497" s="119" t="s">
        <v>1356</v>
      </c>
      <c r="CF497" s="119"/>
      <c r="CG497" s="120"/>
      <c r="CH497" s="119"/>
      <c r="CI497" s="120"/>
      <c r="CJ497" s="119"/>
      <c r="CK497" s="119" t="s">
        <v>1356</v>
      </c>
      <c r="CL497" s="119"/>
      <c r="CM497" s="120"/>
      <c r="CN497" s="119"/>
      <c r="CO497" s="120"/>
      <c r="CP497" s="119"/>
      <c r="CQ497" s="119" t="s">
        <v>1356</v>
      </c>
      <c r="CR497" s="119"/>
      <c r="CS497" s="120"/>
      <c r="CT497" s="119"/>
      <c r="CU497" s="120"/>
      <c r="CV497" s="119"/>
      <c r="CW497" s="119" t="s">
        <v>1356</v>
      </c>
      <c r="CX497" s="119"/>
      <c r="CY497" s="120"/>
      <c r="CZ497" s="119"/>
      <c r="DA497" s="120"/>
      <c r="DB497" s="36" t="s">
        <v>7085</v>
      </c>
      <c r="DC497" s="59" t="s">
        <v>2935</v>
      </c>
    </row>
    <row r="498" spans="1:107" s="40" customFormat="1" x14ac:dyDescent="0.3">
      <c r="A498" s="66" t="s">
        <v>3500</v>
      </c>
      <c r="B498" s="66" t="s">
        <v>3699</v>
      </c>
      <c r="C498" s="66" t="s">
        <v>3700</v>
      </c>
      <c r="D498" s="66" t="s">
        <v>1127</v>
      </c>
      <c r="E498" s="66" t="s">
        <v>1128</v>
      </c>
      <c r="F498" s="66" t="s">
        <v>309</v>
      </c>
      <c r="G498" s="68" t="s">
        <v>72</v>
      </c>
      <c r="H498" s="43" t="s">
        <v>251</v>
      </c>
      <c r="I498" s="68">
        <v>1705</v>
      </c>
      <c r="J498" s="68">
        <v>170550</v>
      </c>
      <c r="K498" s="69">
        <v>4</v>
      </c>
      <c r="L498" s="66" t="s">
        <v>1129</v>
      </c>
      <c r="M498" s="66" t="s">
        <v>1130</v>
      </c>
      <c r="N498" s="66" t="s">
        <v>1131</v>
      </c>
      <c r="O498" s="66" t="s">
        <v>1132</v>
      </c>
      <c r="P498" s="66"/>
      <c r="Q498" s="66"/>
      <c r="R498" s="66" t="s">
        <v>60</v>
      </c>
      <c r="S498" s="66"/>
      <c r="T498" s="66"/>
      <c r="U498" s="66"/>
      <c r="V498" s="66"/>
      <c r="W498" s="66" t="s">
        <v>1133</v>
      </c>
      <c r="X498" s="66" t="s">
        <v>1134</v>
      </c>
      <c r="Y498" s="66" t="s">
        <v>1135</v>
      </c>
      <c r="Z498" s="66"/>
      <c r="AA498" s="66"/>
      <c r="AB498" s="66">
        <v>170550007</v>
      </c>
      <c r="AC498" s="66">
        <v>170550007007</v>
      </c>
      <c r="AD498" s="66">
        <v>170550007007002</v>
      </c>
      <c r="AE498" s="69">
        <v>5</v>
      </c>
      <c r="AF498" s="69" t="s">
        <v>772</v>
      </c>
      <c r="AG498" s="46" t="s">
        <v>66</v>
      </c>
      <c r="AH498" s="70" t="s">
        <v>1136</v>
      </c>
      <c r="AI498" s="71" t="s">
        <v>66</v>
      </c>
      <c r="AJ498" s="49" t="s">
        <v>6938</v>
      </c>
      <c r="AK498" s="50" t="s">
        <v>67</v>
      </c>
      <c r="AL498" s="58">
        <v>45583</v>
      </c>
      <c r="AM498" s="52" t="s">
        <v>66</v>
      </c>
      <c r="AN498" s="52"/>
      <c r="AO498" s="52"/>
      <c r="AP498" s="52"/>
      <c r="AQ498" s="53">
        <f t="shared" si="24"/>
        <v>3</v>
      </c>
      <c r="AR498" s="54">
        <f t="shared" si="25"/>
        <v>0</v>
      </c>
      <c r="AS498" s="55">
        <f t="shared" si="26"/>
        <v>3</v>
      </c>
      <c r="AT498" s="102" t="s">
        <v>1137</v>
      </c>
      <c r="AU498" s="103" t="s">
        <v>6724</v>
      </c>
      <c r="AV498" s="104">
        <v>44.83</v>
      </c>
      <c r="AW498" s="105">
        <v>45583</v>
      </c>
      <c r="AX498" s="104">
        <v>44.83</v>
      </c>
      <c r="AY498" s="106">
        <v>45611</v>
      </c>
      <c r="AZ498" s="102" t="s">
        <v>731</v>
      </c>
      <c r="BA498" s="103" t="s">
        <v>6725</v>
      </c>
      <c r="BB498" s="104">
        <v>1.25</v>
      </c>
      <c r="BC498" s="106">
        <v>45583</v>
      </c>
      <c r="BD498" s="104">
        <v>1.25</v>
      </c>
      <c r="BE498" s="106">
        <v>45611</v>
      </c>
      <c r="BF498" s="102" t="s">
        <v>1138</v>
      </c>
      <c r="BG498" s="103" t="s">
        <v>6726</v>
      </c>
      <c r="BH498" s="104">
        <v>10.64</v>
      </c>
      <c r="BI498" s="106">
        <v>45583</v>
      </c>
      <c r="BJ498" s="104">
        <v>10.64</v>
      </c>
      <c r="BK498" s="106"/>
      <c r="BL498" s="102"/>
      <c r="BM498" s="103" t="s">
        <v>1356</v>
      </c>
      <c r="BN498" s="104"/>
      <c r="BO498" s="106"/>
      <c r="BP498" s="104"/>
      <c r="BQ498" s="106"/>
      <c r="BR498" s="102"/>
      <c r="BS498" s="103" t="s">
        <v>1356</v>
      </c>
      <c r="BT498" s="104"/>
      <c r="BU498" s="106"/>
      <c r="BV498" s="104"/>
      <c r="BW498" s="106"/>
      <c r="BX498" s="121"/>
      <c r="BY498" s="122" t="s">
        <v>1356</v>
      </c>
      <c r="BZ498" s="123"/>
      <c r="CA498" s="124"/>
      <c r="CB498" s="123"/>
      <c r="CC498" s="124"/>
      <c r="CD498" s="121"/>
      <c r="CE498" s="122" t="s">
        <v>1356</v>
      </c>
      <c r="CF498" s="123"/>
      <c r="CG498" s="124"/>
      <c r="CH498" s="123"/>
      <c r="CI498" s="124"/>
      <c r="CJ498" s="121"/>
      <c r="CK498" s="122" t="s">
        <v>1356</v>
      </c>
      <c r="CL498" s="123"/>
      <c r="CM498" s="124"/>
      <c r="CN498" s="123"/>
      <c r="CO498" s="124"/>
      <c r="CP498" s="121"/>
      <c r="CQ498" s="122" t="s">
        <v>1356</v>
      </c>
      <c r="CR498" s="123"/>
      <c r="CS498" s="124"/>
      <c r="CT498" s="123"/>
      <c r="CU498" s="124"/>
      <c r="CV498" s="121"/>
      <c r="CW498" s="122" t="s">
        <v>1356</v>
      </c>
      <c r="CX498" s="123"/>
      <c r="CY498" s="124"/>
      <c r="CZ498" s="123"/>
      <c r="DA498" s="124"/>
      <c r="DB498" s="52" t="s">
        <v>6962</v>
      </c>
      <c r="DC498" s="73" t="s">
        <v>105</v>
      </c>
    </row>
    <row r="499" spans="1:107" s="40" customFormat="1" ht="14.55" customHeight="1" x14ac:dyDescent="0.3">
      <c r="A499" s="66" t="s">
        <v>3500</v>
      </c>
      <c r="B499" s="66" t="s">
        <v>3701</v>
      </c>
      <c r="C499" s="66" t="s">
        <v>3702</v>
      </c>
      <c r="D499" s="66" t="s">
        <v>1139</v>
      </c>
      <c r="E499" s="66" t="s">
        <v>1140</v>
      </c>
      <c r="F499" s="66" t="s">
        <v>327</v>
      </c>
      <c r="G499" s="68" t="s">
        <v>72</v>
      </c>
      <c r="H499" s="43" t="s">
        <v>251</v>
      </c>
      <c r="I499" s="68">
        <v>1701</v>
      </c>
      <c r="J499" s="68">
        <v>170150</v>
      </c>
      <c r="K499" s="69">
        <v>4</v>
      </c>
      <c r="L499" s="66" t="s">
        <v>1141</v>
      </c>
      <c r="M499" s="66" t="s">
        <v>1142</v>
      </c>
      <c r="N499" s="66" t="s">
        <v>1143</v>
      </c>
      <c r="O499" s="66"/>
      <c r="P499" s="66"/>
      <c r="Q499" s="66"/>
      <c r="R499" s="66" t="s">
        <v>60</v>
      </c>
      <c r="S499" s="66"/>
      <c r="T499" s="66"/>
      <c r="U499" s="66" t="s">
        <v>1144</v>
      </c>
      <c r="V499" s="66"/>
      <c r="W499" s="66" t="s">
        <v>1145</v>
      </c>
      <c r="X499" s="66" t="s">
        <v>1146</v>
      </c>
      <c r="Y499" s="66" t="s">
        <v>1147</v>
      </c>
      <c r="Z499" s="66">
        <v>-78.547111999999998</v>
      </c>
      <c r="AA499" s="66">
        <v>-0.303394</v>
      </c>
      <c r="AB499" s="66">
        <v>170150412</v>
      </c>
      <c r="AC499" s="66">
        <v>170150412006</v>
      </c>
      <c r="AD499" s="66">
        <v>170150412006007</v>
      </c>
      <c r="AE499" s="69">
        <v>5</v>
      </c>
      <c r="AF499" s="69" t="s">
        <v>772</v>
      </c>
      <c r="AG499" s="46" t="s">
        <v>66</v>
      </c>
      <c r="AH499" s="70" t="s">
        <v>1148</v>
      </c>
      <c r="AI499" s="71" t="s">
        <v>66</v>
      </c>
      <c r="AJ499" s="49" t="s">
        <v>6938</v>
      </c>
      <c r="AK499" s="50" t="s">
        <v>67</v>
      </c>
      <c r="AL499" s="58">
        <v>45583</v>
      </c>
      <c r="AM499" s="52" t="s">
        <v>66</v>
      </c>
      <c r="AN499" s="52"/>
      <c r="AO499" s="52"/>
      <c r="AP499" s="52"/>
      <c r="AQ499" s="53">
        <f t="shared" si="24"/>
        <v>2</v>
      </c>
      <c r="AR499" s="54">
        <f t="shared" si="25"/>
        <v>0</v>
      </c>
      <c r="AS499" s="55">
        <f t="shared" si="26"/>
        <v>2</v>
      </c>
      <c r="AT499" s="102" t="s">
        <v>1149</v>
      </c>
      <c r="AU499" s="103" t="s">
        <v>6727</v>
      </c>
      <c r="AV499" s="104">
        <v>4.55</v>
      </c>
      <c r="AW499" s="105">
        <v>45583</v>
      </c>
      <c r="AX499" s="104">
        <v>4.55</v>
      </c>
      <c r="AY499" s="106">
        <v>45611</v>
      </c>
      <c r="AZ499" s="102" t="s">
        <v>1150</v>
      </c>
      <c r="BA499" s="103" t="s">
        <v>6728</v>
      </c>
      <c r="BB499" s="104">
        <v>1.01</v>
      </c>
      <c r="BC499" s="106">
        <v>45583</v>
      </c>
      <c r="BD499" s="104">
        <v>1.01</v>
      </c>
      <c r="BE499" s="106">
        <v>45611</v>
      </c>
      <c r="BF499" s="102"/>
      <c r="BG499" s="103" t="s">
        <v>1356</v>
      </c>
      <c r="BH499" s="104"/>
      <c r="BI499" s="106"/>
      <c r="BJ499" s="104"/>
      <c r="BK499" s="106"/>
      <c r="BL499" s="102"/>
      <c r="BM499" s="103" t="s">
        <v>1356</v>
      </c>
      <c r="BN499" s="104"/>
      <c r="BO499" s="106"/>
      <c r="BP499" s="104"/>
      <c r="BQ499" s="106"/>
      <c r="BR499" s="102"/>
      <c r="BS499" s="103" t="s">
        <v>1356</v>
      </c>
      <c r="BT499" s="104"/>
      <c r="BU499" s="106"/>
      <c r="BV499" s="104"/>
      <c r="BW499" s="106"/>
      <c r="BX499" s="121"/>
      <c r="BY499" s="122" t="s">
        <v>1356</v>
      </c>
      <c r="BZ499" s="123"/>
      <c r="CA499" s="124"/>
      <c r="CB499" s="123"/>
      <c r="CC499" s="124"/>
      <c r="CD499" s="121"/>
      <c r="CE499" s="122" t="s">
        <v>1356</v>
      </c>
      <c r="CF499" s="123"/>
      <c r="CG499" s="124"/>
      <c r="CH499" s="123"/>
      <c r="CI499" s="124"/>
      <c r="CJ499" s="121"/>
      <c r="CK499" s="122" t="s">
        <v>1356</v>
      </c>
      <c r="CL499" s="123"/>
      <c r="CM499" s="124"/>
      <c r="CN499" s="123"/>
      <c r="CO499" s="124"/>
      <c r="CP499" s="121"/>
      <c r="CQ499" s="122" t="s">
        <v>1356</v>
      </c>
      <c r="CR499" s="123"/>
      <c r="CS499" s="124"/>
      <c r="CT499" s="123"/>
      <c r="CU499" s="124"/>
      <c r="CV499" s="121"/>
      <c r="CW499" s="122" t="s">
        <v>1356</v>
      </c>
      <c r="CX499" s="123"/>
      <c r="CY499" s="124"/>
      <c r="CZ499" s="123"/>
      <c r="DA499" s="124"/>
      <c r="DB499" s="52" t="s">
        <v>6962</v>
      </c>
      <c r="DC499" s="73" t="s">
        <v>105</v>
      </c>
    </row>
    <row r="500" spans="1:107" s="40" customFormat="1" ht="14.55" customHeight="1" x14ac:dyDescent="0.3">
      <c r="A500" s="35" t="s">
        <v>4219</v>
      </c>
      <c r="B500" s="35" t="s">
        <v>5124</v>
      </c>
      <c r="C500" s="35" t="s">
        <v>5125</v>
      </c>
      <c r="D500" s="35" t="s">
        <v>5126</v>
      </c>
      <c r="E500" s="35" t="s">
        <v>70</v>
      </c>
      <c r="F500" s="35" t="s">
        <v>309</v>
      </c>
      <c r="G500" s="35" t="s">
        <v>4237</v>
      </c>
      <c r="H500" s="27" t="s">
        <v>686</v>
      </c>
      <c r="I500" s="62">
        <v>901</v>
      </c>
      <c r="J500" s="62">
        <v>90150</v>
      </c>
      <c r="K500" s="63">
        <v>4</v>
      </c>
      <c r="L500" s="35" t="s">
        <v>5127</v>
      </c>
      <c r="M500" s="35"/>
      <c r="N500" s="35" t="s">
        <v>5128</v>
      </c>
      <c r="O500" s="35"/>
      <c r="P500" s="35"/>
      <c r="Q500" s="35"/>
      <c r="R500" s="35"/>
      <c r="S500" s="35"/>
      <c r="T500" s="35"/>
      <c r="U500" s="35"/>
      <c r="V500" s="35"/>
      <c r="W500" s="35" t="s">
        <v>5129</v>
      </c>
      <c r="X500" s="35"/>
      <c r="Y500" s="35"/>
      <c r="Z500" s="35"/>
      <c r="AA500" s="35"/>
      <c r="AB500" s="35"/>
      <c r="AC500" s="35"/>
      <c r="AD500" s="35"/>
      <c r="AE500" s="63">
        <v>3</v>
      </c>
      <c r="AF500" s="63" t="s">
        <v>377</v>
      </c>
      <c r="AG500" s="29" t="s">
        <v>65</v>
      </c>
      <c r="AH500" s="75"/>
      <c r="AI500" s="65" t="s">
        <v>66</v>
      </c>
      <c r="AJ500" s="32" t="s">
        <v>6938</v>
      </c>
      <c r="AK500" s="33" t="s">
        <v>67</v>
      </c>
      <c r="AL500" s="58">
        <v>45583</v>
      </c>
      <c r="AM500" s="35" t="s">
        <v>66</v>
      </c>
      <c r="AN500" s="35"/>
      <c r="AO500" s="35"/>
      <c r="AP500" s="35"/>
      <c r="AQ500" s="37">
        <f t="shared" si="24"/>
        <v>0</v>
      </c>
      <c r="AR500" s="38">
        <f t="shared" si="25"/>
        <v>0</v>
      </c>
      <c r="AS500" s="39">
        <f t="shared" si="26"/>
        <v>0</v>
      </c>
      <c r="AT500" s="99"/>
      <c r="AU500" s="99" t="s">
        <v>1356</v>
      </c>
      <c r="AV500" s="99"/>
      <c r="AW500" s="100"/>
      <c r="AX500" s="99"/>
      <c r="AY500" s="101"/>
      <c r="AZ500" s="99"/>
      <c r="BA500" s="99" t="s">
        <v>1356</v>
      </c>
      <c r="BB500" s="99"/>
      <c r="BC500" s="101"/>
      <c r="BD500" s="99"/>
      <c r="BE500" s="101"/>
      <c r="BF500" s="99"/>
      <c r="BG500" s="99" t="s">
        <v>1356</v>
      </c>
      <c r="BH500" s="99"/>
      <c r="BI500" s="101"/>
      <c r="BJ500" s="99"/>
      <c r="BK500" s="101"/>
      <c r="BL500" s="99"/>
      <c r="BM500" s="99" t="s">
        <v>1356</v>
      </c>
      <c r="BN500" s="99"/>
      <c r="BO500" s="101"/>
      <c r="BP500" s="99"/>
      <c r="BQ500" s="101"/>
      <c r="BR500" s="99"/>
      <c r="BS500" s="99" t="s">
        <v>1356</v>
      </c>
      <c r="BT500" s="99"/>
      <c r="BU500" s="101"/>
      <c r="BV500" s="99"/>
      <c r="BW500" s="101"/>
      <c r="BX500" s="119"/>
      <c r="BY500" s="119" t="s">
        <v>1356</v>
      </c>
      <c r="BZ500" s="119"/>
      <c r="CA500" s="120"/>
      <c r="CB500" s="119"/>
      <c r="CC500" s="120"/>
      <c r="CD500" s="119"/>
      <c r="CE500" s="119" t="s">
        <v>1356</v>
      </c>
      <c r="CF500" s="119"/>
      <c r="CG500" s="120"/>
      <c r="CH500" s="119"/>
      <c r="CI500" s="120"/>
      <c r="CJ500" s="119"/>
      <c r="CK500" s="119" t="s">
        <v>1356</v>
      </c>
      <c r="CL500" s="119"/>
      <c r="CM500" s="120"/>
      <c r="CN500" s="119"/>
      <c r="CO500" s="120"/>
      <c r="CP500" s="119"/>
      <c r="CQ500" s="119" t="s">
        <v>1356</v>
      </c>
      <c r="CR500" s="119"/>
      <c r="CS500" s="120"/>
      <c r="CT500" s="119"/>
      <c r="CU500" s="120"/>
      <c r="CV500" s="119"/>
      <c r="CW500" s="119" t="s">
        <v>1356</v>
      </c>
      <c r="CX500" s="119"/>
      <c r="CY500" s="120"/>
      <c r="CZ500" s="119"/>
      <c r="DA500" s="120"/>
      <c r="DB500" s="36" t="s">
        <v>7085</v>
      </c>
      <c r="DC500" s="59" t="s">
        <v>105</v>
      </c>
    </row>
    <row r="501" spans="1:107" s="40" customFormat="1" ht="14.55" customHeight="1" x14ac:dyDescent="0.3">
      <c r="A501" s="35" t="s">
        <v>4219</v>
      </c>
      <c r="B501" s="35" t="s">
        <v>5130</v>
      </c>
      <c r="C501" s="35" t="s">
        <v>5131</v>
      </c>
      <c r="D501" s="35" t="s">
        <v>5132</v>
      </c>
      <c r="E501" s="35"/>
      <c r="F501" s="35" t="s">
        <v>352</v>
      </c>
      <c r="G501" s="35" t="s">
        <v>4237</v>
      </c>
      <c r="H501" s="27" t="s">
        <v>686</v>
      </c>
      <c r="I501" s="62">
        <v>901</v>
      </c>
      <c r="J501" s="62">
        <v>90150</v>
      </c>
      <c r="K501" s="63">
        <v>4</v>
      </c>
      <c r="L501" s="35" t="s">
        <v>5133</v>
      </c>
      <c r="M501" s="35" t="s">
        <v>258</v>
      </c>
      <c r="N501" s="35" t="s">
        <v>5134</v>
      </c>
      <c r="O501" s="35" t="s">
        <v>5135</v>
      </c>
      <c r="P501" s="35"/>
      <c r="Q501" s="35" t="s">
        <v>5136</v>
      </c>
      <c r="R501" s="35" t="s">
        <v>113</v>
      </c>
      <c r="S501" s="35"/>
      <c r="T501" s="35"/>
      <c r="U501" s="35" t="s">
        <v>5137</v>
      </c>
      <c r="V501" s="35"/>
      <c r="W501" s="35" t="s">
        <v>5138</v>
      </c>
      <c r="X501" s="35" t="s">
        <v>5139</v>
      </c>
      <c r="Y501" s="35" t="s">
        <v>5140</v>
      </c>
      <c r="Z501" s="35">
        <v>-80.052268803119659</v>
      </c>
      <c r="AA501" s="35">
        <v>-2.193741453780881</v>
      </c>
      <c r="AB501" s="35">
        <v>90150215</v>
      </c>
      <c r="AC501" s="35">
        <v>90150215001</v>
      </c>
      <c r="AD501" s="35">
        <v>90150215001007</v>
      </c>
      <c r="AE501" s="63">
        <v>3</v>
      </c>
      <c r="AF501" s="63" t="s">
        <v>377</v>
      </c>
      <c r="AG501" s="29" t="s">
        <v>65</v>
      </c>
      <c r="AH501" s="75"/>
      <c r="AI501" s="65" t="s">
        <v>66</v>
      </c>
      <c r="AJ501" s="32" t="s">
        <v>6938</v>
      </c>
      <c r="AK501" s="33" t="s">
        <v>67</v>
      </c>
      <c r="AL501" s="58">
        <v>45583</v>
      </c>
      <c r="AM501" s="35" t="s">
        <v>66</v>
      </c>
      <c r="AN501" s="35"/>
      <c r="AO501" s="35"/>
      <c r="AP501" s="35"/>
      <c r="AQ501" s="37">
        <f t="shared" si="24"/>
        <v>0</v>
      </c>
      <c r="AR501" s="38">
        <f t="shared" si="25"/>
        <v>0</v>
      </c>
      <c r="AS501" s="39">
        <f t="shared" si="26"/>
        <v>0</v>
      </c>
      <c r="AT501" s="99"/>
      <c r="AU501" s="99" t="s">
        <v>1356</v>
      </c>
      <c r="AV501" s="99"/>
      <c r="AW501" s="100"/>
      <c r="AX501" s="99"/>
      <c r="AY501" s="101"/>
      <c r="AZ501" s="99"/>
      <c r="BA501" s="99" t="s">
        <v>1356</v>
      </c>
      <c r="BB501" s="99"/>
      <c r="BC501" s="101"/>
      <c r="BD501" s="99"/>
      <c r="BE501" s="101"/>
      <c r="BF501" s="99"/>
      <c r="BG501" s="99" t="s">
        <v>1356</v>
      </c>
      <c r="BH501" s="99"/>
      <c r="BI501" s="101"/>
      <c r="BJ501" s="99"/>
      <c r="BK501" s="101"/>
      <c r="BL501" s="99"/>
      <c r="BM501" s="99" t="s">
        <v>1356</v>
      </c>
      <c r="BN501" s="99"/>
      <c r="BO501" s="101"/>
      <c r="BP501" s="99"/>
      <c r="BQ501" s="101"/>
      <c r="BR501" s="99"/>
      <c r="BS501" s="99" t="s">
        <v>1356</v>
      </c>
      <c r="BT501" s="99"/>
      <c r="BU501" s="101"/>
      <c r="BV501" s="99"/>
      <c r="BW501" s="101"/>
      <c r="BX501" s="119"/>
      <c r="BY501" s="119" t="s">
        <v>1356</v>
      </c>
      <c r="BZ501" s="119"/>
      <c r="CA501" s="120"/>
      <c r="CB501" s="119"/>
      <c r="CC501" s="120"/>
      <c r="CD501" s="119"/>
      <c r="CE501" s="119" t="s">
        <v>1356</v>
      </c>
      <c r="CF501" s="119"/>
      <c r="CG501" s="120"/>
      <c r="CH501" s="119"/>
      <c r="CI501" s="120"/>
      <c r="CJ501" s="119"/>
      <c r="CK501" s="119" t="s">
        <v>1356</v>
      </c>
      <c r="CL501" s="119"/>
      <c r="CM501" s="120"/>
      <c r="CN501" s="119"/>
      <c r="CO501" s="120"/>
      <c r="CP501" s="119"/>
      <c r="CQ501" s="119" t="s">
        <v>1356</v>
      </c>
      <c r="CR501" s="119"/>
      <c r="CS501" s="120"/>
      <c r="CT501" s="119"/>
      <c r="CU501" s="120"/>
      <c r="CV501" s="119"/>
      <c r="CW501" s="119" t="s">
        <v>1356</v>
      </c>
      <c r="CX501" s="119"/>
      <c r="CY501" s="120"/>
      <c r="CZ501" s="119"/>
      <c r="DA501" s="120"/>
      <c r="DB501" s="36" t="s">
        <v>7085</v>
      </c>
      <c r="DC501" s="59" t="s">
        <v>105</v>
      </c>
    </row>
    <row r="502" spans="1:107" s="40" customFormat="1" x14ac:dyDescent="0.3">
      <c r="A502" s="35" t="s">
        <v>4219</v>
      </c>
      <c r="B502" s="35" t="s">
        <v>5141</v>
      </c>
      <c r="C502" s="35" t="s">
        <v>5142</v>
      </c>
      <c r="D502" s="35" t="s">
        <v>5143</v>
      </c>
      <c r="E502" s="35" t="s">
        <v>70</v>
      </c>
      <c r="F502" s="35" t="s">
        <v>3036</v>
      </c>
      <c r="G502" s="35" t="s">
        <v>461</v>
      </c>
      <c r="H502" s="27" t="s">
        <v>6933</v>
      </c>
      <c r="I502" s="62">
        <v>1309</v>
      </c>
      <c r="J502" s="62">
        <v>130952</v>
      </c>
      <c r="K502" s="63">
        <v>4</v>
      </c>
      <c r="L502" s="35" t="s">
        <v>4857</v>
      </c>
      <c r="M502" s="35" t="s">
        <v>258</v>
      </c>
      <c r="N502" s="35" t="s">
        <v>5144</v>
      </c>
      <c r="O502" s="35"/>
      <c r="P502" s="35"/>
      <c r="Q502" s="35"/>
      <c r="R502" s="35"/>
      <c r="S502" s="35"/>
      <c r="T502" s="35"/>
      <c r="U502" s="35"/>
      <c r="V502" s="35"/>
      <c r="W502" s="35" t="s">
        <v>5145</v>
      </c>
      <c r="X502" s="35"/>
      <c r="Y502" s="35" t="s">
        <v>5146</v>
      </c>
      <c r="Z502" s="35"/>
      <c r="AA502" s="35"/>
      <c r="AB502" s="35"/>
      <c r="AC502" s="35"/>
      <c r="AD502" s="35"/>
      <c r="AE502" s="63">
        <v>4</v>
      </c>
      <c r="AF502" s="63" t="s">
        <v>499</v>
      </c>
      <c r="AG502" s="29" t="s">
        <v>65</v>
      </c>
      <c r="AH502" s="75"/>
      <c r="AI502" s="65" t="s">
        <v>66</v>
      </c>
      <c r="AJ502" s="32" t="s">
        <v>6938</v>
      </c>
      <c r="AK502" s="33" t="s">
        <v>67</v>
      </c>
      <c r="AL502" s="58">
        <v>45583</v>
      </c>
      <c r="AM502" s="35" t="s">
        <v>66</v>
      </c>
      <c r="AN502" s="35"/>
      <c r="AO502" s="35"/>
      <c r="AP502" s="35"/>
      <c r="AQ502" s="37">
        <f t="shared" si="24"/>
        <v>0</v>
      </c>
      <c r="AR502" s="38">
        <f t="shared" si="25"/>
        <v>0</v>
      </c>
      <c r="AS502" s="39">
        <f t="shared" si="26"/>
        <v>0</v>
      </c>
      <c r="AT502" s="99"/>
      <c r="AU502" s="99" t="s">
        <v>1356</v>
      </c>
      <c r="AV502" s="99"/>
      <c r="AW502" s="100"/>
      <c r="AX502" s="99"/>
      <c r="AY502" s="101"/>
      <c r="AZ502" s="99"/>
      <c r="BA502" s="99" t="s">
        <v>1356</v>
      </c>
      <c r="BB502" s="99"/>
      <c r="BC502" s="101"/>
      <c r="BD502" s="99"/>
      <c r="BE502" s="101"/>
      <c r="BF502" s="99"/>
      <c r="BG502" s="99" t="s">
        <v>1356</v>
      </c>
      <c r="BH502" s="99"/>
      <c r="BI502" s="101"/>
      <c r="BJ502" s="99"/>
      <c r="BK502" s="101"/>
      <c r="BL502" s="99"/>
      <c r="BM502" s="99" t="s">
        <v>1356</v>
      </c>
      <c r="BN502" s="99"/>
      <c r="BO502" s="101"/>
      <c r="BP502" s="99"/>
      <c r="BQ502" s="101"/>
      <c r="BR502" s="99"/>
      <c r="BS502" s="99" t="s">
        <v>1356</v>
      </c>
      <c r="BT502" s="99"/>
      <c r="BU502" s="101"/>
      <c r="BV502" s="99"/>
      <c r="BW502" s="101"/>
      <c r="BX502" s="119"/>
      <c r="BY502" s="119" t="s">
        <v>1356</v>
      </c>
      <c r="BZ502" s="119"/>
      <c r="CA502" s="120"/>
      <c r="CB502" s="119"/>
      <c r="CC502" s="120"/>
      <c r="CD502" s="119"/>
      <c r="CE502" s="119" t="s">
        <v>1356</v>
      </c>
      <c r="CF502" s="119"/>
      <c r="CG502" s="120"/>
      <c r="CH502" s="119"/>
      <c r="CI502" s="120"/>
      <c r="CJ502" s="119"/>
      <c r="CK502" s="119" t="s">
        <v>1356</v>
      </c>
      <c r="CL502" s="119"/>
      <c r="CM502" s="120"/>
      <c r="CN502" s="119"/>
      <c r="CO502" s="120"/>
      <c r="CP502" s="119"/>
      <c r="CQ502" s="119" t="s">
        <v>1356</v>
      </c>
      <c r="CR502" s="119"/>
      <c r="CS502" s="120"/>
      <c r="CT502" s="119"/>
      <c r="CU502" s="120"/>
      <c r="CV502" s="119"/>
      <c r="CW502" s="119" t="s">
        <v>1356</v>
      </c>
      <c r="CX502" s="119"/>
      <c r="CY502" s="120"/>
      <c r="CZ502" s="119"/>
      <c r="DA502" s="120"/>
      <c r="DB502" s="36" t="s">
        <v>7085</v>
      </c>
      <c r="DC502" s="59" t="s">
        <v>6751</v>
      </c>
    </row>
    <row r="503" spans="1:107" s="40" customFormat="1" x14ac:dyDescent="0.3">
      <c r="A503" s="35" t="s">
        <v>4219</v>
      </c>
      <c r="B503" s="35" t="s">
        <v>5147</v>
      </c>
      <c r="C503" s="35" t="s">
        <v>5148</v>
      </c>
      <c r="D503" s="35" t="s">
        <v>5149</v>
      </c>
      <c r="E503" s="35" t="s">
        <v>70</v>
      </c>
      <c r="F503" s="35" t="s">
        <v>56</v>
      </c>
      <c r="G503" s="35" t="s">
        <v>461</v>
      </c>
      <c r="H503" s="27" t="s">
        <v>6933</v>
      </c>
      <c r="I503" s="62">
        <v>1308</v>
      </c>
      <c r="J503" s="62">
        <v>130850</v>
      </c>
      <c r="K503" s="63">
        <v>4</v>
      </c>
      <c r="L503" s="35" t="s">
        <v>5150</v>
      </c>
      <c r="M503" s="35" t="s">
        <v>258</v>
      </c>
      <c r="N503" s="35" t="s">
        <v>5151</v>
      </c>
      <c r="O503" s="35"/>
      <c r="P503" s="35"/>
      <c r="Q503" s="35"/>
      <c r="R503" s="35" t="s">
        <v>5152</v>
      </c>
      <c r="S503" s="35" t="s">
        <v>404</v>
      </c>
      <c r="T503" s="35"/>
      <c r="U503" s="35"/>
      <c r="V503" s="35"/>
      <c r="W503" s="35" t="s">
        <v>5153</v>
      </c>
      <c r="X503" s="35" t="s">
        <v>5154</v>
      </c>
      <c r="Y503" s="35" t="s">
        <v>5155</v>
      </c>
      <c r="Z503" s="35">
        <v>-80.706183314323425</v>
      </c>
      <c r="AA503" s="35">
        <v>-0.95167909754318702</v>
      </c>
      <c r="AB503" s="35">
        <v>130850021</v>
      </c>
      <c r="AC503" s="35">
        <v>130850021001</v>
      </c>
      <c r="AD503" s="35">
        <v>130850021001004</v>
      </c>
      <c r="AE503" s="63">
        <v>4</v>
      </c>
      <c r="AF503" s="63" t="s">
        <v>499</v>
      </c>
      <c r="AG503" s="29" t="s">
        <v>65</v>
      </c>
      <c r="AH503" s="75"/>
      <c r="AI503" s="65" t="s">
        <v>66</v>
      </c>
      <c r="AJ503" s="32" t="s">
        <v>6938</v>
      </c>
      <c r="AK503" s="33" t="s">
        <v>67</v>
      </c>
      <c r="AL503" s="58">
        <v>45583</v>
      </c>
      <c r="AM503" s="35" t="s">
        <v>66</v>
      </c>
      <c r="AN503" s="35"/>
      <c r="AO503" s="35"/>
      <c r="AP503" s="35"/>
      <c r="AQ503" s="37">
        <f t="shared" si="24"/>
        <v>0</v>
      </c>
      <c r="AR503" s="38">
        <f t="shared" si="25"/>
        <v>0</v>
      </c>
      <c r="AS503" s="39">
        <f t="shared" si="26"/>
        <v>0</v>
      </c>
      <c r="AT503" s="99"/>
      <c r="AU503" s="99" t="s">
        <v>1356</v>
      </c>
      <c r="AV503" s="99"/>
      <c r="AW503" s="100"/>
      <c r="AX503" s="99"/>
      <c r="AY503" s="101"/>
      <c r="AZ503" s="99"/>
      <c r="BA503" s="99" t="s">
        <v>1356</v>
      </c>
      <c r="BB503" s="99"/>
      <c r="BC503" s="101"/>
      <c r="BD503" s="99"/>
      <c r="BE503" s="101"/>
      <c r="BF503" s="99"/>
      <c r="BG503" s="99" t="s">
        <v>1356</v>
      </c>
      <c r="BH503" s="99"/>
      <c r="BI503" s="101"/>
      <c r="BJ503" s="99"/>
      <c r="BK503" s="101"/>
      <c r="BL503" s="99"/>
      <c r="BM503" s="99" t="s">
        <v>1356</v>
      </c>
      <c r="BN503" s="99"/>
      <c r="BO503" s="101"/>
      <c r="BP503" s="99"/>
      <c r="BQ503" s="101"/>
      <c r="BR503" s="99"/>
      <c r="BS503" s="99" t="s">
        <v>1356</v>
      </c>
      <c r="BT503" s="99"/>
      <c r="BU503" s="101"/>
      <c r="BV503" s="99"/>
      <c r="BW503" s="101"/>
      <c r="BX503" s="119"/>
      <c r="BY503" s="119" t="s">
        <v>1356</v>
      </c>
      <c r="BZ503" s="119"/>
      <c r="CA503" s="120"/>
      <c r="CB503" s="119"/>
      <c r="CC503" s="120"/>
      <c r="CD503" s="119"/>
      <c r="CE503" s="119" t="s">
        <v>1356</v>
      </c>
      <c r="CF503" s="119"/>
      <c r="CG503" s="120"/>
      <c r="CH503" s="119"/>
      <c r="CI503" s="120"/>
      <c r="CJ503" s="119"/>
      <c r="CK503" s="119" t="s">
        <v>1356</v>
      </c>
      <c r="CL503" s="119"/>
      <c r="CM503" s="120"/>
      <c r="CN503" s="119"/>
      <c r="CO503" s="120"/>
      <c r="CP503" s="119"/>
      <c r="CQ503" s="119" t="s">
        <v>1356</v>
      </c>
      <c r="CR503" s="119"/>
      <c r="CS503" s="120"/>
      <c r="CT503" s="119"/>
      <c r="CU503" s="120"/>
      <c r="CV503" s="119"/>
      <c r="CW503" s="119" t="s">
        <v>1356</v>
      </c>
      <c r="CX503" s="119"/>
      <c r="CY503" s="120"/>
      <c r="CZ503" s="119"/>
      <c r="DA503" s="120"/>
      <c r="DB503" s="36" t="s">
        <v>7085</v>
      </c>
      <c r="DC503" s="59" t="s">
        <v>6751</v>
      </c>
    </row>
    <row r="504" spans="1:107" s="40" customFormat="1" x14ac:dyDescent="0.3">
      <c r="A504" s="35" t="s">
        <v>4219</v>
      </c>
      <c r="B504" s="35" t="s">
        <v>5156</v>
      </c>
      <c r="C504" s="35" t="s">
        <v>5157</v>
      </c>
      <c r="D504" s="35" t="s">
        <v>5158</v>
      </c>
      <c r="E504" s="35" t="s">
        <v>5159</v>
      </c>
      <c r="F504" s="35" t="s">
        <v>56</v>
      </c>
      <c r="G504" s="35" t="s">
        <v>461</v>
      </c>
      <c r="H504" s="27" t="s">
        <v>6933</v>
      </c>
      <c r="I504" s="62">
        <v>1308</v>
      </c>
      <c r="J504" s="62">
        <v>130850</v>
      </c>
      <c r="K504" s="63">
        <v>4</v>
      </c>
      <c r="L504" s="35" t="s">
        <v>5160</v>
      </c>
      <c r="M504" s="35" t="s">
        <v>5161</v>
      </c>
      <c r="N504" s="35" t="s">
        <v>5162</v>
      </c>
      <c r="O504" s="35"/>
      <c r="P504" s="35"/>
      <c r="Q504" s="35"/>
      <c r="R504" s="35"/>
      <c r="S504" s="35"/>
      <c r="T504" s="35"/>
      <c r="U504" s="35" t="s">
        <v>5163</v>
      </c>
      <c r="V504" s="35"/>
      <c r="W504" s="35" t="s">
        <v>5164</v>
      </c>
      <c r="X504" s="35" t="s">
        <v>5165</v>
      </c>
      <c r="Y504" s="35" t="s">
        <v>5166</v>
      </c>
      <c r="Z504" s="35"/>
      <c r="AA504" s="35"/>
      <c r="AB504" s="35">
        <v>130850006</v>
      </c>
      <c r="AC504" s="35">
        <v>130850006003</v>
      </c>
      <c r="AD504" s="35">
        <v>130850006003004</v>
      </c>
      <c r="AE504" s="63">
        <v>4</v>
      </c>
      <c r="AF504" s="63" t="s">
        <v>499</v>
      </c>
      <c r="AG504" s="29" t="s">
        <v>65</v>
      </c>
      <c r="AH504" s="75"/>
      <c r="AI504" s="65" t="s">
        <v>66</v>
      </c>
      <c r="AJ504" s="32" t="s">
        <v>6938</v>
      </c>
      <c r="AK504" s="33" t="s">
        <v>67</v>
      </c>
      <c r="AL504" s="58">
        <v>45583</v>
      </c>
      <c r="AM504" s="35" t="s">
        <v>66</v>
      </c>
      <c r="AN504" s="35"/>
      <c r="AO504" s="35"/>
      <c r="AP504" s="35"/>
      <c r="AQ504" s="37">
        <f t="shared" si="24"/>
        <v>0</v>
      </c>
      <c r="AR504" s="38">
        <f t="shared" si="25"/>
        <v>0</v>
      </c>
      <c r="AS504" s="39">
        <f t="shared" si="26"/>
        <v>0</v>
      </c>
      <c r="AT504" s="99"/>
      <c r="AU504" s="99" t="s">
        <v>1356</v>
      </c>
      <c r="AV504" s="99"/>
      <c r="AW504" s="100"/>
      <c r="AX504" s="99"/>
      <c r="AY504" s="101"/>
      <c r="AZ504" s="99"/>
      <c r="BA504" s="99" t="s">
        <v>1356</v>
      </c>
      <c r="BB504" s="99"/>
      <c r="BC504" s="101"/>
      <c r="BD504" s="99"/>
      <c r="BE504" s="101"/>
      <c r="BF504" s="99"/>
      <c r="BG504" s="99" t="s">
        <v>1356</v>
      </c>
      <c r="BH504" s="99"/>
      <c r="BI504" s="101"/>
      <c r="BJ504" s="99"/>
      <c r="BK504" s="101"/>
      <c r="BL504" s="99"/>
      <c r="BM504" s="99" t="s">
        <v>1356</v>
      </c>
      <c r="BN504" s="99"/>
      <c r="BO504" s="101"/>
      <c r="BP504" s="99"/>
      <c r="BQ504" s="101"/>
      <c r="BR504" s="99"/>
      <c r="BS504" s="99" t="s">
        <v>1356</v>
      </c>
      <c r="BT504" s="99"/>
      <c r="BU504" s="101"/>
      <c r="BV504" s="99"/>
      <c r="BW504" s="101"/>
      <c r="BX504" s="119"/>
      <c r="BY504" s="119" t="s">
        <v>1356</v>
      </c>
      <c r="BZ504" s="119"/>
      <c r="CA504" s="120"/>
      <c r="CB504" s="119"/>
      <c r="CC504" s="120"/>
      <c r="CD504" s="119"/>
      <c r="CE504" s="119" t="s">
        <v>1356</v>
      </c>
      <c r="CF504" s="119"/>
      <c r="CG504" s="120"/>
      <c r="CH504" s="119"/>
      <c r="CI504" s="120"/>
      <c r="CJ504" s="119"/>
      <c r="CK504" s="119" t="s">
        <v>1356</v>
      </c>
      <c r="CL504" s="119"/>
      <c r="CM504" s="120"/>
      <c r="CN504" s="119"/>
      <c r="CO504" s="120"/>
      <c r="CP504" s="119"/>
      <c r="CQ504" s="119" t="s">
        <v>1356</v>
      </c>
      <c r="CR504" s="119"/>
      <c r="CS504" s="120"/>
      <c r="CT504" s="119"/>
      <c r="CU504" s="120"/>
      <c r="CV504" s="119"/>
      <c r="CW504" s="119" t="s">
        <v>1356</v>
      </c>
      <c r="CX504" s="119"/>
      <c r="CY504" s="120"/>
      <c r="CZ504" s="119"/>
      <c r="DA504" s="120"/>
      <c r="DB504" s="36" t="s">
        <v>7085</v>
      </c>
      <c r="DC504" s="59" t="s">
        <v>6751</v>
      </c>
    </row>
    <row r="505" spans="1:107" s="40" customFormat="1" ht="14.55" customHeight="1" x14ac:dyDescent="0.3">
      <c r="A505" s="35" t="s">
        <v>4219</v>
      </c>
      <c r="B505" s="35" t="s">
        <v>5167</v>
      </c>
      <c r="C505" s="35" t="s">
        <v>5168</v>
      </c>
      <c r="D505" s="35" t="s">
        <v>5169</v>
      </c>
      <c r="E505" s="35" t="s">
        <v>70</v>
      </c>
      <c r="F505" s="35" t="s">
        <v>4289</v>
      </c>
      <c r="G505" s="35" t="s">
        <v>4230</v>
      </c>
      <c r="H505" s="27" t="s">
        <v>6934</v>
      </c>
      <c r="I505" s="62">
        <v>2402</v>
      </c>
      <c r="J505" s="62">
        <v>240250</v>
      </c>
      <c r="K505" s="63">
        <v>4</v>
      </c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 t="s">
        <v>5170</v>
      </c>
      <c r="X505" s="35"/>
      <c r="Y505" s="35"/>
      <c r="Z505" s="35"/>
      <c r="AA505" s="35"/>
      <c r="AB505" s="35"/>
      <c r="AC505" s="35"/>
      <c r="AD505" s="35"/>
      <c r="AE505" s="63">
        <v>4</v>
      </c>
      <c r="AF505" s="63" t="s">
        <v>499</v>
      </c>
      <c r="AG505" s="29" t="s">
        <v>65</v>
      </c>
      <c r="AH505" s="75"/>
      <c r="AI505" s="65" t="s">
        <v>66</v>
      </c>
      <c r="AJ505" s="32" t="s">
        <v>6938</v>
      </c>
      <c r="AK505" s="33" t="s">
        <v>67</v>
      </c>
      <c r="AL505" s="34">
        <v>45546</v>
      </c>
      <c r="AM505" s="35" t="s">
        <v>66</v>
      </c>
      <c r="AN505" s="35"/>
      <c r="AO505" s="35"/>
      <c r="AP505" s="35"/>
      <c r="AQ505" s="37">
        <f t="shared" si="24"/>
        <v>0</v>
      </c>
      <c r="AR505" s="38">
        <f t="shared" si="25"/>
        <v>0</v>
      </c>
      <c r="AS505" s="39">
        <f t="shared" si="26"/>
        <v>0</v>
      </c>
      <c r="AT505" s="99"/>
      <c r="AU505" s="99" t="s">
        <v>1356</v>
      </c>
      <c r="AV505" s="99"/>
      <c r="AW505" s="100"/>
      <c r="AX505" s="99"/>
      <c r="AY505" s="101"/>
      <c r="AZ505" s="99"/>
      <c r="BA505" s="99" t="s">
        <v>1356</v>
      </c>
      <c r="BB505" s="99"/>
      <c r="BC505" s="101"/>
      <c r="BD505" s="99"/>
      <c r="BE505" s="101"/>
      <c r="BF505" s="99"/>
      <c r="BG505" s="99" t="s">
        <v>1356</v>
      </c>
      <c r="BH505" s="99"/>
      <c r="BI505" s="101"/>
      <c r="BJ505" s="99"/>
      <c r="BK505" s="101"/>
      <c r="BL505" s="99"/>
      <c r="BM505" s="99" t="s">
        <v>1356</v>
      </c>
      <c r="BN505" s="99"/>
      <c r="BO505" s="101"/>
      <c r="BP505" s="99"/>
      <c r="BQ505" s="101"/>
      <c r="BR505" s="99"/>
      <c r="BS505" s="99" t="s">
        <v>1356</v>
      </c>
      <c r="BT505" s="99"/>
      <c r="BU505" s="101"/>
      <c r="BV505" s="99"/>
      <c r="BW505" s="101"/>
      <c r="BX505" s="119"/>
      <c r="BY505" s="119" t="s">
        <v>1356</v>
      </c>
      <c r="BZ505" s="119"/>
      <c r="CA505" s="120"/>
      <c r="CB505" s="119"/>
      <c r="CC505" s="120"/>
      <c r="CD505" s="119"/>
      <c r="CE505" s="119" t="s">
        <v>1356</v>
      </c>
      <c r="CF505" s="119"/>
      <c r="CG505" s="120"/>
      <c r="CH505" s="119"/>
      <c r="CI505" s="120"/>
      <c r="CJ505" s="119"/>
      <c r="CK505" s="119" t="s">
        <v>1356</v>
      </c>
      <c r="CL505" s="119"/>
      <c r="CM505" s="120"/>
      <c r="CN505" s="119"/>
      <c r="CO505" s="120"/>
      <c r="CP505" s="119"/>
      <c r="CQ505" s="119" t="s">
        <v>1356</v>
      </c>
      <c r="CR505" s="119"/>
      <c r="CS505" s="120"/>
      <c r="CT505" s="119"/>
      <c r="CU505" s="120"/>
      <c r="CV505" s="119"/>
      <c r="CW505" s="119" t="s">
        <v>1356</v>
      </c>
      <c r="CX505" s="119"/>
      <c r="CY505" s="120"/>
      <c r="CZ505" s="119"/>
      <c r="DA505" s="120"/>
      <c r="DB505" s="36" t="s">
        <v>7085</v>
      </c>
      <c r="DC505" s="59" t="s">
        <v>105</v>
      </c>
    </row>
    <row r="506" spans="1:107" s="40" customFormat="1" ht="14.55" customHeight="1" x14ac:dyDescent="0.3">
      <c r="A506" s="35" t="s">
        <v>4219</v>
      </c>
      <c r="B506" s="35" t="s">
        <v>5171</v>
      </c>
      <c r="C506" s="35" t="s">
        <v>5172</v>
      </c>
      <c r="D506" s="35" t="s">
        <v>5173</v>
      </c>
      <c r="E506" s="35" t="s">
        <v>5174</v>
      </c>
      <c r="F506" s="35" t="s">
        <v>4289</v>
      </c>
      <c r="G506" s="35" t="s">
        <v>4230</v>
      </c>
      <c r="H506" s="27" t="s">
        <v>6934</v>
      </c>
      <c r="I506" s="62">
        <v>2403</v>
      </c>
      <c r="J506" s="62">
        <v>240352</v>
      </c>
      <c r="K506" s="63">
        <v>4</v>
      </c>
      <c r="L506" s="35" t="s">
        <v>5175</v>
      </c>
      <c r="M506" s="35"/>
      <c r="N506" s="35" t="s">
        <v>5176</v>
      </c>
      <c r="O506" s="35"/>
      <c r="P506" s="35"/>
      <c r="Q506" s="35"/>
      <c r="R506" s="35"/>
      <c r="S506" s="35"/>
      <c r="T506" s="35" t="s">
        <v>5177</v>
      </c>
      <c r="U506" s="35" t="s">
        <v>5178</v>
      </c>
      <c r="V506" s="35"/>
      <c r="W506" s="35" t="s">
        <v>5179</v>
      </c>
      <c r="X506" s="35" t="s">
        <v>5180</v>
      </c>
      <c r="Y506" s="35" t="s">
        <v>5181</v>
      </c>
      <c r="Z506" s="35">
        <v>-80.933124000000007</v>
      </c>
      <c r="AA506" s="35">
        <v>-2.2397450000000001</v>
      </c>
      <c r="AB506" s="35">
        <v>240352005</v>
      </c>
      <c r="AC506" s="35">
        <v>240352005004</v>
      </c>
      <c r="AD506" s="35">
        <v>240352005004006</v>
      </c>
      <c r="AE506" s="63">
        <v>4</v>
      </c>
      <c r="AF506" s="63" t="s">
        <v>499</v>
      </c>
      <c r="AG506" s="29" t="s">
        <v>65</v>
      </c>
      <c r="AH506" s="75"/>
      <c r="AI506" s="65" t="s">
        <v>66</v>
      </c>
      <c r="AJ506" s="32" t="s">
        <v>6938</v>
      </c>
      <c r="AK506" s="33" t="s">
        <v>67</v>
      </c>
      <c r="AL506" s="58">
        <v>45583</v>
      </c>
      <c r="AM506" s="35" t="s">
        <v>66</v>
      </c>
      <c r="AN506" s="35"/>
      <c r="AO506" s="35"/>
      <c r="AP506" s="35"/>
      <c r="AQ506" s="37">
        <f t="shared" si="24"/>
        <v>0</v>
      </c>
      <c r="AR506" s="38">
        <f t="shared" si="25"/>
        <v>0</v>
      </c>
      <c r="AS506" s="39">
        <f t="shared" si="26"/>
        <v>0</v>
      </c>
      <c r="AT506" s="99"/>
      <c r="AU506" s="99" t="s">
        <v>1356</v>
      </c>
      <c r="AV506" s="99"/>
      <c r="AW506" s="100"/>
      <c r="AX506" s="99"/>
      <c r="AY506" s="101"/>
      <c r="AZ506" s="99"/>
      <c r="BA506" s="99" t="s">
        <v>1356</v>
      </c>
      <c r="BB506" s="99"/>
      <c r="BC506" s="101"/>
      <c r="BD506" s="99"/>
      <c r="BE506" s="101"/>
      <c r="BF506" s="99"/>
      <c r="BG506" s="99" t="s">
        <v>1356</v>
      </c>
      <c r="BH506" s="99"/>
      <c r="BI506" s="101"/>
      <c r="BJ506" s="99"/>
      <c r="BK506" s="101"/>
      <c r="BL506" s="99"/>
      <c r="BM506" s="99" t="s">
        <v>1356</v>
      </c>
      <c r="BN506" s="99"/>
      <c r="BO506" s="101"/>
      <c r="BP506" s="99"/>
      <c r="BQ506" s="101"/>
      <c r="BR506" s="99"/>
      <c r="BS506" s="99" t="s">
        <v>1356</v>
      </c>
      <c r="BT506" s="99"/>
      <c r="BU506" s="101"/>
      <c r="BV506" s="99"/>
      <c r="BW506" s="101"/>
      <c r="BX506" s="119"/>
      <c r="BY506" s="119" t="s">
        <v>1356</v>
      </c>
      <c r="BZ506" s="119"/>
      <c r="CA506" s="120"/>
      <c r="CB506" s="119"/>
      <c r="CC506" s="120"/>
      <c r="CD506" s="119"/>
      <c r="CE506" s="119" t="s">
        <v>1356</v>
      </c>
      <c r="CF506" s="119"/>
      <c r="CG506" s="120"/>
      <c r="CH506" s="119"/>
      <c r="CI506" s="120"/>
      <c r="CJ506" s="119"/>
      <c r="CK506" s="119" t="s">
        <v>1356</v>
      </c>
      <c r="CL506" s="119"/>
      <c r="CM506" s="120"/>
      <c r="CN506" s="119"/>
      <c r="CO506" s="120"/>
      <c r="CP506" s="119"/>
      <c r="CQ506" s="119" t="s">
        <v>1356</v>
      </c>
      <c r="CR506" s="119"/>
      <c r="CS506" s="120"/>
      <c r="CT506" s="119"/>
      <c r="CU506" s="120"/>
      <c r="CV506" s="119"/>
      <c r="CW506" s="119" t="s">
        <v>1356</v>
      </c>
      <c r="CX506" s="119"/>
      <c r="CY506" s="120"/>
      <c r="CZ506" s="119"/>
      <c r="DA506" s="120"/>
      <c r="DB506" s="36" t="s">
        <v>7085</v>
      </c>
      <c r="DC506" s="59" t="s">
        <v>105</v>
      </c>
    </row>
    <row r="507" spans="1:107" s="40" customFormat="1" x14ac:dyDescent="0.3">
      <c r="A507" s="35" t="s">
        <v>4219</v>
      </c>
      <c r="B507" s="35" t="s">
        <v>5182</v>
      </c>
      <c r="C507" s="35" t="s">
        <v>5183</v>
      </c>
      <c r="D507" s="35" t="s">
        <v>5184</v>
      </c>
      <c r="E507" s="35" t="s">
        <v>70</v>
      </c>
      <c r="F507" s="35" t="s">
        <v>4289</v>
      </c>
      <c r="G507" s="35" t="s">
        <v>4230</v>
      </c>
      <c r="H507" s="27" t="s">
        <v>6934</v>
      </c>
      <c r="I507" s="62">
        <v>2401</v>
      </c>
      <c r="J507" s="62">
        <v>240152</v>
      </c>
      <c r="K507" s="63">
        <v>3</v>
      </c>
      <c r="L507" s="35" t="s">
        <v>5185</v>
      </c>
      <c r="M507" s="35" t="s">
        <v>258</v>
      </c>
      <c r="N507" s="35" t="s">
        <v>1940</v>
      </c>
      <c r="O507" s="35"/>
      <c r="P507" s="35"/>
      <c r="Q507" s="35"/>
      <c r="R507" s="35" t="s">
        <v>113</v>
      </c>
      <c r="S507" s="35"/>
      <c r="T507" s="35"/>
      <c r="U507" s="35"/>
      <c r="V507" s="35"/>
      <c r="W507" s="35" t="s">
        <v>5186</v>
      </c>
      <c r="X507" s="35" t="s">
        <v>5187</v>
      </c>
      <c r="Y507" s="35" t="s">
        <v>5188</v>
      </c>
      <c r="Z507" s="35">
        <v>-80.734921842813492</v>
      </c>
      <c r="AA507" s="35">
        <v>-2.057959656313586</v>
      </c>
      <c r="AB507" s="35">
        <v>240152928</v>
      </c>
      <c r="AC507" s="35">
        <v>240152928008</v>
      </c>
      <c r="AD507" s="35">
        <v>240152928008006</v>
      </c>
      <c r="AE507" s="63">
        <v>4</v>
      </c>
      <c r="AF507" s="63" t="s">
        <v>499</v>
      </c>
      <c r="AG507" s="29" t="s">
        <v>65</v>
      </c>
      <c r="AH507" s="75"/>
      <c r="AI507" s="65" t="s">
        <v>66</v>
      </c>
      <c r="AJ507" s="32" t="s">
        <v>6938</v>
      </c>
      <c r="AK507" s="33" t="s">
        <v>67</v>
      </c>
      <c r="AL507" s="58">
        <v>45583</v>
      </c>
      <c r="AM507" s="35" t="s">
        <v>66</v>
      </c>
      <c r="AN507" s="35"/>
      <c r="AO507" s="35"/>
      <c r="AP507" s="35"/>
      <c r="AQ507" s="37">
        <f t="shared" si="24"/>
        <v>0</v>
      </c>
      <c r="AR507" s="38">
        <f t="shared" si="25"/>
        <v>0</v>
      </c>
      <c r="AS507" s="39">
        <f t="shared" si="26"/>
        <v>0</v>
      </c>
      <c r="AT507" s="99"/>
      <c r="AU507" s="99" t="s">
        <v>1356</v>
      </c>
      <c r="AV507" s="99"/>
      <c r="AW507" s="100"/>
      <c r="AX507" s="99"/>
      <c r="AY507" s="101"/>
      <c r="AZ507" s="99"/>
      <c r="BA507" s="99" t="s">
        <v>1356</v>
      </c>
      <c r="BB507" s="99"/>
      <c r="BC507" s="101"/>
      <c r="BD507" s="99"/>
      <c r="BE507" s="101"/>
      <c r="BF507" s="99"/>
      <c r="BG507" s="99" t="s">
        <v>1356</v>
      </c>
      <c r="BH507" s="99"/>
      <c r="BI507" s="101"/>
      <c r="BJ507" s="99"/>
      <c r="BK507" s="101"/>
      <c r="BL507" s="99"/>
      <c r="BM507" s="99" t="s">
        <v>1356</v>
      </c>
      <c r="BN507" s="99"/>
      <c r="BO507" s="101"/>
      <c r="BP507" s="99"/>
      <c r="BQ507" s="101"/>
      <c r="BR507" s="99"/>
      <c r="BS507" s="99" t="s">
        <v>1356</v>
      </c>
      <c r="BT507" s="99"/>
      <c r="BU507" s="101"/>
      <c r="BV507" s="99"/>
      <c r="BW507" s="101"/>
      <c r="BX507" s="119"/>
      <c r="BY507" s="119" t="s">
        <v>1356</v>
      </c>
      <c r="BZ507" s="119"/>
      <c r="CA507" s="120"/>
      <c r="CB507" s="119"/>
      <c r="CC507" s="120"/>
      <c r="CD507" s="119"/>
      <c r="CE507" s="119" t="s">
        <v>1356</v>
      </c>
      <c r="CF507" s="119"/>
      <c r="CG507" s="120"/>
      <c r="CH507" s="119"/>
      <c r="CI507" s="120"/>
      <c r="CJ507" s="119"/>
      <c r="CK507" s="119" t="s">
        <v>1356</v>
      </c>
      <c r="CL507" s="119"/>
      <c r="CM507" s="120"/>
      <c r="CN507" s="119"/>
      <c r="CO507" s="120"/>
      <c r="CP507" s="119"/>
      <c r="CQ507" s="119" t="s">
        <v>1356</v>
      </c>
      <c r="CR507" s="119"/>
      <c r="CS507" s="120"/>
      <c r="CT507" s="119"/>
      <c r="CU507" s="120"/>
      <c r="CV507" s="119"/>
      <c r="CW507" s="119" t="s">
        <v>1356</v>
      </c>
      <c r="CX507" s="119"/>
      <c r="CY507" s="120"/>
      <c r="CZ507" s="119"/>
      <c r="DA507" s="120"/>
      <c r="DB507" s="36" t="s">
        <v>7085</v>
      </c>
      <c r="DC507" s="59" t="s">
        <v>105</v>
      </c>
    </row>
    <row r="508" spans="1:107" s="40" customFormat="1" x14ac:dyDescent="0.3">
      <c r="A508" s="66" t="s">
        <v>3500</v>
      </c>
      <c r="B508" s="66" t="s">
        <v>3703</v>
      </c>
      <c r="C508" s="66" t="s">
        <v>3704</v>
      </c>
      <c r="D508" s="66" t="s">
        <v>1151</v>
      </c>
      <c r="E508" s="66" t="s">
        <v>1152</v>
      </c>
      <c r="F508" s="66" t="s">
        <v>142</v>
      </c>
      <c r="G508" s="68" t="s">
        <v>72</v>
      </c>
      <c r="H508" s="43" t="s">
        <v>251</v>
      </c>
      <c r="I508" s="68">
        <v>1701</v>
      </c>
      <c r="J508" s="68">
        <v>170151</v>
      </c>
      <c r="K508" s="69">
        <v>4</v>
      </c>
      <c r="L508" s="66" t="s">
        <v>1153</v>
      </c>
      <c r="M508" s="66" t="s">
        <v>1154</v>
      </c>
      <c r="N508" s="66" t="s">
        <v>1155</v>
      </c>
      <c r="O508" s="66"/>
      <c r="P508" s="66"/>
      <c r="Q508" s="66" t="s">
        <v>1156</v>
      </c>
      <c r="R508" s="66" t="s">
        <v>60</v>
      </c>
      <c r="S508" s="66"/>
      <c r="T508" s="66"/>
      <c r="U508" s="66" t="s">
        <v>1157</v>
      </c>
      <c r="V508" s="66"/>
      <c r="W508" s="66" t="s">
        <v>1158</v>
      </c>
      <c r="X508" s="66" t="s">
        <v>1159</v>
      </c>
      <c r="Y508" s="66" t="s">
        <v>1160</v>
      </c>
      <c r="Z508" s="66">
        <v>-78.438069999999996</v>
      </c>
      <c r="AA508" s="66">
        <v>-0.299543</v>
      </c>
      <c r="AB508" s="66">
        <v>170151908</v>
      </c>
      <c r="AC508" s="66">
        <v>170151908003</v>
      </c>
      <c r="AD508" s="66">
        <v>170151908003002</v>
      </c>
      <c r="AE508" s="69">
        <v>5</v>
      </c>
      <c r="AF508" s="69" t="s">
        <v>772</v>
      </c>
      <c r="AG508" s="46" t="s">
        <v>66</v>
      </c>
      <c r="AH508" s="70" t="s">
        <v>1161</v>
      </c>
      <c r="AI508" s="71" t="s">
        <v>66</v>
      </c>
      <c r="AJ508" s="49" t="s">
        <v>6938</v>
      </c>
      <c r="AK508" s="50" t="s">
        <v>67</v>
      </c>
      <c r="AL508" s="58">
        <v>45583</v>
      </c>
      <c r="AM508" s="52" t="s">
        <v>66</v>
      </c>
      <c r="AN508" s="52"/>
      <c r="AO508" s="52"/>
      <c r="AP508" s="52"/>
      <c r="AQ508" s="53">
        <f t="shared" si="24"/>
        <v>1</v>
      </c>
      <c r="AR508" s="54">
        <f t="shared" si="25"/>
        <v>0</v>
      </c>
      <c r="AS508" s="55">
        <f t="shared" si="26"/>
        <v>1</v>
      </c>
      <c r="AT508" s="102" t="s">
        <v>540</v>
      </c>
      <c r="AU508" s="103" t="s">
        <v>2205</v>
      </c>
      <c r="AV508" s="104">
        <v>6.93</v>
      </c>
      <c r="AW508" s="105">
        <v>45583</v>
      </c>
      <c r="AX508" s="104">
        <v>6.93</v>
      </c>
      <c r="AY508" s="106">
        <v>45611</v>
      </c>
      <c r="AZ508" s="102"/>
      <c r="BA508" s="103" t="s">
        <v>1356</v>
      </c>
      <c r="BB508" s="104"/>
      <c r="BC508" s="106"/>
      <c r="BD508" s="104"/>
      <c r="BE508" s="106"/>
      <c r="BF508" s="102"/>
      <c r="BG508" s="103" t="s">
        <v>1356</v>
      </c>
      <c r="BH508" s="104"/>
      <c r="BI508" s="106"/>
      <c r="BJ508" s="104"/>
      <c r="BK508" s="106"/>
      <c r="BL508" s="102"/>
      <c r="BM508" s="103" t="s">
        <v>1356</v>
      </c>
      <c r="BN508" s="104"/>
      <c r="BO508" s="106"/>
      <c r="BP508" s="104"/>
      <c r="BQ508" s="106"/>
      <c r="BR508" s="102"/>
      <c r="BS508" s="103" t="s">
        <v>1356</v>
      </c>
      <c r="BT508" s="104"/>
      <c r="BU508" s="106"/>
      <c r="BV508" s="104"/>
      <c r="BW508" s="106"/>
      <c r="BX508" s="121"/>
      <c r="BY508" s="122" t="s">
        <v>1356</v>
      </c>
      <c r="BZ508" s="123"/>
      <c r="CA508" s="124"/>
      <c r="CB508" s="123"/>
      <c r="CC508" s="124"/>
      <c r="CD508" s="121"/>
      <c r="CE508" s="122" t="s">
        <v>1356</v>
      </c>
      <c r="CF508" s="123"/>
      <c r="CG508" s="124"/>
      <c r="CH508" s="123"/>
      <c r="CI508" s="124"/>
      <c r="CJ508" s="121"/>
      <c r="CK508" s="122" t="s">
        <v>1356</v>
      </c>
      <c r="CL508" s="123"/>
      <c r="CM508" s="124"/>
      <c r="CN508" s="123"/>
      <c r="CO508" s="124"/>
      <c r="CP508" s="121"/>
      <c r="CQ508" s="122" t="s">
        <v>1356</v>
      </c>
      <c r="CR508" s="123"/>
      <c r="CS508" s="124"/>
      <c r="CT508" s="123"/>
      <c r="CU508" s="124"/>
      <c r="CV508" s="121"/>
      <c r="CW508" s="122" t="s">
        <v>1356</v>
      </c>
      <c r="CX508" s="123"/>
      <c r="CY508" s="124"/>
      <c r="CZ508" s="123"/>
      <c r="DA508" s="124"/>
      <c r="DB508" s="52" t="s">
        <v>6962</v>
      </c>
      <c r="DC508" s="73" t="s">
        <v>105</v>
      </c>
    </row>
    <row r="509" spans="1:107" s="40" customFormat="1" ht="14.55" customHeight="1" x14ac:dyDescent="0.3">
      <c r="A509" s="35" t="s">
        <v>4219</v>
      </c>
      <c r="B509" s="35" t="s">
        <v>5199</v>
      </c>
      <c r="C509" s="35" t="s">
        <v>5200</v>
      </c>
      <c r="D509" s="35" t="s">
        <v>5201</v>
      </c>
      <c r="E509" s="35" t="s">
        <v>70</v>
      </c>
      <c r="F509" s="35" t="s">
        <v>4289</v>
      </c>
      <c r="G509" s="35" t="s">
        <v>4237</v>
      </c>
      <c r="H509" s="27" t="s">
        <v>686</v>
      </c>
      <c r="I509" s="62">
        <v>901</v>
      </c>
      <c r="J509" s="62">
        <v>90150</v>
      </c>
      <c r="K509" s="63">
        <v>4</v>
      </c>
      <c r="L509" s="35"/>
      <c r="M509" s="35" t="s">
        <v>4492</v>
      </c>
      <c r="N509" s="35"/>
      <c r="O509" s="35"/>
      <c r="P509" s="35" t="s">
        <v>5202</v>
      </c>
      <c r="Q509" s="35"/>
      <c r="R509" s="35"/>
      <c r="S509" s="35"/>
      <c r="T509" s="35"/>
      <c r="U509" s="35"/>
      <c r="V509" s="35" t="s">
        <v>5203</v>
      </c>
      <c r="W509" s="35" t="s">
        <v>5204</v>
      </c>
      <c r="X509" s="35"/>
      <c r="Y509" s="35" t="s">
        <v>5205</v>
      </c>
      <c r="Z509" s="35"/>
      <c r="AA509" s="35"/>
      <c r="AB509" s="35"/>
      <c r="AC509" s="35"/>
      <c r="AD509" s="35"/>
      <c r="AE509" s="63">
        <v>4</v>
      </c>
      <c r="AF509" s="63" t="s">
        <v>499</v>
      </c>
      <c r="AG509" s="29" t="s">
        <v>65</v>
      </c>
      <c r="AH509" s="75"/>
      <c r="AI509" s="65" t="s">
        <v>65</v>
      </c>
      <c r="AJ509" s="32" t="s">
        <v>6938</v>
      </c>
      <c r="AK509" s="33" t="s">
        <v>92</v>
      </c>
      <c r="AL509" s="58">
        <v>45586</v>
      </c>
      <c r="AM509" s="35"/>
      <c r="AN509" s="35"/>
      <c r="AO509" s="35"/>
      <c r="AP509" s="35"/>
      <c r="AQ509" s="37">
        <f t="shared" si="24"/>
        <v>0</v>
      </c>
      <c r="AR509" s="38">
        <f t="shared" si="25"/>
        <v>0</v>
      </c>
      <c r="AS509" s="39">
        <f t="shared" si="26"/>
        <v>0</v>
      </c>
      <c r="AT509" s="99"/>
      <c r="AU509" s="99" t="s">
        <v>1356</v>
      </c>
      <c r="AV509" s="99"/>
      <c r="AW509" s="100"/>
      <c r="AX509" s="99"/>
      <c r="AY509" s="101"/>
      <c r="AZ509" s="99"/>
      <c r="BA509" s="99" t="s">
        <v>1356</v>
      </c>
      <c r="BB509" s="99"/>
      <c r="BC509" s="101"/>
      <c r="BD509" s="99"/>
      <c r="BE509" s="101"/>
      <c r="BF509" s="99"/>
      <c r="BG509" s="99" t="s">
        <v>1356</v>
      </c>
      <c r="BH509" s="99"/>
      <c r="BI509" s="101"/>
      <c r="BJ509" s="99"/>
      <c r="BK509" s="101"/>
      <c r="BL509" s="99"/>
      <c r="BM509" s="99" t="s">
        <v>1356</v>
      </c>
      <c r="BN509" s="99"/>
      <c r="BO509" s="101"/>
      <c r="BP509" s="99"/>
      <c r="BQ509" s="101"/>
      <c r="BR509" s="99"/>
      <c r="BS509" s="99" t="s">
        <v>1356</v>
      </c>
      <c r="BT509" s="99"/>
      <c r="BU509" s="101"/>
      <c r="BV509" s="99"/>
      <c r="BW509" s="101"/>
      <c r="BX509" s="119"/>
      <c r="BY509" s="119" t="s">
        <v>1356</v>
      </c>
      <c r="BZ509" s="119"/>
      <c r="CA509" s="120"/>
      <c r="CB509" s="119"/>
      <c r="CC509" s="120"/>
      <c r="CD509" s="119"/>
      <c r="CE509" s="119" t="s">
        <v>1356</v>
      </c>
      <c r="CF509" s="119"/>
      <c r="CG509" s="120"/>
      <c r="CH509" s="119"/>
      <c r="CI509" s="120"/>
      <c r="CJ509" s="119"/>
      <c r="CK509" s="119" t="s">
        <v>1356</v>
      </c>
      <c r="CL509" s="119"/>
      <c r="CM509" s="120"/>
      <c r="CN509" s="119"/>
      <c r="CO509" s="120"/>
      <c r="CP509" s="119"/>
      <c r="CQ509" s="119" t="s">
        <v>1356</v>
      </c>
      <c r="CR509" s="119"/>
      <c r="CS509" s="120"/>
      <c r="CT509" s="119"/>
      <c r="CU509" s="120"/>
      <c r="CV509" s="119"/>
      <c r="CW509" s="119" t="s">
        <v>1356</v>
      </c>
      <c r="CX509" s="119"/>
      <c r="CY509" s="120"/>
      <c r="CZ509" s="119"/>
      <c r="DA509" s="120"/>
      <c r="DB509" s="36" t="s">
        <v>7085</v>
      </c>
      <c r="DC509" s="59" t="s">
        <v>92</v>
      </c>
    </row>
    <row r="510" spans="1:107" s="40" customFormat="1" x14ac:dyDescent="0.3">
      <c r="A510" s="66" t="s">
        <v>3500</v>
      </c>
      <c r="B510" s="66" t="s">
        <v>3707</v>
      </c>
      <c r="C510" s="66" t="s">
        <v>3708</v>
      </c>
      <c r="D510" s="66" t="s">
        <v>1171</v>
      </c>
      <c r="E510" s="66" t="s">
        <v>1172</v>
      </c>
      <c r="F510" s="66" t="s">
        <v>142</v>
      </c>
      <c r="G510" s="68" t="s">
        <v>72</v>
      </c>
      <c r="H510" s="43" t="s">
        <v>251</v>
      </c>
      <c r="I510" s="68">
        <v>1701</v>
      </c>
      <c r="J510" s="68">
        <v>170157</v>
      </c>
      <c r="K510" s="69">
        <v>4</v>
      </c>
      <c r="L510" s="66" t="s">
        <v>1173</v>
      </c>
      <c r="M510" s="66" t="s">
        <v>1174</v>
      </c>
      <c r="N510" s="66" t="s">
        <v>1175</v>
      </c>
      <c r="O510" s="66"/>
      <c r="P510" s="66"/>
      <c r="Q510" s="66" t="s">
        <v>1176</v>
      </c>
      <c r="R510" s="66" t="s">
        <v>60</v>
      </c>
      <c r="S510" s="66" t="s">
        <v>1177</v>
      </c>
      <c r="T510" s="66"/>
      <c r="U510" s="66"/>
      <c r="V510" s="66"/>
      <c r="W510" s="66" t="s">
        <v>1178</v>
      </c>
      <c r="X510" s="66" t="s">
        <v>1179</v>
      </c>
      <c r="Y510" s="66" t="s">
        <v>1180</v>
      </c>
      <c r="Z510" s="66">
        <v>-78.444704000000002</v>
      </c>
      <c r="AA510" s="66">
        <v>-0.19712399999999999</v>
      </c>
      <c r="AB510" s="66">
        <v>170157004</v>
      </c>
      <c r="AC510" s="66">
        <v>170157004005</v>
      </c>
      <c r="AD510" s="66">
        <v>170157004005002</v>
      </c>
      <c r="AE510" s="69">
        <v>5</v>
      </c>
      <c r="AF510" s="69" t="s">
        <v>772</v>
      </c>
      <c r="AG510" s="46" t="s">
        <v>66</v>
      </c>
      <c r="AH510" s="70" t="s">
        <v>1181</v>
      </c>
      <c r="AI510" s="71" t="s">
        <v>66</v>
      </c>
      <c r="AJ510" s="49" t="s">
        <v>6938</v>
      </c>
      <c r="AK510" s="50" t="s">
        <v>67</v>
      </c>
      <c r="AL510" s="58">
        <v>45583</v>
      </c>
      <c r="AM510" s="52" t="s">
        <v>66</v>
      </c>
      <c r="AN510" s="52"/>
      <c r="AO510" s="52"/>
      <c r="AP510" s="52"/>
      <c r="AQ510" s="53">
        <f t="shared" si="24"/>
        <v>1</v>
      </c>
      <c r="AR510" s="54">
        <f t="shared" si="25"/>
        <v>0</v>
      </c>
      <c r="AS510" s="55">
        <f t="shared" si="26"/>
        <v>1</v>
      </c>
      <c r="AT510" s="102" t="s">
        <v>564</v>
      </c>
      <c r="AU510" s="103" t="s">
        <v>2655</v>
      </c>
      <c r="AV510" s="104">
        <v>3.92</v>
      </c>
      <c r="AW510" s="105">
        <v>45583</v>
      </c>
      <c r="AX510" s="104">
        <v>3.92</v>
      </c>
      <c r="AY510" s="106">
        <v>45611</v>
      </c>
      <c r="AZ510" s="102"/>
      <c r="BA510" s="103" t="s">
        <v>1356</v>
      </c>
      <c r="BB510" s="104"/>
      <c r="BC510" s="106"/>
      <c r="BD510" s="104"/>
      <c r="BE510" s="106"/>
      <c r="BF510" s="102"/>
      <c r="BG510" s="103" t="s">
        <v>1356</v>
      </c>
      <c r="BH510" s="104"/>
      <c r="BI510" s="106"/>
      <c r="BJ510" s="104"/>
      <c r="BK510" s="106"/>
      <c r="BL510" s="102"/>
      <c r="BM510" s="103" t="s">
        <v>1356</v>
      </c>
      <c r="BN510" s="104"/>
      <c r="BO510" s="106"/>
      <c r="BP510" s="104"/>
      <c r="BQ510" s="106"/>
      <c r="BR510" s="102"/>
      <c r="BS510" s="103" t="s">
        <v>1356</v>
      </c>
      <c r="BT510" s="104"/>
      <c r="BU510" s="106"/>
      <c r="BV510" s="104"/>
      <c r="BW510" s="106"/>
      <c r="BX510" s="121"/>
      <c r="BY510" s="122" t="s">
        <v>1356</v>
      </c>
      <c r="BZ510" s="123"/>
      <c r="CA510" s="124"/>
      <c r="CB510" s="123"/>
      <c r="CC510" s="124"/>
      <c r="CD510" s="121"/>
      <c r="CE510" s="122" t="s">
        <v>1356</v>
      </c>
      <c r="CF510" s="123"/>
      <c r="CG510" s="124"/>
      <c r="CH510" s="123"/>
      <c r="CI510" s="124"/>
      <c r="CJ510" s="121"/>
      <c r="CK510" s="122" t="s">
        <v>1356</v>
      </c>
      <c r="CL510" s="123"/>
      <c r="CM510" s="124"/>
      <c r="CN510" s="123"/>
      <c r="CO510" s="124"/>
      <c r="CP510" s="121"/>
      <c r="CQ510" s="122" t="s">
        <v>1356</v>
      </c>
      <c r="CR510" s="123"/>
      <c r="CS510" s="124"/>
      <c r="CT510" s="123"/>
      <c r="CU510" s="124"/>
      <c r="CV510" s="121"/>
      <c r="CW510" s="122" t="s">
        <v>1356</v>
      </c>
      <c r="CX510" s="123"/>
      <c r="CY510" s="124"/>
      <c r="CZ510" s="123"/>
      <c r="DA510" s="124"/>
      <c r="DB510" s="52" t="s">
        <v>6962</v>
      </c>
      <c r="DC510" s="73" t="s">
        <v>105</v>
      </c>
    </row>
    <row r="511" spans="1:107" s="40" customFormat="1" x14ac:dyDescent="0.3">
      <c r="A511" s="35" t="s">
        <v>4219</v>
      </c>
      <c r="B511" s="35" t="s">
        <v>5216</v>
      </c>
      <c r="C511" s="35" t="s">
        <v>5217</v>
      </c>
      <c r="D511" s="35" t="s">
        <v>5218</v>
      </c>
      <c r="E511" s="35" t="s">
        <v>5219</v>
      </c>
      <c r="F511" s="35" t="s">
        <v>81</v>
      </c>
      <c r="G511" s="35" t="s">
        <v>461</v>
      </c>
      <c r="H511" s="27" t="s">
        <v>6933</v>
      </c>
      <c r="I511" s="62">
        <v>1308</v>
      </c>
      <c r="J511" s="62">
        <v>130850</v>
      </c>
      <c r="K511" s="63">
        <v>4</v>
      </c>
      <c r="L511" s="35" t="s">
        <v>5220</v>
      </c>
      <c r="M511" s="35" t="s">
        <v>258</v>
      </c>
      <c r="N511" s="35" t="s">
        <v>4715</v>
      </c>
      <c r="O511" s="35"/>
      <c r="P511" s="35"/>
      <c r="Q511" s="35"/>
      <c r="R511" s="35"/>
      <c r="S511" s="35"/>
      <c r="T511" s="35"/>
      <c r="U511" s="35"/>
      <c r="V511" s="35"/>
      <c r="W511" s="35" t="s">
        <v>5221</v>
      </c>
      <c r="X511" s="35" t="s">
        <v>5222</v>
      </c>
      <c r="Y511" s="35" t="s">
        <v>5223</v>
      </c>
      <c r="Z511" s="35"/>
      <c r="AA511" s="35"/>
      <c r="AB511" s="35">
        <v>130850033</v>
      </c>
      <c r="AC511" s="35">
        <v>130850033008</v>
      </c>
      <c r="AD511" s="35">
        <v>130850033008001</v>
      </c>
      <c r="AE511" s="63">
        <v>4</v>
      </c>
      <c r="AF511" s="63" t="s">
        <v>499</v>
      </c>
      <c r="AG511" s="29" t="s">
        <v>65</v>
      </c>
      <c r="AH511" s="75"/>
      <c r="AI511" s="65" t="s">
        <v>66</v>
      </c>
      <c r="AJ511" s="32" t="s">
        <v>6938</v>
      </c>
      <c r="AK511" s="33" t="s">
        <v>67</v>
      </c>
      <c r="AL511" s="58">
        <v>45586</v>
      </c>
      <c r="AM511" s="35" t="s">
        <v>66</v>
      </c>
      <c r="AN511" s="35"/>
      <c r="AO511" s="35"/>
      <c r="AP511" s="35"/>
      <c r="AQ511" s="37">
        <f t="shared" si="24"/>
        <v>0</v>
      </c>
      <c r="AR511" s="38">
        <f t="shared" si="25"/>
        <v>0</v>
      </c>
      <c r="AS511" s="39">
        <f t="shared" si="26"/>
        <v>0</v>
      </c>
      <c r="AT511" s="99"/>
      <c r="AU511" s="99" t="s">
        <v>1356</v>
      </c>
      <c r="AV511" s="99"/>
      <c r="AW511" s="100"/>
      <c r="AX511" s="99"/>
      <c r="AY511" s="101"/>
      <c r="AZ511" s="99"/>
      <c r="BA511" s="99" t="s">
        <v>1356</v>
      </c>
      <c r="BB511" s="99"/>
      <c r="BC511" s="101"/>
      <c r="BD511" s="99"/>
      <c r="BE511" s="101"/>
      <c r="BF511" s="99"/>
      <c r="BG511" s="99" t="s">
        <v>1356</v>
      </c>
      <c r="BH511" s="99"/>
      <c r="BI511" s="101"/>
      <c r="BJ511" s="99"/>
      <c r="BK511" s="101"/>
      <c r="BL511" s="99"/>
      <c r="BM511" s="99" t="s">
        <v>1356</v>
      </c>
      <c r="BN511" s="99"/>
      <c r="BO511" s="101"/>
      <c r="BP511" s="99"/>
      <c r="BQ511" s="101"/>
      <c r="BR511" s="99"/>
      <c r="BS511" s="99" t="s">
        <v>1356</v>
      </c>
      <c r="BT511" s="99"/>
      <c r="BU511" s="101"/>
      <c r="BV511" s="99"/>
      <c r="BW511" s="101"/>
      <c r="BX511" s="119"/>
      <c r="BY511" s="119" t="s">
        <v>1356</v>
      </c>
      <c r="BZ511" s="119"/>
      <c r="CA511" s="120"/>
      <c r="CB511" s="119"/>
      <c r="CC511" s="120"/>
      <c r="CD511" s="119"/>
      <c r="CE511" s="119" t="s">
        <v>1356</v>
      </c>
      <c r="CF511" s="119"/>
      <c r="CG511" s="120"/>
      <c r="CH511" s="119"/>
      <c r="CI511" s="120"/>
      <c r="CJ511" s="119"/>
      <c r="CK511" s="119" t="s">
        <v>1356</v>
      </c>
      <c r="CL511" s="119"/>
      <c r="CM511" s="120"/>
      <c r="CN511" s="119"/>
      <c r="CO511" s="120"/>
      <c r="CP511" s="119"/>
      <c r="CQ511" s="119" t="s">
        <v>1356</v>
      </c>
      <c r="CR511" s="119"/>
      <c r="CS511" s="120"/>
      <c r="CT511" s="119"/>
      <c r="CU511" s="120"/>
      <c r="CV511" s="119"/>
      <c r="CW511" s="119" t="s">
        <v>1356</v>
      </c>
      <c r="CX511" s="119"/>
      <c r="CY511" s="120"/>
      <c r="CZ511" s="119"/>
      <c r="DA511" s="120"/>
      <c r="DB511" s="36" t="s">
        <v>7085</v>
      </c>
      <c r="DC511" s="59" t="s">
        <v>6751</v>
      </c>
    </row>
    <row r="512" spans="1:107" s="40" customFormat="1" x14ac:dyDescent="0.3">
      <c r="A512" s="35" t="s">
        <v>4219</v>
      </c>
      <c r="B512" s="35" t="s">
        <v>5224</v>
      </c>
      <c r="C512" s="35" t="s">
        <v>5225</v>
      </c>
      <c r="D512" s="35" t="s">
        <v>5226</v>
      </c>
      <c r="E512" s="35" t="s">
        <v>5227</v>
      </c>
      <c r="F512" s="35" t="s">
        <v>81</v>
      </c>
      <c r="G512" s="35" t="s">
        <v>4329</v>
      </c>
      <c r="H512" s="27" t="s">
        <v>6935</v>
      </c>
      <c r="I512" s="62">
        <v>2301</v>
      </c>
      <c r="J512" s="62">
        <v>230150</v>
      </c>
      <c r="K512" s="63">
        <v>4</v>
      </c>
      <c r="L512" s="35" t="s">
        <v>5228</v>
      </c>
      <c r="M512" s="35"/>
      <c r="N512" s="35" t="s">
        <v>4355</v>
      </c>
      <c r="O512" s="35"/>
      <c r="P512" s="35"/>
      <c r="Q512" s="35"/>
      <c r="R512" s="35"/>
      <c r="S512" s="35"/>
      <c r="T512" s="35"/>
      <c r="U512" s="35" t="s">
        <v>5229</v>
      </c>
      <c r="V512" s="35"/>
      <c r="W512" s="35" t="s">
        <v>5230</v>
      </c>
      <c r="X512" s="35" t="s">
        <v>5231</v>
      </c>
      <c r="Y512" s="35" t="s">
        <v>5232</v>
      </c>
      <c r="Z512" s="35">
        <v>-79.172331</v>
      </c>
      <c r="AA512" s="35">
        <v>-0.233931</v>
      </c>
      <c r="AB512" s="35">
        <v>230150077</v>
      </c>
      <c r="AC512" s="35">
        <v>230150077008</v>
      </c>
      <c r="AD512" s="35">
        <v>230150077008007</v>
      </c>
      <c r="AE512" s="63">
        <v>4</v>
      </c>
      <c r="AF512" s="63" t="s">
        <v>499</v>
      </c>
      <c r="AG512" s="29" t="s">
        <v>65</v>
      </c>
      <c r="AH512" s="75"/>
      <c r="AI512" s="65" t="s">
        <v>65</v>
      </c>
      <c r="AJ512" s="32" t="s">
        <v>6939</v>
      </c>
      <c r="AK512" s="33" t="s">
        <v>92</v>
      </c>
      <c r="AL512" s="58"/>
      <c r="AM512" s="35"/>
      <c r="AN512" s="35"/>
      <c r="AO512" s="35"/>
      <c r="AP512" s="35"/>
      <c r="AQ512" s="37">
        <f t="shared" si="24"/>
        <v>0</v>
      </c>
      <c r="AR512" s="38">
        <f t="shared" si="25"/>
        <v>0</v>
      </c>
      <c r="AS512" s="39">
        <f t="shared" si="26"/>
        <v>0</v>
      </c>
      <c r="AT512" s="99"/>
      <c r="AU512" s="99" t="s">
        <v>1356</v>
      </c>
      <c r="AV512" s="99"/>
      <c r="AW512" s="100"/>
      <c r="AX512" s="99"/>
      <c r="AY512" s="101"/>
      <c r="AZ512" s="99"/>
      <c r="BA512" s="99" t="s">
        <v>1356</v>
      </c>
      <c r="BB512" s="99"/>
      <c r="BC512" s="101"/>
      <c r="BD512" s="99"/>
      <c r="BE512" s="101"/>
      <c r="BF512" s="99"/>
      <c r="BG512" s="99" t="s">
        <v>1356</v>
      </c>
      <c r="BH512" s="99"/>
      <c r="BI512" s="101"/>
      <c r="BJ512" s="99"/>
      <c r="BK512" s="101"/>
      <c r="BL512" s="99"/>
      <c r="BM512" s="99" t="s">
        <v>1356</v>
      </c>
      <c r="BN512" s="99"/>
      <c r="BO512" s="101"/>
      <c r="BP512" s="99"/>
      <c r="BQ512" s="101"/>
      <c r="BR512" s="99"/>
      <c r="BS512" s="99" t="s">
        <v>1356</v>
      </c>
      <c r="BT512" s="99"/>
      <c r="BU512" s="101"/>
      <c r="BV512" s="99"/>
      <c r="BW512" s="101"/>
      <c r="BX512" s="119"/>
      <c r="BY512" s="119" t="s">
        <v>1356</v>
      </c>
      <c r="BZ512" s="119"/>
      <c r="CA512" s="120"/>
      <c r="CB512" s="119"/>
      <c r="CC512" s="120"/>
      <c r="CD512" s="119"/>
      <c r="CE512" s="119" t="s">
        <v>1356</v>
      </c>
      <c r="CF512" s="119"/>
      <c r="CG512" s="120"/>
      <c r="CH512" s="119"/>
      <c r="CI512" s="120"/>
      <c r="CJ512" s="119"/>
      <c r="CK512" s="119" t="s">
        <v>1356</v>
      </c>
      <c r="CL512" s="119"/>
      <c r="CM512" s="120"/>
      <c r="CN512" s="119"/>
      <c r="CO512" s="120"/>
      <c r="CP512" s="119"/>
      <c r="CQ512" s="119" t="s">
        <v>1356</v>
      </c>
      <c r="CR512" s="119"/>
      <c r="CS512" s="120"/>
      <c r="CT512" s="119"/>
      <c r="CU512" s="120"/>
      <c r="CV512" s="119"/>
      <c r="CW512" s="119" t="s">
        <v>1356</v>
      </c>
      <c r="CX512" s="119"/>
      <c r="CY512" s="120"/>
      <c r="CZ512" s="119"/>
      <c r="DA512" s="120"/>
      <c r="DB512" s="35"/>
      <c r="DC512" s="59"/>
    </row>
    <row r="513" spans="1:107" s="40" customFormat="1" ht="14.55" customHeight="1" x14ac:dyDescent="0.3">
      <c r="A513" s="35" t="s">
        <v>4219</v>
      </c>
      <c r="B513" s="35" t="s">
        <v>5233</v>
      </c>
      <c r="C513" s="35" t="s">
        <v>5234</v>
      </c>
      <c r="D513" s="35" t="s">
        <v>5235</v>
      </c>
      <c r="E513" s="35" t="s">
        <v>70</v>
      </c>
      <c r="F513" s="35" t="s">
        <v>836</v>
      </c>
      <c r="G513" s="35" t="s">
        <v>4237</v>
      </c>
      <c r="H513" s="27" t="s">
        <v>686</v>
      </c>
      <c r="I513" s="62">
        <v>911</v>
      </c>
      <c r="J513" s="62">
        <v>91150</v>
      </c>
      <c r="K513" s="63">
        <v>4</v>
      </c>
      <c r="L513" s="35" t="s">
        <v>5236</v>
      </c>
      <c r="M513" s="35" t="s">
        <v>5237</v>
      </c>
      <c r="N513" s="35" t="s">
        <v>1684</v>
      </c>
      <c r="O513" s="35"/>
      <c r="P513" s="35"/>
      <c r="Q513" s="35"/>
      <c r="R513" s="35"/>
      <c r="S513" s="35" t="s">
        <v>146</v>
      </c>
      <c r="T513" s="35"/>
      <c r="U513" s="35"/>
      <c r="V513" s="35"/>
      <c r="W513" s="35" t="s">
        <v>5238</v>
      </c>
      <c r="X513" s="35" t="s">
        <v>5239</v>
      </c>
      <c r="Y513" s="35" t="s">
        <v>5240</v>
      </c>
      <c r="Z513" s="35"/>
      <c r="AA513" s="35"/>
      <c r="AB513" s="35"/>
      <c r="AC513" s="35"/>
      <c r="AD513" s="35"/>
      <c r="AE513" s="63">
        <v>4</v>
      </c>
      <c r="AF513" s="63" t="s">
        <v>499</v>
      </c>
      <c r="AG513" s="29" t="s">
        <v>65</v>
      </c>
      <c r="AH513" s="75"/>
      <c r="AI513" s="65" t="s">
        <v>66</v>
      </c>
      <c r="AJ513" s="32" t="s">
        <v>6938</v>
      </c>
      <c r="AK513" s="33" t="s">
        <v>67</v>
      </c>
      <c r="AL513" s="58">
        <v>45586</v>
      </c>
      <c r="AM513" s="35" t="s">
        <v>66</v>
      </c>
      <c r="AN513" s="35"/>
      <c r="AO513" s="35"/>
      <c r="AP513" s="35"/>
      <c r="AQ513" s="37">
        <f t="shared" si="24"/>
        <v>0</v>
      </c>
      <c r="AR513" s="38">
        <f t="shared" si="25"/>
        <v>0</v>
      </c>
      <c r="AS513" s="39">
        <f t="shared" si="26"/>
        <v>0</v>
      </c>
      <c r="AT513" s="99"/>
      <c r="AU513" s="99" t="s">
        <v>1356</v>
      </c>
      <c r="AV513" s="99"/>
      <c r="AW513" s="100"/>
      <c r="AX513" s="99"/>
      <c r="AY513" s="101"/>
      <c r="AZ513" s="99"/>
      <c r="BA513" s="99" t="s">
        <v>1356</v>
      </c>
      <c r="BB513" s="99"/>
      <c r="BC513" s="101"/>
      <c r="BD513" s="99"/>
      <c r="BE513" s="101"/>
      <c r="BF513" s="99"/>
      <c r="BG513" s="99" t="s">
        <v>1356</v>
      </c>
      <c r="BH513" s="99"/>
      <c r="BI513" s="101"/>
      <c r="BJ513" s="99"/>
      <c r="BK513" s="101"/>
      <c r="BL513" s="99"/>
      <c r="BM513" s="99" t="s">
        <v>1356</v>
      </c>
      <c r="BN513" s="99"/>
      <c r="BO513" s="101"/>
      <c r="BP513" s="99"/>
      <c r="BQ513" s="101"/>
      <c r="BR513" s="99"/>
      <c r="BS513" s="99" t="s">
        <v>1356</v>
      </c>
      <c r="BT513" s="99"/>
      <c r="BU513" s="101"/>
      <c r="BV513" s="99"/>
      <c r="BW513" s="101"/>
      <c r="BX513" s="119"/>
      <c r="BY513" s="119" t="s">
        <v>1356</v>
      </c>
      <c r="BZ513" s="119"/>
      <c r="CA513" s="120"/>
      <c r="CB513" s="119"/>
      <c r="CC513" s="120"/>
      <c r="CD513" s="119"/>
      <c r="CE513" s="119" t="s">
        <v>1356</v>
      </c>
      <c r="CF513" s="119"/>
      <c r="CG513" s="120"/>
      <c r="CH513" s="119"/>
      <c r="CI513" s="120"/>
      <c r="CJ513" s="119"/>
      <c r="CK513" s="119" t="s">
        <v>1356</v>
      </c>
      <c r="CL513" s="119"/>
      <c r="CM513" s="120"/>
      <c r="CN513" s="119"/>
      <c r="CO513" s="120"/>
      <c r="CP513" s="119"/>
      <c r="CQ513" s="119" t="s">
        <v>1356</v>
      </c>
      <c r="CR513" s="119"/>
      <c r="CS513" s="120"/>
      <c r="CT513" s="119"/>
      <c r="CU513" s="120"/>
      <c r="CV513" s="119"/>
      <c r="CW513" s="119" t="s">
        <v>1356</v>
      </c>
      <c r="CX513" s="119"/>
      <c r="CY513" s="120"/>
      <c r="CZ513" s="119"/>
      <c r="DA513" s="120"/>
      <c r="DB513" s="36" t="s">
        <v>7085</v>
      </c>
      <c r="DC513" s="59" t="s">
        <v>105</v>
      </c>
    </row>
    <row r="514" spans="1:107" s="40" customFormat="1" x14ac:dyDescent="0.3">
      <c r="A514" s="35" t="s">
        <v>4219</v>
      </c>
      <c r="B514" s="35" t="s">
        <v>5241</v>
      </c>
      <c r="C514" s="35" t="s">
        <v>5242</v>
      </c>
      <c r="D514" s="35" t="s">
        <v>5243</v>
      </c>
      <c r="E514" s="35" t="s">
        <v>5243</v>
      </c>
      <c r="F514" s="35" t="s">
        <v>5244</v>
      </c>
      <c r="G514" s="35" t="s">
        <v>4237</v>
      </c>
      <c r="H514" s="27" t="s">
        <v>686</v>
      </c>
      <c r="I514" s="62">
        <v>901</v>
      </c>
      <c r="J514" s="62">
        <v>90150</v>
      </c>
      <c r="K514" s="63">
        <v>4</v>
      </c>
      <c r="L514" s="35" t="s">
        <v>5245</v>
      </c>
      <c r="M514" s="35" t="s">
        <v>5246</v>
      </c>
      <c r="N514" s="35" t="s">
        <v>5247</v>
      </c>
      <c r="O514" s="35"/>
      <c r="P514" s="35"/>
      <c r="Q514" s="35" t="s">
        <v>5248</v>
      </c>
      <c r="R514" s="35" t="s">
        <v>811</v>
      </c>
      <c r="S514" s="35"/>
      <c r="T514" s="35"/>
      <c r="U514" s="35"/>
      <c r="V514" s="35"/>
      <c r="W514" s="35" t="s">
        <v>5249</v>
      </c>
      <c r="X514" s="35" t="s">
        <v>5250</v>
      </c>
      <c r="Y514" s="35" t="s">
        <v>5251</v>
      </c>
      <c r="Z514" s="35">
        <v>-79.972019000000003</v>
      </c>
      <c r="AA514" s="35">
        <v>-1.994651</v>
      </c>
      <c r="AB514" s="35">
        <v>90150050</v>
      </c>
      <c r="AC514" s="35">
        <v>90150050005</v>
      </c>
      <c r="AD514" s="35">
        <v>90150050005003</v>
      </c>
      <c r="AE514" s="63">
        <v>4</v>
      </c>
      <c r="AF514" s="63" t="s">
        <v>499</v>
      </c>
      <c r="AG514" s="29" t="s">
        <v>65</v>
      </c>
      <c r="AH514" s="75"/>
      <c r="AI514" s="65" t="s">
        <v>66</v>
      </c>
      <c r="AJ514" s="32" t="s">
        <v>6938</v>
      </c>
      <c r="AK514" s="33" t="s">
        <v>67</v>
      </c>
      <c r="AL514" s="34">
        <v>45545</v>
      </c>
      <c r="AM514" s="35" t="s">
        <v>66</v>
      </c>
      <c r="AN514" s="35"/>
      <c r="AO514" s="35"/>
      <c r="AP514" s="35"/>
      <c r="AQ514" s="37">
        <f t="shared" si="24"/>
        <v>0</v>
      </c>
      <c r="AR514" s="38">
        <f t="shared" si="25"/>
        <v>0</v>
      </c>
      <c r="AS514" s="39">
        <f t="shared" si="26"/>
        <v>0</v>
      </c>
      <c r="AT514" s="99"/>
      <c r="AU514" s="99" t="s">
        <v>1356</v>
      </c>
      <c r="AV514" s="99"/>
      <c r="AW514" s="100"/>
      <c r="AX514" s="99"/>
      <c r="AY514" s="101"/>
      <c r="AZ514" s="99"/>
      <c r="BA514" s="99" t="s">
        <v>1356</v>
      </c>
      <c r="BB514" s="99"/>
      <c r="BC514" s="101"/>
      <c r="BD514" s="99"/>
      <c r="BE514" s="101"/>
      <c r="BF514" s="99"/>
      <c r="BG514" s="99" t="s">
        <v>1356</v>
      </c>
      <c r="BH514" s="99"/>
      <c r="BI514" s="101"/>
      <c r="BJ514" s="99"/>
      <c r="BK514" s="101"/>
      <c r="BL514" s="99"/>
      <c r="BM514" s="99" t="s">
        <v>1356</v>
      </c>
      <c r="BN514" s="99"/>
      <c r="BO514" s="101"/>
      <c r="BP514" s="99"/>
      <c r="BQ514" s="101"/>
      <c r="BR514" s="99"/>
      <c r="BS514" s="99" t="s">
        <v>1356</v>
      </c>
      <c r="BT514" s="99"/>
      <c r="BU514" s="101"/>
      <c r="BV514" s="99"/>
      <c r="BW514" s="101"/>
      <c r="BX514" s="119"/>
      <c r="BY514" s="119" t="s">
        <v>1356</v>
      </c>
      <c r="BZ514" s="119"/>
      <c r="CA514" s="120"/>
      <c r="CB514" s="119"/>
      <c r="CC514" s="120"/>
      <c r="CD514" s="119"/>
      <c r="CE514" s="119" t="s">
        <v>1356</v>
      </c>
      <c r="CF514" s="119"/>
      <c r="CG514" s="120"/>
      <c r="CH514" s="119"/>
      <c r="CI514" s="120"/>
      <c r="CJ514" s="119"/>
      <c r="CK514" s="119" t="s">
        <v>1356</v>
      </c>
      <c r="CL514" s="119"/>
      <c r="CM514" s="120"/>
      <c r="CN514" s="119"/>
      <c r="CO514" s="120"/>
      <c r="CP514" s="119"/>
      <c r="CQ514" s="119" t="s">
        <v>1356</v>
      </c>
      <c r="CR514" s="119"/>
      <c r="CS514" s="120"/>
      <c r="CT514" s="119"/>
      <c r="CU514" s="120"/>
      <c r="CV514" s="119"/>
      <c r="CW514" s="119" t="s">
        <v>1356</v>
      </c>
      <c r="CX514" s="119"/>
      <c r="CY514" s="120"/>
      <c r="CZ514" s="119"/>
      <c r="DA514" s="120"/>
      <c r="DB514" s="36" t="s">
        <v>7085</v>
      </c>
      <c r="DC514" s="59" t="s">
        <v>253</v>
      </c>
    </row>
    <row r="515" spans="1:107" s="40" customFormat="1" x14ac:dyDescent="0.3">
      <c r="A515" s="35" t="s">
        <v>4219</v>
      </c>
      <c r="B515" s="35" t="s">
        <v>5252</v>
      </c>
      <c r="C515" s="35" t="s">
        <v>5253</v>
      </c>
      <c r="D515" s="35" t="s">
        <v>5254</v>
      </c>
      <c r="E515" s="35" t="s">
        <v>5255</v>
      </c>
      <c r="F515" s="35" t="s">
        <v>2164</v>
      </c>
      <c r="G515" s="35" t="s">
        <v>4237</v>
      </c>
      <c r="H515" s="27" t="s">
        <v>686</v>
      </c>
      <c r="I515" s="62">
        <v>901</v>
      </c>
      <c r="J515" s="62">
        <v>90150</v>
      </c>
      <c r="K515" s="63">
        <v>4</v>
      </c>
      <c r="L515" s="35" t="s">
        <v>5256</v>
      </c>
      <c r="M515" s="35" t="s">
        <v>5257</v>
      </c>
      <c r="N515" s="35" t="s">
        <v>5258</v>
      </c>
      <c r="O515" s="35"/>
      <c r="P515" s="35"/>
      <c r="Q515" s="35"/>
      <c r="R515" s="35" t="s">
        <v>4603</v>
      </c>
      <c r="S515" s="35"/>
      <c r="T515" s="35"/>
      <c r="U515" s="35" t="s">
        <v>5259</v>
      </c>
      <c r="V515" s="35"/>
      <c r="W515" s="35" t="s">
        <v>5260</v>
      </c>
      <c r="X515" s="35" t="s">
        <v>5261</v>
      </c>
      <c r="Y515" s="35" t="s">
        <v>5262</v>
      </c>
      <c r="Z515" s="35">
        <v>-79.935662448406219</v>
      </c>
      <c r="AA515" s="35">
        <v>-2.0666979939460379</v>
      </c>
      <c r="AB515" s="35">
        <v>90150670</v>
      </c>
      <c r="AC515" s="35">
        <v>90150670001</v>
      </c>
      <c r="AD515" s="35">
        <v>90150670001008</v>
      </c>
      <c r="AE515" s="63">
        <v>4</v>
      </c>
      <c r="AF515" s="63" t="s">
        <v>499</v>
      </c>
      <c r="AG515" s="29" t="s">
        <v>65</v>
      </c>
      <c r="AH515" s="75"/>
      <c r="AI515" s="65" t="s">
        <v>66</v>
      </c>
      <c r="AJ515" s="32" t="s">
        <v>6938</v>
      </c>
      <c r="AK515" s="33" t="s">
        <v>67</v>
      </c>
      <c r="AL515" s="58">
        <v>45586</v>
      </c>
      <c r="AM515" s="35" t="s">
        <v>66</v>
      </c>
      <c r="AN515" s="35"/>
      <c r="AO515" s="35"/>
      <c r="AP515" s="35"/>
      <c r="AQ515" s="37">
        <f t="shared" si="24"/>
        <v>0</v>
      </c>
      <c r="AR515" s="38">
        <f t="shared" si="25"/>
        <v>0</v>
      </c>
      <c r="AS515" s="39">
        <f t="shared" si="26"/>
        <v>0</v>
      </c>
      <c r="AT515" s="99"/>
      <c r="AU515" s="99" t="s">
        <v>1356</v>
      </c>
      <c r="AV515" s="99"/>
      <c r="AW515" s="100"/>
      <c r="AX515" s="99"/>
      <c r="AY515" s="101"/>
      <c r="AZ515" s="99"/>
      <c r="BA515" s="99" t="s">
        <v>1356</v>
      </c>
      <c r="BB515" s="99"/>
      <c r="BC515" s="101"/>
      <c r="BD515" s="99"/>
      <c r="BE515" s="101"/>
      <c r="BF515" s="99"/>
      <c r="BG515" s="99" t="s">
        <v>1356</v>
      </c>
      <c r="BH515" s="99"/>
      <c r="BI515" s="101"/>
      <c r="BJ515" s="99"/>
      <c r="BK515" s="101"/>
      <c r="BL515" s="99"/>
      <c r="BM515" s="99" t="s">
        <v>1356</v>
      </c>
      <c r="BN515" s="99"/>
      <c r="BO515" s="101"/>
      <c r="BP515" s="99"/>
      <c r="BQ515" s="101"/>
      <c r="BR515" s="99"/>
      <c r="BS515" s="99" t="s">
        <v>1356</v>
      </c>
      <c r="BT515" s="99"/>
      <c r="BU515" s="101"/>
      <c r="BV515" s="99"/>
      <c r="BW515" s="101"/>
      <c r="BX515" s="119"/>
      <c r="BY515" s="119" t="s">
        <v>1356</v>
      </c>
      <c r="BZ515" s="119"/>
      <c r="CA515" s="120"/>
      <c r="CB515" s="119"/>
      <c r="CC515" s="120"/>
      <c r="CD515" s="119"/>
      <c r="CE515" s="119" t="s">
        <v>1356</v>
      </c>
      <c r="CF515" s="119"/>
      <c r="CG515" s="120"/>
      <c r="CH515" s="119"/>
      <c r="CI515" s="120"/>
      <c r="CJ515" s="119"/>
      <c r="CK515" s="119" t="s">
        <v>1356</v>
      </c>
      <c r="CL515" s="119"/>
      <c r="CM515" s="120"/>
      <c r="CN515" s="119"/>
      <c r="CO515" s="120"/>
      <c r="CP515" s="119"/>
      <c r="CQ515" s="119" t="s">
        <v>1356</v>
      </c>
      <c r="CR515" s="119"/>
      <c r="CS515" s="120"/>
      <c r="CT515" s="119"/>
      <c r="CU515" s="120"/>
      <c r="CV515" s="119"/>
      <c r="CW515" s="119" t="s">
        <v>1356</v>
      </c>
      <c r="CX515" s="119"/>
      <c r="CY515" s="120"/>
      <c r="CZ515" s="119"/>
      <c r="DA515" s="120"/>
      <c r="DB515" s="36" t="s">
        <v>7085</v>
      </c>
      <c r="DC515" s="59" t="s">
        <v>6751</v>
      </c>
    </row>
    <row r="516" spans="1:107" s="40" customFormat="1" ht="14.55" customHeight="1" x14ac:dyDescent="0.3">
      <c r="A516" s="35" t="s">
        <v>4219</v>
      </c>
      <c r="B516" s="35" t="s">
        <v>5263</v>
      </c>
      <c r="C516" s="35" t="s">
        <v>5264</v>
      </c>
      <c r="D516" s="35" t="s">
        <v>5265</v>
      </c>
      <c r="E516" s="35" t="s">
        <v>70</v>
      </c>
      <c r="F516" s="35" t="s">
        <v>95</v>
      </c>
      <c r="G516" s="35" t="s">
        <v>4237</v>
      </c>
      <c r="H516" s="27" t="s">
        <v>686</v>
      </c>
      <c r="I516" s="62">
        <v>907</v>
      </c>
      <c r="J516" s="62">
        <v>90750</v>
      </c>
      <c r="K516" s="63">
        <v>4</v>
      </c>
      <c r="L516" s="35" t="s">
        <v>5266</v>
      </c>
      <c r="M516" s="35"/>
      <c r="N516" s="35" t="s">
        <v>5267</v>
      </c>
      <c r="O516" s="35"/>
      <c r="P516" s="35"/>
      <c r="Q516" s="35"/>
      <c r="R516" s="35" t="s">
        <v>113</v>
      </c>
      <c r="S516" s="35"/>
      <c r="T516" s="35" t="s">
        <v>5268</v>
      </c>
      <c r="U516" s="35"/>
      <c r="V516" s="35"/>
      <c r="W516" s="35" t="s">
        <v>5269</v>
      </c>
      <c r="X516" s="35"/>
      <c r="Y516" s="35" t="s">
        <v>5270</v>
      </c>
      <c r="Z516" s="35">
        <v>-79.834688007831559</v>
      </c>
      <c r="AA516" s="35">
        <v>-2.1671103208892299</v>
      </c>
      <c r="AB516" s="35">
        <v>90750038</v>
      </c>
      <c r="AC516" s="35">
        <v>90750038006</v>
      </c>
      <c r="AD516" s="35">
        <v>90750038006003</v>
      </c>
      <c r="AE516" s="63">
        <v>4</v>
      </c>
      <c r="AF516" s="63" t="s">
        <v>499</v>
      </c>
      <c r="AG516" s="29" t="s">
        <v>65</v>
      </c>
      <c r="AH516" s="75"/>
      <c r="AI516" s="65" t="s">
        <v>66</v>
      </c>
      <c r="AJ516" s="32" t="s">
        <v>6938</v>
      </c>
      <c r="AK516" s="33" t="s">
        <v>67</v>
      </c>
      <c r="AL516" s="58">
        <v>45586</v>
      </c>
      <c r="AM516" s="35" t="s">
        <v>66</v>
      </c>
      <c r="AN516" s="35"/>
      <c r="AO516" s="35"/>
      <c r="AP516" s="35"/>
      <c r="AQ516" s="37">
        <f t="shared" si="24"/>
        <v>0</v>
      </c>
      <c r="AR516" s="38">
        <f t="shared" si="25"/>
        <v>0</v>
      </c>
      <c r="AS516" s="39">
        <f t="shared" si="26"/>
        <v>0</v>
      </c>
      <c r="AT516" s="99"/>
      <c r="AU516" s="99" t="s">
        <v>1356</v>
      </c>
      <c r="AV516" s="99"/>
      <c r="AW516" s="100"/>
      <c r="AX516" s="99"/>
      <c r="AY516" s="101"/>
      <c r="AZ516" s="99"/>
      <c r="BA516" s="99" t="s">
        <v>1356</v>
      </c>
      <c r="BB516" s="99"/>
      <c r="BC516" s="101"/>
      <c r="BD516" s="99"/>
      <c r="BE516" s="101"/>
      <c r="BF516" s="99"/>
      <c r="BG516" s="99" t="s">
        <v>1356</v>
      </c>
      <c r="BH516" s="99"/>
      <c r="BI516" s="101"/>
      <c r="BJ516" s="99"/>
      <c r="BK516" s="101"/>
      <c r="BL516" s="99"/>
      <c r="BM516" s="99" t="s">
        <v>1356</v>
      </c>
      <c r="BN516" s="99"/>
      <c r="BO516" s="101"/>
      <c r="BP516" s="99"/>
      <c r="BQ516" s="101"/>
      <c r="BR516" s="99"/>
      <c r="BS516" s="99" t="s">
        <v>1356</v>
      </c>
      <c r="BT516" s="99"/>
      <c r="BU516" s="101"/>
      <c r="BV516" s="99"/>
      <c r="BW516" s="101"/>
      <c r="BX516" s="119"/>
      <c r="BY516" s="119" t="s">
        <v>1356</v>
      </c>
      <c r="BZ516" s="119"/>
      <c r="CA516" s="120"/>
      <c r="CB516" s="119"/>
      <c r="CC516" s="120"/>
      <c r="CD516" s="119"/>
      <c r="CE516" s="119" t="s">
        <v>1356</v>
      </c>
      <c r="CF516" s="119"/>
      <c r="CG516" s="120"/>
      <c r="CH516" s="119"/>
      <c r="CI516" s="120"/>
      <c r="CJ516" s="119"/>
      <c r="CK516" s="119" t="s">
        <v>1356</v>
      </c>
      <c r="CL516" s="119"/>
      <c r="CM516" s="120"/>
      <c r="CN516" s="119"/>
      <c r="CO516" s="120"/>
      <c r="CP516" s="119"/>
      <c r="CQ516" s="119" t="s">
        <v>1356</v>
      </c>
      <c r="CR516" s="119"/>
      <c r="CS516" s="120"/>
      <c r="CT516" s="119"/>
      <c r="CU516" s="120"/>
      <c r="CV516" s="119"/>
      <c r="CW516" s="119" t="s">
        <v>1356</v>
      </c>
      <c r="CX516" s="119"/>
      <c r="CY516" s="120"/>
      <c r="CZ516" s="119"/>
      <c r="DA516" s="120"/>
      <c r="DB516" s="36" t="s">
        <v>7085</v>
      </c>
      <c r="DC516" s="59" t="s">
        <v>105</v>
      </c>
    </row>
    <row r="517" spans="1:107" s="40" customFormat="1" ht="14.55" customHeight="1" x14ac:dyDescent="0.3">
      <c r="A517" s="35" t="s">
        <v>4219</v>
      </c>
      <c r="B517" s="35" t="s">
        <v>5271</v>
      </c>
      <c r="C517" s="35" t="s">
        <v>5272</v>
      </c>
      <c r="D517" s="35" t="s">
        <v>5273</v>
      </c>
      <c r="E517" s="35" t="s">
        <v>5274</v>
      </c>
      <c r="F517" s="35" t="s">
        <v>1453</v>
      </c>
      <c r="G517" s="35" t="s">
        <v>4237</v>
      </c>
      <c r="H517" s="27" t="s">
        <v>686</v>
      </c>
      <c r="I517" s="62">
        <v>901</v>
      </c>
      <c r="J517" s="62">
        <v>90150</v>
      </c>
      <c r="K517" s="63">
        <v>4</v>
      </c>
      <c r="L517" s="35" t="s">
        <v>5275</v>
      </c>
      <c r="M517" s="35" t="s">
        <v>5276</v>
      </c>
      <c r="N517" s="35" t="s">
        <v>5277</v>
      </c>
      <c r="O517" s="35" t="s">
        <v>5278</v>
      </c>
      <c r="P517" s="35"/>
      <c r="Q517" s="35" t="s">
        <v>5279</v>
      </c>
      <c r="R517" s="35" t="s">
        <v>4603</v>
      </c>
      <c r="S517" s="35" t="s">
        <v>766</v>
      </c>
      <c r="T517" s="35"/>
      <c r="U517" s="35" t="s">
        <v>5280</v>
      </c>
      <c r="V517" s="35"/>
      <c r="W517" s="35" t="s">
        <v>5281</v>
      </c>
      <c r="X517" s="35" t="s">
        <v>5282</v>
      </c>
      <c r="Y517" s="35" t="s">
        <v>5283</v>
      </c>
      <c r="Z517" s="35">
        <v>-79.928098618984222</v>
      </c>
      <c r="AA517" s="35">
        <v>-2.107338670125587</v>
      </c>
      <c r="AB517" s="35">
        <v>90150483</v>
      </c>
      <c r="AC517" s="35">
        <v>90150483009</v>
      </c>
      <c r="AD517" s="35">
        <v>90150483009012</v>
      </c>
      <c r="AE517" s="63">
        <v>4</v>
      </c>
      <c r="AF517" s="63" t="s">
        <v>499</v>
      </c>
      <c r="AG517" s="29" t="s">
        <v>65</v>
      </c>
      <c r="AH517" s="75"/>
      <c r="AI517" s="65" t="s">
        <v>66</v>
      </c>
      <c r="AJ517" s="32" t="s">
        <v>6938</v>
      </c>
      <c r="AK517" s="33" t="s">
        <v>67</v>
      </c>
      <c r="AL517" s="58">
        <v>45583</v>
      </c>
      <c r="AM517" s="35" t="s">
        <v>66</v>
      </c>
      <c r="AN517" s="35"/>
      <c r="AO517" s="35"/>
      <c r="AP517" s="35"/>
      <c r="AQ517" s="37">
        <f t="shared" si="24"/>
        <v>0</v>
      </c>
      <c r="AR517" s="38">
        <f t="shared" si="25"/>
        <v>0</v>
      </c>
      <c r="AS517" s="39">
        <f t="shared" si="26"/>
        <v>0</v>
      </c>
      <c r="AT517" s="99"/>
      <c r="AU517" s="99" t="s">
        <v>1356</v>
      </c>
      <c r="AV517" s="99"/>
      <c r="AW517" s="100"/>
      <c r="AX517" s="99"/>
      <c r="AY517" s="101"/>
      <c r="AZ517" s="99"/>
      <c r="BA517" s="99" t="s">
        <v>1356</v>
      </c>
      <c r="BB517" s="99"/>
      <c r="BC517" s="101"/>
      <c r="BD517" s="99"/>
      <c r="BE517" s="101"/>
      <c r="BF517" s="99"/>
      <c r="BG517" s="99" t="s">
        <v>1356</v>
      </c>
      <c r="BH517" s="99"/>
      <c r="BI517" s="101"/>
      <c r="BJ517" s="99"/>
      <c r="BK517" s="101"/>
      <c r="BL517" s="99"/>
      <c r="BM517" s="99" t="s">
        <v>1356</v>
      </c>
      <c r="BN517" s="99"/>
      <c r="BO517" s="101"/>
      <c r="BP517" s="99"/>
      <c r="BQ517" s="101"/>
      <c r="BR517" s="99"/>
      <c r="BS517" s="99" t="s">
        <v>1356</v>
      </c>
      <c r="BT517" s="99"/>
      <c r="BU517" s="101"/>
      <c r="BV517" s="99"/>
      <c r="BW517" s="101"/>
      <c r="BX517" s="119"/>
      <c r="BY517" s="119" t="s">
        <v>1356</v>
      </c>
      <c r="BZ517" s="119"/>
      <c r="CA517" s="120"/>
      <c r="CB517" s="119"/>
      <c r="CC517" s="120"/>
      <c r="CD517" s="119"/>
      <c r="CE517" s="119" t="s">
        <v>1356</v>
      </c>
      <c r="CF517" s="119"/>
      <c r="CG517" s="120"/>
      <c r="CH517" s="119"/>
      <c r="CI517" s="120"/>
      <c r="CJ517" s="119"/>
      <c r="CK517" s="119" t="s">
        <v>1356</v>
      </c>
      <c r="CL517" s="119"/>
      <c r="CM517" s="120"/>
      <c r="CN517" s="119"/>
      <c r="CO517" s="120"/>
      <c r="CP517" s="119"/>
      <c r="CQ517" s="119" t="s">
        <v>1356</v>
      </c>
      <c r="CR517" s="119"/>
      <c r="CS517" s="120"/>
      <c r="CT517" s="119"/>
      <c r="CU517" s="120"/>
      <c r="CV517" s="119"/>
      <c r="CW517" s="119" t="s">
        <v>1356</v>
      </c>
      <c r="CX517" s="119"/>
      <c r="CY517" s="120"/>
      <c r="CZ517" s="119"/>
      <c r="DA517" s="120"/>
      <c r="DB517" s="36" t="s">
        <v>7085</v>
      </c>
      <c r="DC517" s="59" t="s">
        <v>105</v>
      </c>
    </row>
    <row r="518" spans="1:107" s="40" customFormat="1" x14ac:dyDescent="0.3">
      <c r="A518" s="35" t="s">
        <v>4219</v>
      </c>
      <c r="B518" s="35" t="s">
        <v>5284</v>
      </c>
      <c r="C518" s="35" t="s">
        <v>5285</v>
      </c>
      <c r="D518" s="35" t="s">
        <v>5286</v>
      </c>
      <c r="E518" s="35" t="s">
        <v>5287</v>
      </c>
      <c r="F518" s="35" t="s">
        <v>134</v>
      </c>
      <c r="G518" s="35" t="s">
        <v>4237</v>
      </c>
      <c r="H518" s="27" t="s">
        <v>686</v>
      </c>
      <c r="I518" s="62">
        <v>901</v>
      </c>
      <c r="J518" s="62">
        <v>90150</v>
      </c>
      <c r="K518" s="63">
        <v>4</v>
      </c>
      <c r="L518" s="35" t="s">
        <v>4446</v>
      </c>
      <c r="M518" s="35" t="s">
        <v>258</v>
      </c>
      <c r="N518" s="35"/>
      <c r="O518" s="35" t="s">
        <v>5288</v>
      </c>
      <c r="P518" s="35"/>
      <c r="Q518" s="35"/>
      <c r="R518" s="35" t="s">
        <v>60</v>
      </c>
      <c r="S518" s="35"/>
      <c r="T518" s="35"/>
      <c r="U518" s="35"/>
      <c r="V518" s="35"/>
      <c r="W518" s="35" t="s">
        <v>4841</v>
      </c>
      <c r="X518" s="35" t="s">
        <v>5289</v>
      </c>
      <c r="Y518" s="35" t="s">
        <v>5290</v>
      </c>
      <c r="Z518" s="35"/>
      <c r="AA518" s="35"/>
      <c r="AB518" s="35">
        <v>90150375</v>
      </c>
      <c r="AC518" s="35">
        <v>90150375001</v>
      </c>
      <c r="AD518" s="35">
        <v>90150375001004</v>
      </c>
      <c r="AE518" s="63">
        <v>4</v>
      </c>
      <c r="AF518" s="63" t="s">
        <v>499</v>
      </c>
      <c r="AG518" s="29" t="s">
        <v>65</v>
      </c>
      <c r="AH518" s="75"/>
      <c r="AI518" s="65" t="s">
        <v>65</v>
      </c>
      <c r="AJ518" s="32" t="s">
        <v>6939</v>
      </c>
      <c r="AK518" s="33" t="s">
        <v>92</v>
      </c>
      <c r="AL518" s="58"/>
      <c r="AM518" s="35"/>
      <c r="AN518" s="35"/>
      <c r="AO518" s="35"/>
      <c r="AP518" s="35"/>
      <c r="AQ518" s="37">
        <f t="shared" ref="AQ518:AQ581" si="27">+COUNTA(AT518,AZ518,BF518,BL518,BR518)</f>
        <v>0</v>
      </c>
      <c r="AR518" s="38">
        <f t="shared" ref="AR518:AR581" si="28">+COUNTA(BX518,CD518,CJ518,CP518,CV518)</f>
        <v>0</v>
      </c>
      <c r="AS518" s="39">
        <f t="shared" ref="AS518:AS581" si="29">+AQ518+AR518</f>
        <v>0</v>
      </c>
      <c r="AT518" s="99"/>
      <c r="AU518" s="99" t="s">
        <v>1356</v>
      </c>
      <c r="AV518" s="99"/>
      <c r="AW518" s="100"/>
      <c r="AX518" s="99"/>
      <c r="AY518" s="101"/>
      <c r="AZ518" s="99"/>
      <c r="BA518" s="99" t="s">
        <v>1356</v>
      </c>
      <c r="BB518" s="99"/>
      <c r="BC518" s="101"/>
      <c r="BD518" s="99"/>
      <c r="BE518" s="101"/>
      <c r="BF518" s="99"/>
      <c r="BG518" s="99" t="s">
        <v>1356</v>
      </c>
      <c r="BH518" s="99"/>
      <c r="BI518" s="101"/>
      <c r="BJ518" s="99"/>
      <c r="BK518" s="101"/>
      <c r="BL518" s="99"/>
      <c r="BM518" s="99" t="s">
        <v>1356</v>
      </c>
      <c r="BN518" s="99"/>
      <c r="BO518" s="101"/>
      <c r="BP518" s="99"/>
      <c r="BQ518" s="101"/>
      <c r="BR518" s="99"/>
      <c r="BS518" s="99" t="s">
        <v>1356</v>
      </c>
      <c r="BT518" s="99"/>
      <c r="BU518" s="101"/>
      <c r="BV518" s="99"/>
      <c r="BW518" s="101"/>
      <c r="BX518" s="119"/>
      <c r="BY518" s="119" t="s">
        <v>1356</v>
      </c>
      <c r="BZ518" s="119"/>
      <c r="CA518" s="120"/>
      <c r="CB518" s="119"/>
      <c r="CC518" s="120"/>
      <c r="CD518" s="119"/>
      <c r="CE518" s="119" t="s">
        <v>1356</v>
      </c>
      <c r="CF518" s="119"/>
      <c r="CG518" s="120"/>
      <c r="CH518" s="119"/>
      <c r="CI518" s="120"/>
      <c r="CJ518" s="119"/>
      <c r="CK518" s="119" t="s">
        <v>1356</v>
      </c>
      <c r="CL518" s="119"/>
      <c r="CM518" s="120"/>
      <c r="CN518" s="119"/>
      <c r="CO518" s="120"/>
      <c r="CP518" s="119"/>
      <c r="CQ518" s="119" t="s">
        <v>1356</v>
      </c>
      <c r="CR518" s="119"/>
      <c r="CS518" s="120"/>
      <c r="CT518" s="119"/>
      <c r="CU518" s="120"/>
      <c r="CV518" s="119"/>
      <c r="CW518" s="119" t="s">
        <v>1356</v>
      </c>
      <c r="CX518" s="119"/>
      <c r="CY518" s="120"/>
      <c r="CZ518" s="119"/>
      <c r="DA518" s="120"/>
      <c r="DB518" s="35"/>
      <c r="DC518" s="59"/>
    </row>
    <row r="519" spans="1:107" s="40" customFormat="1" x14ac:dyDescent="0.3">
      <c r="A519" s="35" t="s">
        <v>4219</v>
      </c>
      <c r="B519" s="35" t="s">
        <v>5291</v>
      </c>
      <c r="C519" s="35" t="s">
        <v>5292</v>
      </c>
      <c r="D519" s="35" t="s">
        <v>5293</v>
      </c>
      <c r="E519" s="35" t="s">
        <v>5294</v>
      </c>
      <c r="F519" s="35" t="s">
        <v>142</v>
      </c>
      <c r="G519" s="35" t="s">
        <v>4237</v>
      </c>
      <c r="H519" s="27" t="s">
        <v>686</v>
      </c>
      <c r="I519" s="62">
        <v>901</v>
      </c>
      <c r="J519" s="62">
        <v>90150</v>
      </c>
      <c r="K519" s="63">
        <v>4</v>
      </c>
      <c r="L519" s="35" t="s">
        <v>213</v>
      </c>
      <c r="M519" s="35" t="s">
        <v>5295</v>
      </c>
      <c r="N519" s="35" t="s">
        <v>5296</v>
      </c>
      <c r="O519" s="35"/>
      <c r="P519" s="35"/>
      <c r="Q519" s="35"/>
      <c r="R519" s="35"/>
      <c r="S519" s="35"/>
      <c r="T519" s="35"/>
      <c r="U519" s="35"/>
      <c r="V519" s="35"/>
      <c r="W519" s="35" t="s">
        <v>5297</v>
      </c>
      <c r="X519" s="35" t="s">
        <v>5298</v>
      </c>
      <c r="Y519" s="35" t="s">
        <v>5299</v>
      </c>
      <c r="Z519" s="35">
        <v>-79.887067569999999</v>
      </c>
      <c r="AA519" s="35">
        <v>-2.1945425250000001</v>
      </c>
      <c r="AB519" s="35">
        <v>90150291</v>
      </c>
      <c r="AC519" s="35">
        <v>90150291004</v>
      </c>
      <c r="AD519" s="35">
        <v>90150291004002</v>
      </c>
      <c r="AE519" s="63">
        <v>4</v>
      </c>
      <c r="AF519" s="63" t="s">
        <v>499</v>
      </c>
      <c r="AG519" s="29" t="s">
        <v>65</v>
      </c>
      <c r="AH519" s="75"/>
      <c r="AI519" s="65" t="s">
        <v>66</v>
      </c>
      <c r="AJ519" s="32" t="s">
        <v>6938</v>
      </c>
      <c r="AK519" s="33" t="s">
        <v>67</v>
      </c>
      <c r="AL519" s="58">
        <v>45586</v>
      </c>
      <c r="AM519" s="35" t="s">
        <v>66</v>
      </c>
      <c r="AN519" s="35"/>
      <c r="AO519" s="35"/>
      <c r="AP519" s="35"/>
      <c r="AQ519" s="37">
        <f t="shared" si="27"/>
        <v>0</v>
      </c>
      <c r="AR519" s="38">
        <f t="shared" si="28"/>
        <v>0</v>
      </c>
      <c r="AS519" s="39">
        <f t="shared" si="29"/>
        <v>0</v>
      </c>
      <c r="AT519" s="99"/>
      <c r="AU519" s="99" t="s">
        <v>1356</v>
      </c>
      <c r="AV519" s="99"/>
      <c r="AW519" s="100"/>
      <c r="AX519" s="99"/>
      <c r="AY519" s="101"/>
      <c r="AZ519" s="99"/>
      <c r="BA519" s="99" t="s">
        <v>1356</v>
      </c>
      <c r="BB519" s="99"/>
      <c r="BC519" s="101"/>
      <c r="BD519" s="99"/>
      <c r="BE519" s="101"/>
      <c r="BF519" s="99"/>
      <c r="BG519" s="99" t="s">
        <v>1356</v>
      </c>
      <c r="BH519" s="99"/>
      <c r="BI519" s="101"/>
      <c r="BJ519" s="99"/>
      <c r="BK519" s="101"/>
      <c r="BL519" s="99"/>
      <c r="BM519" s="99" t="s">
        <v>1356</v>
      </c>
      <c r="BN519" s="99"/>
      <c r="BO519" s="101"/>
      <c r="BP519" s="99"/>
      <c r="BQ519" s="101"/>
      <c r="BR519" s="99"/>
      <c r="BS519" s="99" t="s">
        <v>1356</v>
      </c>
      <c r="BT519" s="99"/>
      <c r="BU519" s="101"/>
      <c r="BV519" s="99"/>
      <c r="BW519" s="101"/>
      <c r="BX519" s="119"/>
      <c r="BY519" s="119" t="s">
        <v>1356</v>
      </c>
      <c r="BZ519" s="119"/>
      <c r="CA519" s="120"/>
      <c r="CB519" s="119"/>
      <c r="CC519" s="120"/>
      <c r="CD519" s="119"/>
      <c r="CE519" s="119" t="s">
        <v>1356</v>
      </c>
      <c r="CF519" s="119"/>
      <c r="CG519" s="120"/>
      <c r="CH519" s="119"/>
      <c r="CI519" s="120"/>
      <c r="CJ519" s="119"/>
      <c r="CK519" s="119" t="s">
        <v>1356</v>
      </c>
      <c r="CL519" s="119"/>
      <c r="CM519" s="120"/>
      <c r="CN519" s="119"/>
      <c r="CO519" s="120"/>
      <c r="CP519" s="119"/>
      <c r="CQ519" s="119" t="s">
        <v>1356</v>
      </c>
      <c r="CR519" s="119"/>
      <c r="CS519" s="120"/>
      <c r="CT519" s="119"/>
      <c r="CU519" s="120"/>
      <c r="CV519" s="119"/>
      <c r="CW519" s="119" t="s">
        <v>1356</v>
      </c>
      <c r="CX519" s="119"/>
      <c r="CY519" s="120"/>
      <c r="CZ519" s="119"/>
      <c r="DA519" s="120"/>
      <c r="DB519" s="36" t="s">
        <v>7085</v>
      </c>
      <c r="DC519" s="59" t="s">
        <v>105</v>
      </c>
    </row>
    <row r="520" spans="1:107" s="40" customFormat="1" ht="14.55" customHeight="1" x14ac:dyDescent="0.3">
      <c r="A520" s="35" t="s">
        <v>4219</v>
      </c>
      <c r="B520" s="35" t="s">
        <v>5300</v>
      </c>
      <c r="C520" s="35" t="s">
        <v>5301</v>
      </c>
      <c r="D520" s="35" t="s">
        <v>5302</v>
      </c>
      <c r="E520" s="35" t="s">
        <v>70</v>
      </c>
      <c r="F520" s="35" t="s">
        <v>169</v>
      </c>
      <c r="G520" s="35" t="s">
        <v>4237</v>
      </c>
      <c r="H520" s="27" t="s">
        <v>686</v>
      </c>
      <c r="I520" s="62">
        <v>901</v>
      </c>
      <c r="J520" s="62">
        <v>90150</v>
      </c>
      <c r="K520" s="63">
        <v>4</v>
      </c>
      <c r="L520" s="35" t="s">
        <v>5303</v>
      </c>
      <c r="M520" s="35" t="s">
        <v>5304</v>
      </c>
      <c r="N520" s="35" t="s">
        <v>5305</v>
      </c>
      <c r="O520" s="35"/>
      <c r="P520" s="35"/>
      <c r="Q520" s="35" t="s">
        <v>5306</v>
      </c>
      <c r="R520" s="35" t="s">
        <v>535</v>
      </c>
      <c r="S520" s="35"/>
      <c r="T520" s="35"/>
      <c r="U520" s="35" t="s">
        <v>5307</v>
      </c>
      <c r="V520" s="35"/>
      <c r="W520" s="35"/>
      <c r="X520" s="35" t="s">
        <v>5308</v>
      </c>
      <c r="Y520" s="35" t="s">
        <v>5309</v>
      </c>
      <c r="Z520" s="35">
        <v>-79.900930000000002</v>
      </c>
      <c r="AA520" s="35">
        <v>-2.1932670000000001</v>
      </c>
      <c r="AB520" s="35">
        <v>90150286</v>
      </c>
      <c r="AC520" s="35">
        <v>90150286004</v>
      </c>
      <c r="AD520" s="35">
        <v>90150286004002</v>
      </c>
      <c r="AE520" s="63">
        <v>4</v>
      </c>
      <c r="AF520" s="63" t="s">
        <v>499</v>
      </c>
      <c r="AG520" s="29" t="s">
        <v>65</v>
      </c>
      <c r="AH520" s="75"/>
      <c r="AI520" s="65" t="s">
        <v>66</v>
      </c>
      <c r="AJ520" s="32" t="s">
        <v>6938</v>
      </c>
      <c r="AK520" s="33" t="s">
        <v>67</v>
      </c>
      <c r="AL520" s="58">
        <v>45586</v>
      </c>
      <c r="AM520" s="35" t="s">
        <v>66</v>
      </c>
      <c r="AN520" s="35"/>
      <c r="AO520" s="35"/>
      <c r="AP520" s="35"/>
      <c r="AQ520" s="37">
        <f t="shared" si="27"/>
        <v>0</v>
      </c>
      <c r="AR520" s="38">
        <f t="shared" si="28"/>
        <v>0</v>
      </c>
      <c r="AS520" s="39">
        <f t="shared" si="29"/>
        <v>0</v>
      </c>
      <c r="AT520" s="99"/>
      <c r="AU520" s="99" t="s">
        <v>1356</v>
      </c>
      <c r="AV520" s="99"/>
      <c r="AW520" s="100"/>
      <c r="AX520" s="99"/>
      <c r="AY520" s="101"/>
      <c r="AZ520" s="99"/>
      <c r="BA520" s="99" t="s">
        <v>1356</v>
      </c>
      <c r="BB520" s="99"/>
      <c r="BC520" s="101"/>
      <c r="BD520" s="99"/>
      <c r="BE520" s="101"/>
      <c r="BF520" s="99"/>
      <c r="BG520" s="99" t="s">
        <v>1356</v>
      </c>
      <c r="BH520" s="99"/>
      <c r="BI520" s="101"/>
      <c r="BJ520" s="99"/>
      <c r="BK520" s="101"/>
      <c r="BL520" s="99"/>
      <c r="BM520" s="99" t="s">
        <v>1356</v>
      </c>
      <c r="BN520" s="99"/>
      <c r="BO520" s="101"/>
      <c r="BP520" s="99"/>
      <c r="BQ520" s="101"/>
      <c r="BR520" s="99"/>
      <c r="BS520" s="99" t="s">
        <v>1356</v>
      </c>
      <c r="BT520" s="99"/>
      <c r="BU520" s="101"/>
      <c r="BV520" s="99"/>
      <c r="BW520" s="101"/>
      <c r="BX520" s="119"/>
      <c r="BY520" s="119" t="s">
        <v>1356</v>
      </c>
      <c r="BZ520" s="119"/>
      <c r="CA520" s="120"/>
      <c r="CB520" s="119"/>
      <c r="CC520" s="120"/>
      <c r="CD520" s="119"/>
      <c r="CE520" s="119" t="s">
        <v>1356</v>
      </c>
      <c r="CF520" s="119"/>
      <c r="CG520" s="120"/>
      <c r="CH520" s="119"/>
      <c r="CI520" s="120"/>
      <c r="CJ520" s="119"/>
      <c r="CK520" s="119" t="s">
        <v>1356</v>
      </c>
      <c r="CL520" s="119"/>
      <c r="CM520" s="120"/>
      <c r="CN520" s="119"/>
      <c r="CO520" s="120"/>
      <c r="CP520" s="119"/>
      <c r="CQ520" s="119" t="s">
        <v>1356</v>
      </c>
      <c r="CR520" s="119"/>
      <c r="CS520" s="120"/>
      <c r="CT520" s="119"/>
      <c r="CU520" s="120"/>
      <c r="CV520" s="119"/>
      <c r="CW520" s="119" t="s">
        <v>1356</v>
      </c>
      <c r="CX520" s="119"/>
      <c r="CY520" s="120"/>
      <c r="CZ520" s="119"/>
      <c r="DA520" s="120"/>
      <c r="DB520" s="36" t="s">
        <v>7085</v>
      </c>
      <c r="DC520" s="59" t="s">
        <v>105</v>
      </c>
    </row>
    <row r="521" spans="1:107" s="40" customFormat="1" x14ac:dyDescent="0.3">
      <c r="A521" s="35" t="s">
        <v>4219</v>
      </c>
      <c r="B521" s="35" t="s">
        <v>5310</v>
      </c>
      <c r="C521" s="35" t="s">
        <v>5311</v>
      </c>
      <c r="D521" s="35" t="s">
        <v>5312</v>
      </c>
      <c r="E521" s="35" t="s">
        <v>70</v>
      </c>
      <c r="F521" s="35" t="s">
        <v>596</v>
      </c>
      <c r="G521" s="35" t="s">
        <v>4237</v>
      </c>
      <c r="H521" s="27" t="s">
        <v>686</v>
      </c>
      <c r="I521" s="62">
        <v>901</v>
      </c>
      <c r="J521" s="62">
        <v>90150</v>
      </c>
      <c r="K521" s="63">
        <v>4</v>
      </c>
      <c r="L521" s="35" t="s">
        <v>1985</v>
      </c>
      <c r="M521" s="35" t="s">
        <v>5313</v>
      </c>
      <c r="N521" s="35" t="s">
        <v>5314</v>
      </c>
      <c r="O521" s="35" t="s">
        <v>5278</v>
      </c>
      <c r="P521" s="35"/>
      <c r="Q521" s="35"/>
      <c r="R521" s="35"/>
      <c r="S521" s="35"/>
      <c r="T521" s="35"/>
      <c r="U521" s="35" t="s">
        <v>4955</v>
      </c>
      <c r="V521" s="35"/>
      <c r="W521" s="35" t="s">
        <v>5315</v>
      </c>
      <c r="X521" s="35" t="s">
        <v>5316</v>
      </c>
      <c r="Y521" s="35" t="s">
        <v>5317</v>
      </c>
      <c r="Z521" s="35">
        <v>-79.944816000000003</v>
      </c>
      <c r="AA521" s="35">
        <v>-2.114233</v>
      </c>
      <c r="AB521" s="35">
        <v>90150050</v>
      </c>
      <c r="AC521" s="35">
        <v>90150050005</v>
      </c>
      <c r="AD521" s="35">
        <v>90150050005003</v>
      </c>
      <c r="AE521" s="63">
        <v>4</v>
      </c>
      <c r="AF521" s="63" t="s">
        <v>499</v>
      </c>
      <c r="AG521" s="29" t="s">
        <v>65</v>
      </c>
      <c r="AH521" s="75"/>
      <c r="AI521" s="65" t="s">
        <v>65</v>
      </c>
      <c r="AJ521" s="32" t="s">
        <v>6939</v>
      </c>
      <c r="AK521" s="33" t="s">
        <v>92</v>
      </c>
      <c r="AL521" s="58"/>
      <c r="AM521" s="35"/>
      <c r="AN521" s="35"/>
      <c r="AO521" s="35"/>
      <c r="AP521" s="35"/>
      <c r="AQ521" s="37">
        <f t="shared" si="27"/>
        <v>0</v>
      </c>
      <c r="AR521" s="38">
        <f t="shared" si="28"/>
        <v>0</v>
      </c>
      <c r="AS521" s="39">
        <f t="shared" si="29"/>
        <v>0</v>
      </c>
      <c r="AT521" s="99"/>
      <c r="AU521" s="99" t="s">
        <v>1356</v>
      </c>
      <c r="AV521" s="99"/>
      <c r="AW521" s="100"/>
      <c r="AX521" s="99"/>
      <c r="AY521" s="101"/>
      <c r="AZ521" s="99"/>
      <c r="BA521" s="99" t="s">
        <v>1356</v>
      </c>
      <c r="BB521" s="99"/>
      <c r="BC521" s="101"/>
      <c r="BD521" s="99"/>
      <c r="BE521" s="101"/>
      <c r="BF521" s="99"/>
      <c r="BG521" s="99" t="s">
        <v>1356</v>
      </c>
      <c r="BH521" s="99"/>
      <c r="BI521" s="101"/>
      <c r="BJ521" s="99"/>
      <c r="BK521" s="101"/>
      <c r="BL521" s="99"/>
      <c r="BM521" s="99" t="s">
        <v>1356</v>
      </c>
      <c r="BN521" s="99"/>
      <c r="BO521" s="101"/>
      <c r="BP521" s="99"/>
      <c r="BQ521" s="101"/>
      <c r="BR521" s="99"/>
      <c r="BS521" s="99" t="s">
        <v>1356</v>
      </c>
      <c r="BT521" s="99"/>
      <c r="BU521" s="101"/>
      <c r="BV521" s="99"/>
      <c r="BW521" s="101"/>
      <c r="BX521" s="119"/>
      <c r="BY521" s="119" t="s">
        <v>1356</v>
      </c>
      <c r="BZ521" s="119"/>
      <c r="CA521" s="120"/>
      <c r="CB521" s="119"/>
      <c r="CC521" s="120"/>
      <c r="CD521" s="119"/>
      <c r="CE521" s="119" t="s">
        <v>1356</v>
      </c>
      <c r="CF521" s="119"/>
      <c r="CG521" s="120"/>
      <c r="CH521" s="119"/>
      <c r="CI521" s="120"/>
      <c r="CJ521" s="119"/>
      <c r="CK521" s="119" t="s">
        <v>1356</v>
      </c>
      <c r="CL521" s="119"/>
      <c r="CM521" s="120"/>
      <c r="CN521" s="119"/>
      <c r="CO521" s="120"/>
      <c r="CP521" s="119"/>
      <c r="CQ521" s="119" t="s">
        <v>1356</v>
      </c>
      <c r="CR521" s="119"/>
      <c r="CS521" s="120"/>
      <c r="CT521" s="119"/>
      <c r="CU521" s="120"/>
      <c r="CV521" s="119"/>
      <c r="CW521" s="119" t="s">
        <v>1356</v>
      </c>
      <c r="CX521" s="119"/>
      <c r="CY521" s="120"/>
      <c r="CZ521" s="119"/>
      <c r="DA521" s="120"/>
      <c r="DB521" s="35"/>
      <c r="DC521" s="59"/>
    </row>
    <row r="522" spans="1:107" s="40" customFormat="1" x14ac:dyDescent="0.3">
      <c r="A522" s="35" t="s">
        <v>4219</v>
      </c>
      <c r="B522" s="35" t="s">
        <v>5318</v>
      </c>
      <c r="C522" s="35" t="s">
        <v>5319</v>
      </c>
      <c r="D522" s="35" t="s">
        <v>5320</v>
      </c>
      <c r="E522" s="35" t="s">
        <v>70</v>
      </c>
      <c r="F522" s="35" t="s">
        <v>190</v>
      </c>
      <c r="G522" s="35" t="s">
        <v>4484</v>
      </c>
      <c r="H522" s="27" t="s">
        <v>6936</v>
      </c>
      <c r="I522" s="62">
        <v>1211</v>
      </c>
      <c r="J522" s="62">
        <v>121150</v>
      </c>
      <c r="K522" s="63">
        <v>4</v>
      </c>
      <c r="L522" s="35" t="s">
        <v>5321</v>
      </c>
      <c r="M522" s="35" t="s">
        <v>258</v>
      </c>
      <c r="N522" s="35" t="s">
        <v>5322</v>
      </c>
      <c r="O522" s="35"/>
      <c r="P522" s="35"/>
      <c r="Q522" s="35"/>
      <c r="R522" s="35" t="s">
        <v>60</v>
      </c>
      <c r="S522" s="35"/>
      <c r="T522" s="35"/>
      <c r="U522" s="35"/>
      <c r="V522" s="35"/>
      <c r="W522" s="35" t="s">
        <v>5323</v>
      </c>
      <c r="X522" s="35" t="s">
        <v>5324</v>
      </c>
      <c r="Y522" s="35" t="s">
        <v>5325</v>
      </c>
      <c r="Z522" s="35">
        <v>-79.349959999999996</v>
      </c>
      <c r="AA522" s="35">
        <v>-0.95937899999999998</v>
      </c>
      <c r="AB522" s="35">
        <v>121150004</v>
      </c>
      <c r="AC522" s="35">
        <v>121150004012</v>
      </c>
      <c r="AD522" s="35">
        <v>121150004012009</v>
      </c>
      <c r="AE522" s="63">
        <v>4</v>
      </c>
      <c r="AF522" s="63" t="s">
        <v>499</v>
      </c>
      <c r="AG522" s="29" t="s">
        <v>65</v>
      </c>
      <c r="AH522" s="75"/>
      <c r="AI522" s="65" t="s">
        <v>66</v>
      </c>
      <c r="AJ522" s="32" t="s">
        <v>6938</v>
      </c>
      <c r="AK522" s="33" t="s">
        <v>67</v>
      </c>
      <c r="AL522" s="58">
        <v>45586</v>
      </c>
      <c r="AM522" s="35" t="s">
        <v>66</v>
      </c>
      <c r="AN522" s="35"/>
      <c r="AO522" s="35"/>
      <c r="AP522" s="35"/>
      <c r="AQ522" s="37">
        <f t="shared" si="27"/>
        <v>0</v>
      </c>
      <c r="AR522" s="38">
        <f t="shared" si="28"/>
        <v>0</v>
      </c>
      <c r="AS522" s="39">
        <f t="shared" si="29"/>
        <v>0</v>
      </c>
      <c r="AT522" s="99"/>
      <c r="AU522" s="99" t="s">
        <v>1356</v>
      </c>
      <c r="AV522" s="99"/>
      <c r="AW522" s="100"/>
      <c r="AX522" s="99"/>
      <c r="AY522" s="101"/>
      <c r="AZ522" s="99"/>
      <c r="BA522" s="99" t="s">
        <v>1356</v>
      </c>
      <c r="BB522" s="99"/>
      <c r="BC522" s="101"/>
      <c r="BD522" s="99"/>
      <c r="BE522" s="101"/>
      <c r="BF522" s="99"/>
      <c r="BG522" s="99" t="s">
        <v>1356</v>
      </c>
      <c r="BH522" s="99"/>
      <c r="BI522" s="101"/>
      <c r="BJ522" s="99"/>
      <c r="BK522" s="101"/>
      <c r="BL522" s="99"/>
      <c r="BM522" s="99" t="s">
        <v>1356</v>
      </c>
      <c r="BN522" s="99"/>
      <c r="BO522" s="101"/>
      <c r="BP522" s="99"/>
      <c r="BQ522" s="101"/>
      <c r="BR522" s="99"/>
      <c r="BS522" s="99" t="s">
        <v>1356</v>
      </c>
      <c r="BT522" s="99"/>
      <c r="BU522" s="101"/>
      <c r="BV522" s="99"/>
      <c r="BW522" s="101"/>
      <c r="BX522" s="119"/>
      <c r="BY522" s="119" t="s">
        <v>1356</v>
      </c>
      <c r="BZ522" s="119"/>
      <c r="CA522" s="120"/>
      <c r="CB522" s="119"/>
      <c r="CC522" s="120"/>
      <c r="CD522" s="119"/>
      <c r="CE522" s="119" t="s">
        <v>1356</v>
      </c>
      <c r="CF522" s="119"/>
      <c r="CG522" s="120"/>
      <c r="CH522" s="119"/>
      <c r="CI522" s="120"/>
      <c r="CJ522" s="119"/>
      <c r="CK522" s="119" t="s">
        <v>1356</v>
      </c>
      <c r="CL522" s="119"/>
      <c r="CM522" s="120"/>
      <c r="CN522" s="119"/>
      <c r="CO522" s="120"/>
      <c r="CP522" s="119"/>
      <c r="CQ522" s="119" t="s">
        <v>1356</v>
      </c>
      <c r="CR522" s="119"/>
      <c r="CS522" s="120"/>
      <c r="CT522" s="119"/>
      <c r="CU522" s="120"/>
      <c r="CV522" s="119"/>
      <c r="CW522" s="119" t="s">
        <v>1356</v>
      </c>
      <c r="CX522" s="119"/>
      <c r="CY522" s="120"/>
      <c r="CZ522" s="119"/>
      <c r="DA522" s="120"/>
      <c r="DB522" s="36" t="s">
        <v>7085</v>
      </c>
      <c r="DC522" s="59" t="s">
        <v>2935</v>
      </c>
    </row>
    <row r="523" spans="1:107" s="40" customFormat="1" x14ac:dyDescent="0.3">
      <c r="A523" s="35" t="s">
        <v>4219</v>
      </c>
      <c r="B523" s="35" t="s">
        <v>5326</v>
      </c>
      <c r="C523" s="35" t="s">
        <v>5327</v>
      </c>
      <c r="D523" s="35" t="s">
        <v>5328</v>
      </c>
      <c r="E523" s="35" t="s">
        <v>5329</v>
      </c>
      <c r="F523" s="35" t="s">
        <v>190</v>
      </c>
      <c r="G523" s="35" t="s">
        <v>4484</v>
      </c>
      <c r="H523" s="27" t="s">
        <v>6936</v>
      </c>
      <c r="I523" s="62">
        <v>1204</v>
      </c>
      <c r="J523" s="62">
        <v>120450</v>
      </c>
      <c r="K523" s="63">
        <v>4</v>
      </c>
      <c r="L523" s="35" t="s">
        <v>5330</v>
      </c>
      <c r="M523" s="35" t="s">
        <v>810</v>
      </c>
      <c r="N523" s="35" t="s">
        <v>5331</v>
      </c>
      <c r="O523" s="35"/>
      <c r="P523" s="35"/>
      <c r="Q523" s="35"/>
      <c r="R523" s="35"/>
      <c r="S523" s="35"/>
      <c r="T523" s="35"/>
      <c r="U523" s="35"/>
      <c r="V523" s="35"/>
      <c r="W523" s="35"/>
      <c r="X523" s="35" t="s">
        <v>5332</v>
      </c>
      <c r="Y523" s="35" t="s">
        <v>5333</v>
      </c>
      <c r="Z523" s="35">
        <v>-79.530614999999997</v>
      </c>
      <c r="AA523" s="35">
        <v>-1.5577399999999999</v>
      </c>
      <c r="AB523" s="35">
        <v>120450003</v>
      </c>
      <c r="AC523" s="35">
        <v>120450003006</v>
      </c>
      <c r="AD523" s="35">
        <v>120450003006015</v>
      </c>
      <c r="AE523" s="63">
        <v>4</v>
      </c>
      <c r="AF523" s="63" t="s">
        <v>499</v>
      </c>
      <c r="AG523" s="29" t="s">
        <v>65</v>
      </c>
      <c r="AH523" s="75"/>
      <c r="AI523" s="65" t="s">
        <v>66</v>
      </c>
      <c r="AJ523" s="32" t="s">
        <v>6938</v>
      </c>
      <c r="AK523" s="33" t="s">
        <v>67</v>
      </c>
      <c r="AL523" s="34">
        <v>45569</v>
      </c>
      <c r="AM523" s="35" t="s">
        <v>66</v>
      </c>
      <c r="AN523" s="35"/>
      <c r="AO523" s="35"/>
      <c r="AP523" s="35"/>
      <c r="AQ523" s="37">
        <f t="shared" si="27"/>
        <v>0</v>
      </c>
      <c r="AR523" s="38">
        <f t="shared" si="28"/>
        <v>0</v>
      </c>
      <c r="AS523" s="39">
        <f t="shared" si="29"/>
        <v>0</v>
      </c>
      <c r="AT523" s="99"/>
      <c r="AU523" s="99" t="s">
        <v>1356</v>
      </c>
      <c r="AV523" s="99"/>
      <c r="AW523" s="100"/>
      <c r="AX523" s="99"/>
      <c r="AY523" s="101"/>
      <c r="AZ523" s="99"/>
      <c r="BA523" s="99" t="s">
        <v>1356</v>
      </c>
      <c r="BB523" s="99"/>
      <c r="BC523" s="101"/>
      <c r="BD523" s="99"/>
      <c r="BE523" s="101"/>
      <c r="BF523" s="99"/>
      <c r="BG523" s="99" t="s">
        <v>1356</v>
      </c>
      <c r="BH523" s="99"/>
      <c r="BI523" s="101"/>
      <c r="BJ523" s="99"/>
      <c r="BK523" s="101"/>
      <c r="BL523" s="99"/>
      <c r="BM523" s="99" t="s">
        <v>1356</v>
      </c>
      <c r="BN523" s="99"/>
      <c r="BO523" s="101"/>
      <c r="BP523" s="99"/>
      <c r="BQ523" s="101"/>
      <c r="BR523" s="99"/>
      <c r="BS523" s="99" t="s">
        <v>1356</v>
      </c>
      <c r="BT523" s="99"/>
      <c r="BU523" s="101"/>
      <c r="BV523" s="99"/>
      <c r="BW523" s="101"/>
      <c r="BX523" s="119"/>
      <c r="BY523" s="119" t="s">
        <v>1356</v>
      </c>
      <c r="BZ523" s="119"/>
      <c r="CA523" s="120"/>
      <c r="CB523" s="119"/>
      <c r="CC523" s="120"/>
      <c r="CD523" s="119"/>
      <c r="CE523" s="119" t="s">
        <v>1356</v>
      </c>
      <c r="CF523" s="119"/>
      <c r="CG523" s="120"/>
      <c r="CH523" s="119"/>
      <c r="CI523" s="120"/>
      <c r="CJ523" s="119"/>
      <c r="CK523" s="119" t="s">
        <v>1356</v>
      </c>
      <c r="CL523" s="119"/>
      <c r="CM523" s="120"/>
      <c r="CN523" s="119"/>
      <c r="CO523" s="120"/>
      <c r="CP523" s="119"/>
      <c r="CQ523" s="119" t="s">
        <v>1356</v>
      </c>
      <c r="CR523" s="119"/>
      <c r="CS523" s="120"/>
      <c r="CT523" s="119"/>
      <c r="CU523" s="120"/>
      <c r="CV523" s="119"/>
      <c r="CW523" s="119" t="s">
        <v>1356</v>
      </c>
      <c r="CX523" s="119"/>
      <c r="CY523" s="120"/>
      <c r="CZ523" s="119"/>
      <c r="DA523" s="120"/>
      <c r="DB523" s="36" t="s">
        <v>7085</v>
      </c>
      <c r="DC523" s="59" t="s">
        <v>105</v>
      </c>
    </row>
    <row r="524" spans="1:107" s="40" customFormat="1" ht="14.55" customHeight="1" x14ac:dyDescent="0.3">
      <c r="A524" s="35" t="s">
        <v>4219</v>
      </c>
      <c r="B524" s="35" t="s">
        <v>5334</v>
      </c>
      <c r="C524" s="35" t="s">
        <v>5335</v>
      </c>
      <c r="D524" s="35" t="s">
        <v>5336</v>
      </c>
      <c r="E524" s="35" t="s">
        <v>70</v>
      </c>
      <c r="F524" s="35" t="s">
        <v>5337</v>
      </c>
      <c r="G524" s="35" t="s">
        <v>4237</v>
      </c>
      <c r="H524" s="27" t="s">
        <v>686</v>
      </c>
      <c r="I524" s="62">
        <v>901</v>
      </c>
      <c r="J524" s="62">
        <v>90150</v>
      </c>
      <c r="K524" s="63">
        <v>3</v>
      </c>
      <c r="L524" s="35" t="s">
        <v>5338</v>
      </c>
      <c r="M524" s="35" t="s">
        <v>258</v>
      </c>
      <c r="N524" s="35" t="s">
        <v>5339</v>
      </c>
      <c r="O524" s="35" t="s">
        <v>5340</v>
      </c>
      <c r="P524" s="35"/>
      <c r="Q524" s="35" t="s">
        <v>5341</v>
      </c>
      <c r="R524" s="35" t="s">
        <v>113</v>
      </c>
      <c r="S524" s="35"/>
      <c r="T524" s="35"/>
      <c r="U524" s="35" t="s">
        <v>5342</v>
      </c>
      <c r="V524" s="35"/>
      <c r="W524" s="35" t="s">
        <v>5343</v>
      </c>
      <c r="X524" s="35"/>
      <c r="Y524" s="35" t="s">
        <v>5344</v>
      </c>
      <c r="Z524" s="35">
        <v>-80.05686342716217</v>
      </c>
      <c r="AA524" s="35">
        <v>-2.19139891936093</v>
      </c>
      <c r="AB524" s="35">
        <v>90150222</v>
      </c>
      <c r="AC524" s="35">
        <v>90150222001</v>
      </c>
      <c r="AD524" s="35">
        <v>90150222001010</v>
      </c>
      <c r="AE524" s="63">
        <v>4</v>
      </c>
      <c r="AF524" s="63" t="s">
        <v>499</v>
      </c>
      <c r="AG524" s="29" t="s">
        <v>65</v>
      </c>
      <c r="AH524" s="75"/>
      <c r="AI524" s="65" t="s">
        <v>65</v>
      </c>
      <c r="AJ524" s="32" t="s">
        <v>6938</v>
      </c>
      <c r="AK524" s="33" t="s">
        <v>92</v>
      </c>
      <c r="AL524" s="58">
        <v>45561</v>
      </c>
      <c r="AM524" s="35"/>
      <c r="AN524" s="35"/>
      <c r="AO524" s="35"/>
      <c r="AP524" s="35"/>
      <c r="AQ524" s="37">
        <f t="shared" si="27"/>
        <v>0</v>
      </c>
      <c r="AR524" s="38">
        <f t="shared" si="28"/>
        <v>0</v>
      </c>
      <c r="AS524" s="39">
        <f t="shared" si="29"/>
        <v>0</v>
      </c>
      <c r="AT524" s="99"/>
      <c r="AU524" s="99" t="s">
        <v>1356</v>
      </c>
      <c r="AV524" s="99"/>
      <c r="AW524" s="100"/>
      <c r="AX524" s="99"/>
      <c r="AY524" s="101"/>
      <c r="AZ524" s="99"/>
      <c r="BA524" s="99" t="s">
        <v>1356</v>
      </c>
      <c r="BB524" s="99"/>
      <c r="BC524" s="101"/>
      <c r="BD524" s="99"/>
      <c r="BE524" s="101"/>
      <c r="BF524" s="99"/>
      <c r="BG524" s="99" t="s">
        <v>1356</v>
      </c>
      <c r="BH524" s="99"/>
      <c r="BI524" s="101"/>
      <c r="BJ524" s="99"/>
      <c r="BK524" s="101"/>
      <c r="BL524" s="99"/>
      <c r="BM524" s="99" t="s">
        <v>1356</v>
      </c>
      <c r="BN524" s="99"/>
      <c r="BO524" s="101"/>
      <c r="BP524" s="99"/>
      <c r="BQ524" s="101"/>
      <c r="BR524" s="99"/>
      <c r="BS524" s="99" t="s">
        <v>1356</v>
      </c>
      <c r="BT524" s="99"/>
      <c r="BU524" s="101"/>
      <c r="BV524" s="99"/>
      <c r="BW524" s="101"/>
      <c r="BX524" s="119"/>
      <c r="BY524" s="119" t="s">
        <v>1356</v>
      </c>
      <c r="BZ524" s="119"/>
      <c r="CA524" s="120"/>
      <c r="CB524" s="119"/>
      <c r="CC524" s="120"/>
      <c r="CD524" s="119"/>
      <c r="CE524" s="119" t="s">
        <v>1356</v>
      </c>
      <c r="CF524" s="119"/>
      <c r="CG524" s="120"/>
      <c r="CH524" s="119"/>
      <c r="CI524" s="120"/>
      <c r="CJ524" s="119"/>
      <c r="CK524" s="119" t="s">
        <v>1356</v>
      </c>
      <c r="CL524" s="119"/>
      <c r="CM524" s="120"/>
      <c r="CN524" s="119"/>
      <c r="CO524" s="120"/>
      <c r="CP524" s="119"/>
      <c r="CQ524" s="119" t="s">
        <v>1356</v>
      </c>
      <c r="CR524" s="119"/>
      <c r="CS524" s="120"/>
      <c r="CT524" s="119"/>
      <c r="CU524" s="120"/>
      <c r="CV524" s="119"/>
      <c r="CW524" s="119" t="s">
        <v>1356</v>
      </c>
      <c r="CX524" s="119"/>
      <c r="CY524" s="120"/>
      <c r="CZ524" s="119"/>
      <c r="DA524" s="120"/>
      <c r="DB524" s="36" t="s">
        <v>7085</v>
      </c>
      <c r="DC524" s="59" t="s">
        <v>92</v>
      </c>
    </row>
    <row r="525" spans="1:107" s="40" customFormat="1" ht="14.55" customHeight="1" x14ac:dyDescent="0.3">
      <c r="A525" s="35" t="s">
        <v>4219</v>
      </c>
      <c r="B525" s="35" t="s">
        <v>5345</v>
      </c>
      <c r="C525" s="35" t="s">
        <v>5346</v>
      </c>
      <c r="D525" s="35" t="s">
        <v>5347</v>
      </c>
      <c r="E525" s="35" t="s">
        <v>5348</v>
      </c>
      <c r="F525" s="35" t="s">
        <v>420</v>
      </c>
      <c r="G525" s="35" t="s">
        <v>4237</v>
      </c>
      <c r="H525" s="27" t="s">
        <v>686</v>
      </c>
      <c r="I525" s="62">
        <v>901</v>
      </c>
      <c r="J525" s="62">
        <v>90150</v>
      </c>
      <c r="K525" s="63">
        <v>4</v>
      </c>
      <c r="L525" s="35" t="s">
        <v>5349</v>
      </c>
      <c r="M525" s="35"/>
      <c r="N525" s="35" t="s">
        <v>5350</v>
      </c>
      <c r="O525" s="35" t="s">
        <v>5078</v>
      </c>
      <c r="P525" s="35"/>
      <c r="Q525" s="35" t="s">
        <v>5351</v>
      </c>
      <c r="R525" s="35" t="s">
        <v>113</v>
      </c>
      <c r="S525" s="35"/>
      <c r="T525" s="35"/>
      <c r="U525" s="35"/>
      <c r="V525" s="35"/>
      <c r="W525" s="35" t="s">
        <v>5352</v>
      </c>
      <c r="X525" s="35" t="s">
        <v>5353</v>
      </c>
      <c r="Y525" s="35" t="s">
        <v>5354</v>
      </c>
      <c r="Z525" s="35">
        <v>-79.914904000000007</v>
      </c>
      <c r="AA525" s="35">
        <v>-2.171592</v>
      </c>
      <c r="AB525" s="35">
        <v>90150050</v>
      </c>
      <c r="AC525" s="35">
        <v>90150050005</v>
      </c>
      <c r="AD525" s="35">
        <v>90150050005003</v>
      </c>
      <c r="AE525" s="63">
        <v>4</v>
      </c>
      <c r="AF525" s="63" t="s">
        <v>499</v>
      </c>
      <c r="AG525" s="29" t="s">
        <v>65</v>
      </c>
      <c r="AH525" s="75"/>
      <c r="AI525" s="65" t="s">
        <v>66</v>
      </c>
      <c r="AJ525" s="32" t="s">
        <v>6938</v>
      </c>
      <c r="AK525" s="33" t="s">
        <v>67</v>
      </c>
      <c r="AL525" s="34">
        <v>45561</v>
      </c>
      <c r="AM525" s="35" t="s">
        <v>66</v>
      </c>
      <c r="AN525" s="35"/>
      <c r="AO525" s="35"/>
      <c r="AP525" s="35"/>
      <c r="AQ525" s="37">
        <f t="shared" si="27"/>
        <v>0</v>
      </c>
      <c r="AR525" s="38">
        <f t="shared" si="28"/>
        <v>0</v>
      </c>
      <c r="AS525" s="39">
        <f t="shared" si="29"/>
        <v>0</v>
      </c>
      <c r="AT525" s="99"/>
      <c r="AU525" s="99" t="s">
        <v>1356</v>
      </c>
      <c r="AV525" s="99"/>
      <c r="AW525" s="100"/>
      <c r="AX525" s="99"/>
      <c r="AY525" s="101"/>
      <c r="AZ525" s="99"/>
      <c r="BA525" s="99" t="s">
        <v>1356</v>
      </c>
      <c r="BB525" s="99"/>
      <c r="BC525" s="101"/>
      <c r="BD525" s="99"/>
      <c r="BE525" s="101"/>
      <c r="BF525" s="99"/>
      <c r="BG525" s="99" t="s">
        <v>1356</v>
      </c>
      <c r="BH525" s="99"/>
      <c r="BI525" s="101"/>
      <c r="BJ525" s="99"/>
      <c r="BK525" s="101"/>
      <c r="BL525" s="99"/>
      <c r="BM525" s="99" t="s">
        <v>1356</v>
      </c>
      <c r="BN525" s="99"/>
      <c r="BO525" s="101"/>
      <c r="BP525" s="99"/>
      <c r="BQ525" s="101"/>
      <c r="BR525" s="99"/>
      <c r="BS525" s="99" t="s">
        <v>1356</v>
      </c>
      <c r="BT525" s="99"/>
      <c r="BU525" s="101"/>
      <c r="BV525" s="99"/>
      <c r="BW525" s="101"/>
      <c r="BX525" s="119"/>
      <c r="BY525" s="119" t="s">
        <v>1356</v>
      </c>
      <c r="BZ525" s="119"/>
      <c r="CA525" s="120"/>
      <c r="CB525" s="119"/>
      <c r="CC525" s="120"/>
      <c r="CD525" s="119"/>
      <c r="CE525" s="119" t="s">
        <v>1356</v>
      </c>
      <c r="CF525" s="119"/>
      <c r="CG525" s="120"/>
      <c r="CH525" s="119"/>
      <c r="CI525" s="120"/>
      <c r="CJ525" s="119"/>
      <c r="CK525" s="119" t="s">
        <v>1356</v>
      </c>
      <c r="CL525" s="119"/>
      <c r="CM525" s="120"/>
      <c r="CN525" s="119"/>
      <c r="CO525" s="120"/>
      <c r="CP525" s="119"/>
      <c r="CQ525" s="119" t="s">
        <v>1356</v>
      </c>
      <c r="CR525" s="119"/>
      <c r="CS525" s="120"/>
      <c r="CT525" s="119"/>
      <c r="CU525" s="120"/>
      <c r="CV525" s="119"/>
      <c r="CW525" s="119" t="s">
        <v>1356</v>
      </c>
      <c r="CX525" s="119"/>
      <c r="CY525" s="120"/>
      <c r="CZ525" s="119"/>
      <c r="DA525" s="120"/>
      <c r="DB525" s="36" t="s">
        <v>7085</v>
      </c>
      <c r="DC525" s="59" t="s">
        <v>105</v>
      </c>
    </row>
    <row r="526" spans="1:107" s="40" customFormat="1" ht="14.55" customHeight="1" x14ac:dyDescent="0.3">
      <c r="A526" s="35" t="s">
        <v>4219</v>
      </c>
      <c r="B526" s="35" t="s">
        <v>5355</v>
      </c>
      <c r="C526" s="35" t="s">
        <v>5356</v>
      </c>
      <c r="D526" s="35" t="s">
        <v>5357</v>
      </c>
      <c r="E526" s="35" t="s">
        <v>5358</v>
      </c>
      <c r="F526" s="35" t="s">
        <v>1329</v>
      </c>
      <c r="G526" s="35" t="s">
        <v>4237</v>
      </c>
      <c r="H526" s="27" t="s">
        <v>686</v>
      </c>
      <c r="I526" s="62">
        <v>901</v>
      </c>
      <c r="J526" s="62">
        <v>90150</v>
      </c>
      <c r="K526" s="63">
        <v>4</v>
      </c>
      <c r="L526" s="35" t="s">
        <v>5359</v>
      </c>
      <c r="M526" s="35" t="s">
        <v>5360</v>
      </c>
      <c r="N526" s="35" t="s">
        <v>5361</v>
      </c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 t="s">
        <v>5362</v>
      </c>
      <c r="Z526" s="35">
        <v>-79.941308000000006</v>
      </c>
      <c r="AA526" s="35">
        <v>-2.189219</v>
      </c>
      <c r="AB526" s="35">
        <v>90150306</v>
      </c>
      <c r="AC526" s="35">
        <v>90150306002</v>
      </c>
      <c r="AD526" s="35">
        <v>90150306002006</v>
      </c>
      <c r="AE526" s="63">
        <v>4</v>
      </c>
      <c r="AF526" s="63" t="s">
        <v>499</v>
      </c>
      <c r="AG526" s="29" t="s">
        <v>65</v>
      </c>
      <c r="AH526" s="75"/>
      <c r="AI526" s="65" t="s">
        <v>66</v>
      </c>
      <c r="AJ526" s="32" t="s">
        <v>6938</v>
      </c>
      <c r="AK526" s="33" t="s">
        <v>67</v>
      </c>
      <c r="AL526" s="58">
        <v>45561</v>
      </c>
      <c r="AM526" s="35" t="s">
        <v>66</v>
      </c>
      <c r="AN526" s="35"/>
      <c r="AO526" s="35"/>
      <c r="AP526" s="35"/>
      <c r="AQ526" s="37">
        <f t="shared" si="27"/>
        <v>0</v>
      </c>
      <c r="AR526" s="38">
        <f t="shared" si="28"/>
        <v>0</v>
      </c>
      <c r="AS526" s="39">
        <f t="shared" si="29"/>
        <v>0</v>
      </c>
      <c r="AT526" s="99"/>
      <c r="AU526" s="99" t="s">
        <v>1356</v>
      </c>
      <c r="AV526" s="99"/>
      <c r="AW526" s="100"/>
      <c r="AX526" s="99"/>
      <c r="AY526" s="101"/>
      <c r="AZ526" s="99"/>
      <c r="BA526" s="99" t="s">
        <v>1356</v>
      </c>
      <c r="BB526" s="99"/>
      <c r="BC526" s="101"/>
      <c r="BD526" s="99"/>
      <c r="BE526" s="101"/>
      <c r="BF526" s="99"/>
      <c r="BG526" s="99" t="s">
        <v>1356</v>
      </c>
      <c r="BH526" s="99"/>
      <c r="BI526" s="101"/>
      <c r="BJ526" s="99"/>
      <c r="BK526" s="101"/>
      <c r="BL526" s="99"/>
      <c r="BM526" s="99" t="s">
        <v>1356</v>
      </c>
      <c r="BN526" s="99"/>
      <c r="BO526" s="101"/>
      <c r="BP526" s="99"/>
      <c r="BQ526" s="101"/>
      <c r="BR526" s="99"/>
      <c r="BS526" s="99" t="s">
        <v>1356</v>
      </c>
      <c r="BT526" s="99"/>
      <c r="BU526" s="101"/>
      <c r="BV526" s="99"/>
      <c r="BW526" s="101"/>
      <c r="BX526" s="119"/>
      <c r="BY526" s="119" t="s">
        <v>1356</v>
      </c>
      <c r="BZ526" s="119"/>
      <c r="CA526" s="120"/>
      <c r="CB526" s="119"/>
      <c r="CC526" s="120"/>
      <c r="CD526" s="119"/>
      <c r="CE526" s="119" t="s">
        <v>1356</v>
      </c>
      <c r="CF526" s="119"/>
      <c r="CG526" s="120"/>
      <c r="CH526" s="119"/>
      <c r="CI526" s="120"/>
      <c r="CJ526" s="119"/>
      <c r="CK526" s="119" t="s">
        <v>1356</v>
      </c>
      <c r="CL526" s="119"/>
      <c r="CM526" s="120"/>
      <c r="CN526" s="119"/>
      <c r="CO526" s="120"/>
      <c r="CP526" s="119"/>
      <c r="CQ526" s="119" t="s">
        <v>1356</v>
      </c>
      <c r="CR526" s="119"/>
      <c r="CS526" s="120"/>
      <c r="CT526" s="119"/>
      <c r="CU526" s="120"/>
      <c r="CV526" s="119"/>
      <c r="CW526" s="119" t="s">
        <v>1356</v>
      </c>
      <c r="CX526" s="119"/>
      <c r="CY526" s="120"/>
      <c r="CZ526" s="119"/>
      <c r="DA526" s="120"/>
      <c r="DB526" s="36" t="s">
        <v>7085</v>
      </c>
      <c r="DC526" s="59" t="s">
        <v>105</v>
      </c>
    </row>
    <row r="527" spans="1:107" s="40" customFormat="1" x14ac:dyDescent="0.3">
      <c r="A527" s="66" t="s">
        <v>3500</v>
      </c>
      <c r="B527" s="66" t="s">
        <v>3709</v>
      </c>
      <c r="C527" s="66" t="s">
        <v>3710</v>
      </c>
      <c r="D527" s="66" t="s">
        <v>1182</v>
      </c>
      <c r="E527" s="66" t="s">
        <v>1182</v>
      </c>
      <c r="F527" s="66" t="s">
        <v>142</v>
      </c>
      <c r="G527" s="68" t="s">
        <v>72</v>
      </c>
      <c r="H527" s="43" t="s">
        <v>251</v>
      </c>
      <c r="I527" s="68">
        <v>1705</v>
      </c>
      <c r="J527" s="68">
        <v>170550</v>
      </c>
      <c r="K527" s="69">
        <v>4</v>
      </c>
      <c r="L527" s="66" t="s">
        <v>1183</v>
      </c>
      <c r="M527" s="66" t="s">
        <v>258</v>
      </c>
      <c r="N527" s="66" t="s">
        <v>1184</v>
      </c>
      <c r="O527" s="66" t="s">
        <v>811</v>
      </c>
      <c r="P527" s="66"/>
      <c r="Q527" s="66" t="s">
        <v>1185</v>
      </c>
      <c r="R527" s="66" t="s">
        <v>60</v>
      </c>
      <c r="S527" s="66"/>
      <c r="T527" s="66"/>
      <c r="U527" s="66" t="s">
        <v>1186</v>
      </c>
      <c r="V527" s="66"/>
      <c r="W527" s="66" t="s">
        <v>1187</v>
      </c>
      <c r="X527" s="66" t="s">
        <v>1188</v>
      </c>
      <c r="Y527" s="66" t="s">
        <v>1189</v>
      </c>
      <c r="Z527" s="66">
        <v>-78.468050000000005</v>
      </c>
      <c r="AA527" s="66">
        <v>-0.35610000000000003</v>
      </c>
      <c r="AB527" s="66">
        <v>170550015</v>
      </c>
      <c r="AC527" s="66">
        <v>170550015010</v>
      </c>
      <c r="AD527" s="66">
        <v>170550015010003</v>
      </c>
      <c r="AE527" s="69">
        <v>5</v>
      </c>
      <c r="AF527" s="69" t="s">
        <v>772</v>
      </c>
      <c r="AG527" s="46" t="s">
        <v>66</v>
      </c>
      <c r="AH527" s="70" t="s">
        <v>1190</v>
      </c>
      <c r="AI527" s="71" t="s">
        <v>66</v>
      </c>
      <c r="AJ527" s="49" t="s">
        <v>6938</v>
      </c>
      <c r="AK527" s="50" t="s">
        <v>67</v>
      </c>
      <c r="AL527" s="58">
        <v>45583</v>
      </c>
      <c r="AM527" s="52" t="s">
        <v>66</v>
      </c>
      <c r="AN527" s="52"/>
      <c r="AO527" s="52"/>
      <c r="AP527" s="52"/>
      <c r="AQ527" s="53">
        <f t="shared" si="27"/>
        <v>1</v>
      </c>
      <c r="AR527" s="54">
        <f t="shared" si="28"/>
        <v>0</v>
      </c>
      <c r="AS527" s="55">
        <f t="shared" si="29"/>
        <v>1</v>
      </c>
      <c r="AT527" s="102" t="s">
        <v>575</v>
      </c>
      <c r="AU527" s="103" t="s">
        <v>2635</v>
      </c>
      <c r="AV527" s="104">
        <v>9.44</v>
      </c>
      <c r="AW527" s="105">
        <v>45583</v>
      </c>
      <c r="AX527" s="104">
        <v>9.44</v>
      </c>
      <c r="AY527" s="106">
        <v>45611</v>
      </c>
      <c r="AZ527" s="102"/>
      <c r="BA527" s="103" t="s">
        <v>1356</v>
      </c>
      <c r="BB527" s="104"/>
      <c r="BC527" s="106"/>
      <c r="BD527" s="104"/>
      <c r="BE527" s="106"/>
      <c r="BF527" s="102"/>
      <c r="BG527" s="103" t="s">
        <v>1356</v>
      </c>
      <c r="BH527" s="104"/>
      <c r="BI527" s="106"/>
      <c r="BJ527" s="104"/>
      <c r="BK527" s="106"/>
      <c r="BL527" s="102"/>
      <c r="BM527" s="103" t="s">
        <v>1356</v>
      </c>
      <c r="BN527" s="104"/>
      <c r="BO527" s="106"/>
      <c r="BP527" s="104"/>
      <c r="BQ527" s="106"/>
      <c r="BR527" s="102"/>
      <c r="BS527" s="103" t="s">
        <v>1356</v>
      </c>
      <c r="BT527" s="104"/>
      <c r="BU527" s="106"/>
      <c r="BV527" s="104"/>
      <c r="BW527" s="106"/>
      <c r="BX527" s="121"/>
      <c r="BY527" s="122" t="s">
        <v>1356</v>
      </c>
      <c r="BZ527" s="123"/>
      <c r="CA527" s="124"/>
      <c r="CB527" s="123"/>
      <c r="CC527" s="124"/>
      <c r="CD527" s="121"/>
      <c r="CE527" s="122" t="s">
        <v>1356</v>
      </c>
      <c r="CF527" s="123"/>
      <c r="CG527" s="124"/>
      <c r="CH527" s="123"/>
      <c r="CI527" s="124"/>
      <c r="CJ527" s="121"/>
      <c r="CK527" s="122" t="s">
        <v>1356</v>
      </c>
      <c r="CL527" s="123"/>
      <c r="CM527" s="124"/>
      <c r="CN527" s="123"/>
      <c r="CO527" s="124"/>
      <c r="CP527" s="121"/>
      <c r="CQ527" s="122" t="s">
        <v>1356</v>
      </c>
      <c r="CR527" s="123"/>
      <c r="CS527" s="124"/>
      <c r="CT527" s="123"/>
      <c r="CU527" s="124"/>
      <c r="CV527" s="121"/>
      <c r="CW527" s="122" t="s">
        <v>1356</v>
      </c>
      <c r="CX527" s="123"/>
      <c r="CY527" s="124"/>
      <c r="CZ527" s="123"/>
      <c r="DA527" s="124"/>
      <c r="DB527" s="52" t="s">
        <v>6962</v>
      </c>
      <c r="DC527" s="73" t="s">
        <v>105</v>
      </c>
    </row>
    <row r="528" spans="1:107" s="40" customFormat="1" x14ac:dyDescent="0.3">
      <c r="A528" s="35" t="s">
        <v>4219</v>
      </c>
      <c r="B528" s="35" t="s">
        <v>5375</v>
      </c>
      <c r="C528" s="35" t="s">
        <v>5376</v>
      </c>
      <c r="D528" s="35" t="s">
        <v>5377</v>
      </c>
      <c r="E528" s="35" t="s">
        <v>5378</v>
      </c>
      <c r="F528" s="35" t="s">
        <v>651</v>
      </c>
      <c r="G528" s="35" t="s">
        <v>461</v>
      </c>
      <c r="H528" s="27" t="s">
        <v>6933</v>
      </c>
      <c r="I528" s="62">
        <v>1308</v>
      </c>
      <c r="J528" s="62">
        <v>130850</v>
      </c>
      <c r="K528" s="63">
        <v>4</v>
      </c>
      <c r="L528" s="35" t="s">
        <v>5379</v>
      </c>
      <c r="M528" s="35" t="s">
        <v>258</v>
      </c>
      <c r="N528" s="35"/>
      <c r="O528" s="35" t="s">
        <v>1526</v>
      </c>
      <c r="P528" s="35"/>
      <c r="Q528" s="35"/>
      <c r="R528" s="35"/>
      <c r="S528" s="35"/>
      <c r="T528" s="35" t="s">
        <v>5380</v>
      </c>
      <c r="U528" s="35"/>
      <c r="V528" s="35"/>
      <c r="W528" s="35" t="s">
        <v>5381</v>
      </c>
      <c r="X528" s="35"/>
      <c r="Y528" s="35" t="s">
        <v>5382</v>
      </c>
      <c r="Z528" s="35"/>
      <c r="AA528" s="35"/>
      <c r="AB528" s="35"/>
      <c r="AC528" s="35"/>
      <c r="AD528" s="35"/>
      <c r="AE528" s="63">
        <v>4</v>
      </c>
      <c r="AF528" s="63" t="s">
        <v>499</v>
      </c>
      <c r="AG528" s="29" t="s">
        <v>65</v>
      </c>
      <c r="AH528" s="75"/>
      <c r="AI528" s="65" t="s">
        <v>66</v>
      </c>
      <c r="AJ528" s="32" t="s">
        <v>6938</v>
      </c>
      <c r="AK528" s="33" t="s">
        <v>67</v>
      </c>
      <c r="AL528" s="34">
        <v>45562</v>
      </c>
      <c r="AM528" s="35" t="s">
        <v>66</v>
      </c>
      <c r="AN528" s="35"/>
      <c r="AO528" s="35"/>
      <c r="AP528" s="35"/>
      <c r="AQ528" s="37">
        <f t="shared" si="27"/>
        <v>0</v>
      </c>
      <c r="AR528" s="38">
        <f t="shared" si="28"/>
        <v>0</v>
      </c>
      <c r="AS528" s="39">
        <f t="shared" si="29"/>
        <v>0</v>
      </c>
      <c r="AT528" s="99"/>
      <c r="AU528" s="99" t="s">
        <v>1356</v>
      </c>
      <c r="AV528" s="99"/>
      <c r="AW528" s="100"/>
      <c r="AX528" s="99"/>
      <c r="AY528" s="101"/>
      <c r="AZ528" s="99"/>
      <c r="BA528" s="99" t="s">
        <v>1356</v>
      </c>
      <c r="BB528" s="99"/>
      <c r="BC528" s="101"/>
      <c r="BD528" s="99"/>
      <c r="BE528" s="101"/>
      <c r="BF528" s="99"/>
      <c r="BG528" s="99" t="s">
        <v>1356</v>
      </c>
      <c r="BH528" s="99"/>
      <c r="BI528" s="101"/>
      <c r="BJ528" s="99"/>
      <c r="BK528" s="101"/>
      <c r="BL528" s="99"/>
      <c r="BM528" s="99" t="s">
        <v>1356</v>
      </c>
      <c r="BN528" s="99"/>
      <c r="BO528" s="101"/>
      <c r="BP528" s="99"/>
      <c r="BQ528" s="101"/>
      <c r="BR528" s="99"/>
      <c r="BS528" s="99" t="s">
        <v>1356</v>
      </c>
      <c r="BT528" s="99"/>
      <c r="BU528" s="101"/>
      <c r="BV528" s="99"/>
      <c r="BW528" s="101"/>
      <c r="BX528" s="119"/>
      <c r="BY528" s="119" t="s">
        <v>1356</v>
      </c>
      <c r="BZ528" s="119"/>
      <c r="CA528" s="120"/>
      <c r="CB528" s="119"/>
      <c r="CC528" s="120"/>
      <c r="CD528" s="119"/>
      <c r="CE528" s="119" t="s">
        <v>1356</v>
      </c>
      <c r="CF528" s="119"/>
      <c r="CG528" s="120"/>
      <c r="CH528" s="119"/>
      <c r="CI528" s="120"/>
      <c r="CJ528" s="119"/>
      <c r="CK528" s="119" t="s">
        <v>1356</v>
      </c>
      <c r="CL528" s="119"/>
      <c r="CM528" s="120"/>
      <c r="CN528" s="119"/>
      <c r="CO528" s="120"/>
      <c r="CP528" s="119"/>
      <c r="CQ528" s="119" t="s">
        <v>1356</v>
      </c>
      <c r="CR528" s="119"/>
      <c r="CS528" s="120"/>
      <c r="CT528" s="119"/>
      <c r="CU528" s="120"/>
      <c r="CV528" s="119"/>
      <c r="CW528" s="119" t="s">
        <v>1356</v>
      </c>
      <c r="CX528" s="119"/>
      <c r="CY528" s="120"/>
      <c r="CZ528" s="119"/>
      <c r="DA528" s="120"/>
      <c r="DB528" s="36" t="s">
        <v>7085</v>
      </c>
      <c r="DC528" s="59" t="s">
        <v>6751</v>
      </c>
    </row>
    <row r="529" spans="1:107" s="40" customFormat="1" ht="14.55" customHeight="1" x14ac:dyDescent="0.3">
      <c r="A529" s="66" t="s">
        <v>3500</v>
      </c>
      <c r="B529" s="66" t="s">
        <v>3728</v>
      </c>
      <c r="C529" s="66" t="s">
        <v>3729</v>
      </c>
      <c r="D529" s="66" t="s">
        <v>1287</v>
      </c>
      <c r="E529" s="66" t="s">
        <v>1288</v>
      </c>
      <c r="F529" s="66" t="s">
        <v>836</v>
      </c>
      <c r="G529" s="68" t="s">
        <v>57</v>
      </c>
      <c r="H529" s="43" t="s">
        <v>6922</v>
      </c>
      <c r="I529" s="68">
        <v>801</v>
      </c>
      <c r="J529" s="68">
        <v>80150</v>
      </c>
      <c r="K529" s="69">
        <v>4</v>
      </c>
      <c r="L529" s="66" t="s">
        <v>1289</v>
      </c>
      <c r="M529" s="66" t="s">
        <v>258</v>
      </c>
      <c r="N529" s="66" t="s">
        <v>258</v>
      </c>
      <c r="O529" s="66" t="s">
        <v>766</v>
      </c>
      <c r="P529" s="66"/>
      <c r="Q529" s="66" t="s">
        <v>1290</v>
      </c>
      <c r="R529" s="66" t="s">
        <v>60</v>
      </c>
      <c r="S529" s="66"/>
      <c r="T529" s="66"/>
      <c r="U529" s="66"/>
      <c r="V529" s="66"/>
      <c r="W529" s="66" t="s">
        <v>1291</v>
      </c>
      <c r="X529" s="66" t="s">
        <v>1292</v>
      </c>
      <c r="Y529" s="66" t="s">
        <v>1293</v>
      </c>
      <c r="Z529" s="66"/>
      <c r="AA529" s="66"/>
      <c r="AB529" s="66">
        <v>80150905</v>
      </c>
      <c r="AC529" s="66">
        <v>80150905004</v>
      </c>
      <c r="AD529" s="66">
        <v>80150905004002</v>
      </c>
      <c r="AE529" s="69">
        <v>5</v>
      </c>
      <c r="AF529" s="69" t="s">
        <v>772</v>
      </c>
      <c r="AG529" s="46" t="s">
        <v>66</v>
      </c>
      <c r="AH529" s="70" t="s">
        <v>1294</v>
      </c>
      <c r="AI529" s="71" t="s">
        <v>66</v>
      </c>
      <c r="AJ529" s="49" t="s">
        <v>6938</v>
      </c>
      <c r="AK529" s="50" t="s">
        <v>67</v>
      </c>
      <c r="AL529" s="58">
        <v>45583</v>
      </c>
      <c r="AM529" s="52" t="s">
        <v>66</v>
      </c>
      <c r="AN529" s="52"/>
      <c r="AO529" s="52"/>
      <c r="AP529" s="52"/>
      <c r="AQ529" s="53">
        <f t="shared" si="27"/>
        <v>2</v>
      </c>
      <c r="AR529" s="54">
        <f t="shared" si="28"/>
        <v>0</v>
      </c>
      <c r="AS529" s="55">
        <f t="shared" si="29"/>
        <v>2</v>
      </c>
      <c r="AT529" s="102" t="s">
        <v>985</v>
      </c>
      <c r="AU529" s="103" t="s">
        <v>6708</v>
      </c>
      <c r="AV529" s="104">
        <v>23</v>
      </c>
      <c r="AW529" s="105">
        <v>45583</v>
      </c>
      <c r="AX529" s="104">
        <v>23.55</v>
      </c>
      <c r="AY529" s="106">
        <v>45610</v>
      </c>
      <c r="AZ529" s="102" t="s">
        <v>844</v>
      </c>
      <c r="BA529" s="103" t="s">
        <v>6698</v>
      </c>
      <c r="BB529" s="104">
        <v>17.5</v>
      </c>
      <c r="BC529" s="106">
        <v>45583</v>
      </c>
      <c r="BD529" s="104">
        <v>18.5</v>
      </c>
      <c r="BE529" s="106">
        <v>45610</v>
      </c>
      <c r="BF529" s="102"/>
      <c r="BG529" s="103" t="s">
        <v>1356</v>
      </c>
      <c r="BH529" s="104"/>
      <c r="BI529" s="106"/>
      <c r="BJ529" s="104"/>
      <c r="BK529" s="106"/>
      <c r="BL529" s="102"/>
      <c r="BM529" s="103" t="s">
        <v>1356</v>
      </c>
      <c r="BN529" s="104"/>
      <c r="BO529" s="106"/>
      <c r="BP529" s="104"/>
      <c r="BQ529" s="106"/>
      <c r="BR529" s="102"/>
      <c r="BS529" s="103" t="s">
        <v>1356</v>
      </c>
      <c r="BT529" s="104"/>
      <c r="BU529" s="106"/>
      <c r="BV529" s="104"/>
      <c r="BW529" s="106"/>
      <c r="BX529" s="121"/>
      <c r="BY529" s="122" t="s">
        <v>1356</v>
      </c>
      <c r="BZ529" s="123"/>
      <c r="CA529" s="124"/>
      <c r="CB529" s="123"/>
      <c r="CC529" s="124"/>
      <c r="CD529" s="121"/>
      <c r="CE529" s="122" t="s">
        <v>1356</v>
      </c>
      <c r="CF529" s="123"/>
      <c r="CG529" s="124"/>
      <c r="CH529" s="123"/>
      <c r="CI529" s="124"/>
      <c r="CJ529" s="121"/>
      <c r="CK529" s="122" t="s">
        <v>1356</v>
      </c>
      <c r="CL529" s="123"/>
      <c r="CM529" s="124"/>
      <c r="CN529" s="123"/>
      <c r="CO529" s="124"/>
      <c r="CP529" s="121"/>
      <c r="CQ529" s="122" t="s">
        <v>1356</v>
      </c>
      <c r="CR529" s="123"/>
      <c r="CS529" s="124"/>
      <c r="CT529" s="123"/>
      <c r="CU529" s="124"/>
      <c r="CV529" s="121"/>
      <c r="CW529" s="122" t="s">
        <v>1356</v>
      </c>
      <c r="CX529" s="123"/>
      <c r="CY529" s="124"/>
      <c r="CZ529" s="123"/>
      <c r="DA529" s="124"/>
      <c r="DB529" s="52" t="s">
        <v>6962</v>
      </c>
      <c r="DC529" s="73" t="s">
        <v>105</v>
      </c>
    </row>
    <row r="530" spans="1:107" s="40" customFormat="1" x14ac:dyDescent="0.3">
      <c r="A530" s="35" t="s">
        <v>4219</v>
      </c>
      <c r="B530" s="35" t="s">
        <v>5395</v>
      </c>
      <c r="C530" s="35" t="s">
        <v>5396</v>
      </c>
      <c r="D530" s="35" t="s">
        <v>5397</v>
      </c>
      <c r="E530" s="35" t="s">
        <v>5398</v>
      </c>
      <c r="F530" s="35" t="s">
        <v>1091</v>
      </c>
      <c r="G530" s="35" t="s">
        <v>4237</v>
      </c>
      <c r="H530" s="27" t="s">
        <v>686</v>
      </c>
      <c r="I530" s="62">
        <v>901</v>
      </c>
      <c r="J530" s="62">
        <v>90150</v>
      </c>
      <c r="K530" s="63">
        <v>4</v>
      </c>
      <c r="L530" s="35" t="s">
        <v>5134</v>
      </c>
      <c r="M530" s="35"/>
      <c r="N530" s="35"/>
      <c r="O530" s="35" t="s">
        <v>5399</v>
      </c>
      <c r="P530" s="35"/>
      <c r="Q530" s="35"/>
      <c r="R530" s="35"/>
      <c r="S530" s="35"/>
      <c r="T530" s="35"/>
      <c r="U530" s="35"/>
      <c r="V530" s="35"/>
      <c r="W530" s="35" t="s">
        <v>5400</v>
      </c>
      <c r="X530" s="35" t="s">
        <v>5401</v>
      </c>
      <c r="Y530" s="35" t="s">
        <v>5402</v>
      </c>
      <c r="Z530" s="35">
        <v>-79.966703999999993</v>
      </c>
      <c r="AA530" s="35">
        <v>-2.1872159999999998</v>
      </c>
      <c r="AB530" s="35">
        <v>90150050</v>
      </c>
      <c r="AC530" s="35">
        <v>90150050005</v>
      </c>
      <c r="AD530" s="35">
        <v>90150050005003</v>
      </c>
      <c r="AE530" s="63">
        <v>4</v>
      </c>
      <c r="AF530" s="63" t="s">
        <v>499</v>
      </c>
      <c r="AG530" s="29" t="s">
        <v>65</v>
      </c>
      <c r="AH530" s="75"/>
      <c r="AI530" s="65" t="s">
        <v>65</v>
      </c>
      <c r="AJ530" s="32" t="s">
        <v>6939</v>
      </c>
      <c r="AK530" s="33" t="s">
        <v>92</v>
      </c>
      <c r="AL530" s="34"/>
      <c r="AM530" s="35"/>
      <c r="AN530" s="35"/>
      <c r="AO530" s="35"/>
      <c r="AP530" s="35"/>
      <c r="AQ530" s="37">
        <f t="shared" si="27"/>
        <v>0</v>
      </c>
      <c r="AR530" s="38">
        <f t="shared" si="28"/>
        <v>0</v>
      </c>
      <c r="AS530" s="39">
        <f t="shared" si="29"/>
        <v>0</v>
      </c>
      <c r="AT530" s="99"/>
      <c r="AU530" s="99" t="s">
        <v>1356</v>
      </c>
      <c r="AV530" s="99"/>
      <c r="AW530" s="100"/>
      <c r="AX530" s="99"/>
      <c r="AY530" s="101"/>
      <c r="AZ530" s="99"/>
      <c r="BA530" s="99" t="s">
        <v>1356</v>
      </c>
      <c r="BB530" s="99"/>
      <c r="BC530" s="101"/>
      <c r="BD530" s="99"/>
      <c r="BE530" s="101"/>
      <c r="BF530" s="99"/>
      <c r="BG530" s="99" t="s">
        <v>1356</v>
      </c>
      <c r="BH530" s="99"/>
      <c r="BI530" s="101"/>
      <c r="BJ530" s="99"/>
      <c r="BK530" s="101"/>
      <c r="BL530" s="99"/>
      <c r="BM530" s="99" t="s">
        <v>1356</v>
      </c>
      <c r="BN530" s="99"/>
      <c r="BO530" s="101"/>
      <c r="BP530" s="99"/>
      <c r="BQ530" s="101"/>
      <c r="BR530" s="99"/>
      <c r="BS530" s="99" t="s">
        <v>1356</v>
      </c>
      <c r="BT530" s="99"/>
      <c r="BU530" s="101"/>
      <c r="BV530" s="99"/>
      <c r="BW530" s="101"/>
      <c r="BX530" s="119"/>
      <c r="BY530" s="119" t="s">
        <v>1356</v>
      </c>
      <c r="BZ530" s="119"/>
      <c r="CA530" s="120"/>
      <c r="CB530" s="119"/>
      <c r="CC530" s="120"/>
      <c r="CD530" s="119"/>
      <c r="CE530" s="119" t="s">
        <v>1356</v>
      </c>
      <c r="CF530" s="119"/>
      <c r="CG530" s="120"/>
      <c r="CH530" s="119"/>
      <c r="CI530" s="120"/>
      <c r="CJ530" s="119"/>
      <c r="CK530" s="119" t="s">
        <v>1356</v>
      </c>
      <c r="CL530" s="119"/>
      <c r="CM530" s="120"/>
      <c r="CN530" s="119"/>
      <c r="CO530" s="120"/>
      <c r="CP530" s="119"/>
      <c r="CQ530" s="119" t="s">
        <v>1356</v>
      </c>
      <c r="CR530" s="119"/>
      <c r="CS530" s="120"/>
      <c r="CT530" s="119"/>
      <c r="CU530" s="120"/>
      <c r="CV530" s="119"/>
      <c r="CW530" s="119" t="s">
        <v>1356</v>
      </c>
      <c r="CX530" s="119"/>
      <c r="CY530" s="120"/>
      <c r="CZ530" s="119"/>
      <c r="DA530" s="120"/>
      <c r="DB530" s="35"/>
      <c r="DC530" s="59"/>
    </row>
    <row r="531" spans="1:107" s="40" customFormat="1" ht="14.55" customHeight="1" x14ac:dyDescent="0.3">
      <c r="A531" s="35" t="s">
        <v>4219</v>
      </c>
      <c r="B531" s="35" t="s">
        <v>5403</v>
      </c>
      <c r="C531" s="35" t="s">
        <v>5404</v>
      </c>
      <c r="D531" s="35" t="s">
        <v>5405</v>
      </c>
      <c r="E531" s="35" t="s">
        <v>5406</v>
      </c>
      <c r="F531" s="35" t="s">
        <v>1752</v>
      </c>
      <c r="G531" s="35" t="s">
        <v>4237</v>
      </c>
      <c r="H531" s="27" t="s">
        <v>686</v>
      </c>
      <c r="I531" s="62">
        <v>901</v>
      </c>
      <c r="J531" s="62">
        <v>90150</v>
      </c>
      <c r="K531" s="63">
        <v>4</v>
      </c>
      <c r="L531" s="35" t="s">
        <v>5407</v>
      </c>
      <c r="M531" s="35" t="s">
        <v>5408</v>
      </c>
      <c r="N531" s="35" t="s">
        <v>5409</v>
      </c>
      <c r="O531" s="35" t="s">
        <v>5410</v>
      </c>
      <c r="P531" s="35"/>
      <c r="Q531" s="35"/>
      <c r="R531" s="35"/>
      <c r="S531" s="35"/>
      <c r="T531" s="35"/>
      <c r="U531" s="35"/>
      <c r="V531" s="35" t="s">
        <v>109</v>
      </c>
      <c r="W531" s="35" t="s">
        <v>5411</v>
      </c>
      <c r="X531" s="35" t="s">
        <v>5412</v>
      </c>
      <c r="Y531" s="35" t="s">
        <v>5413</v>
      </c>
      <c r="Z531" s="35"/>
      <c r="AA531" s="35"/>
      <c r="AB531" s="35">
        <v>90150223</v>
      </c>
      <c r="AC531" s="35">
        <v>90150223004</v>
      </c>
      <c r="AD531" s="35">
        <v>90150223004008</v>
      </c>
      <c r="AE531" s="63">
        <v>4</v>
      </c>
      <c r="AF531" s="63" t="s">
        <v>499</v>
      </c>
      <c r="AG531" s="29" t="s">
        <v>65</v>
      </c>
      <c r="AH531" s="75"/>
      <c r="AI531" s="65" t="s">
        <v>66</v>
      </c>
      <c r="AJ531" s="32" t="s">
        <v>6938</v>
      </c>
      <c r="AK531" s="33" t="s">
        <v>67</v>
      </c>
      <c r="AL531" s="58">
        <v>45562</v>
      </c>
      <c r="AM531" s="35" t="s">
        <v>66</v>
      </c>
      <c r="AN531" s="35"/>
      <c r="AO531" s="35"/>
      <c r="AP531" s="35"/>
      <c r="AQ531" s="37">
        <f t="shared" si="27"/>
        <v>0</v>
      </c>
      <c r="AR531" s="38">
        <f t="shared" si="28"/>
        <v>0</v>
      </c>
      <c r="AS531" s="39">
        <f t="shared" si="29"/>
        <v>0</v>
      </c>
      <c r="AT531" s="99"/>
      <c r="AU531" s="99" t="s">
        <v>1356</v>
      </c>
      <c r="AV531" s="99"/>
      <c r="AW531" s="100"/>
      <c r="AX531" s="99"/>
      <c r="AY531" s="101"/>
      <c r="AZ531" s="99"/>
      <c r="BA531" s="99" t="s">
        <v>1356</v>
      </c>
      <c r="BB531" s="99"/>
      <c r="BC531" s="101"/>
      <c r="BD531" s="99"/>
      <c r="BE531" s="101"/>
      <c r="BF531" s="99"/>
      <c r="BG531" s="99" t="s">
        <v>1356</v>
      </c>
      <c r="BH531" s="99"/>
      <c r="BI531" s="101"/>
      <c r="BJ531" s="99"/>
      <c r="BK531" s="101"/>
      <c r="BL531" s="99"/>
      <c r="BM531" s="99" t="s">
        <v>1356</v>
      </c>
      <c r="BN531" s="99"/>
      <c r="BO531" s="101"/>
      <c r="BP531" s="99"/>
      <c r="BQ531" s="101"/>
      <c r="BR531" s="99"/>
      <c r="BS531" s="99" t="s">
        <v>1356</v>
      </c>
      <c r="BT531" s="99"/>
      <c r="BU531" s="101"/>
      <c r="BV531" s="99"/>
      <c r="BW531" s="101"/>
      <c r="BX531" s="119"/>
      <c r="BY531" s="119" t="s">
        <v>1356</v>
      </c>
      <c r="BZ531" s="119"/>
      <c r="CA531" s="120"/>
      <c r="CB531" s="119"/>
      <c r="CC531" s="120"/>
      <c r="CD531" s="119"/>
      <c r="CE531" s="119" t="s">
        <v>1356</v>
      </c>
      <c r="CF531" s="119"/>
      <c r="CG531" s="120"/>
      <c r="CH531" s="119"/>
      <c r="CI531" s="120"/>
      <c r="CJ531" s="119"/>
      <c r="CK531" s="119" t="s">
        <v>1356</v>
      </c>
      <c r="CL531" s="119"/>
      <c r="CM531" s="120"/>
      <c r="CN531" s="119"/>
      <c r="CO531" s="120"/>
      <c r="CP531" s="119"/>
      <c r="CQ531" s="119" t="s">
        <v>1356</v>
      </c>
      <c r="CR531" s="119"/>
      <c r="CS531" s="120"/>
      <c r="CT531" s="119"/>
      <c r="CU531" s="120"/>
      <c r="CV531" s="119"/>
      <c r="CW531" s="119" t="s">
        <v>1356</v>
      </c>
      <c r="CX531" s="119"/>
      <c r="CY531" s="120"/>
      <c r="CZ531" s="119"/>
      <c r="DA531" s="120"/>
      <c r="DB531" s="36" t="s">
        <v>7085</v>
      </c>
      <c r="DC531" s="59" t="s">
        <v>105</v>
      </c>
    </row>
    <row r="532" spans="1:107" s="40" customFormat="1" x14ac:dyDescent="0.3">
      <c r="A532" s="35" t="s">
        <v>4219</v>
      </c>
      <c r="B532" s="35" t="s">
        <v>5414</v>
      </c>
      <c r="C532" s="35" t="s">
        <v>5415</v>
      </c>
      <c r="D532" s="35" t="s">
        <v>5416</v>
      </c>
      <c r="E532" s="35" t="s">
        <v>5417</v>
      </c>
      <c r="F532" s="35" t="s">
        <v>243</v>
      </c>
      <c r="G532" s="35" t="s">
        <v>4237</v>
      </c>
      <c r="H532" s="27" t="s">
        <v>686</v>
      </c>
      <c r="I532" s="62">
        <v>901</v>
      </c>
      <c r="J532" s="62">
        <v>90150</v>
      </c>
      <c r="K532" s="63">
        <v>4</v>
      </c>
      <c r="L532" s="35" t="s">
        <v>5418</v>
      </c>
      <c r="M532" s="35" t="s">
        <v>258</v>
      </c>
      <c r="N532" s="35" t="s">
        <v>5419</v>
      </c>
      <c r="O532" s="35"/>
      <c r="P532" s="35"/>
      <c r="Q532" s="35" t="s">
        <v>5420</v>
      </c>
      <c r="R532" s="35" t="s">
        <v>113</v>
      </c>
      <c r="S532" s="35" t="s">
        <v>2426</v>
      </c>
      <c r="T532" s="35" t="s">
        <v>5421</v>
      </c>
      <c r="U532" s="35"/>
      <c r="V532" s="35"/>
      <c r="W532" s="35" t="s">
        <v>5422</v>
      </c>
      <c r="X532" s="35" t="s">
        <v>5423</v>
      </c>
      <c r="Y532" s="35" t="s">
        <v>5424</v>
      </c>
      <c r="Z532" s="35">
        <v>-79.89907443523407</v>
      </c>
      <c r="AA532" s="35">
        <v>-2.1690138621559432</v>
      </c>
      <c r="AB532" s="35">
        <v>90150324</v>
      </c>
      <c r="AC532" s="35">
        <v>90150324013</v>
      </c>
      <c r="AD532" s="35">
        <v>90150324013003</v>
      </c>
      <c r="AE532" s="63">
        <v>4</v>
      </c>
      <c r="AF532" s="63" t="s">
        <v>499</v>
      </c>
      <c r="AG532" s="29" t="s">
        <v>65</v>
      </c>
      <c r="AH532" s="75"/>
      <c r="AI532" s="65" t="s">
        <v>66</v>
      </c>
      <c r="AJ532" s="32" t="s">
        <v>6938</v>
      </c>
      <c r="AK532" s="33" t="s">
        <v>67</v>
      </c>
      <c r="AL532" s="58">
        <v>45561</v>
      </c>
      <c r="AM532" s="35" t="s">
        <v>66</v>
      </c>
      <c r="AN532" s="35"/>
      <c r="AO532" s="35"/>
      <c r="AP532" s="35"/>
      <c r="AQ532" s="37">
        <f t="shared" si="27"/>
        <v>0</v>
      </c>
      <c r="AR532" s="38">
        <f t="shared" si="28"/>
        <v>0</v>
      </c>
      <c r="AS532" s="39">
        <f t="shared" si="29"/>
        <v>0</v>
      </c>
      <c r="AT532" s="99"/>
      <c r="AU532" s="99" t="s">
        <v>1356</v>
      </c>
      <c r="AV532" s="99"/>
      <c r="AW532" s="100"/>
      <c r="AX532" s="99"/>
      <c r="AY532" s="101"/>
      <c r="AZ532" s="99"/>
      <c r="BA532" s="99" t="s">
        <v>1356</v>
      </c>
      <c r="BB532" s="99"/>
      <c r="BC532" s="101"/>
      <c r="BD532" s="99"/>
      <c r="BE532" s="101"/>
      <c r="BF532" s="99"/>
      <c r="BG532" s="99" t="s">
        <v>1356</v>
      </c>
      <c r="BH532" s="99"/>
      <c r="BI532" s="101"/>
      <c r="BJ532" s="99"/>
      <c r="BK532" s="101"/>
      <c r="BL532" s="99"/>
      <c r="BM532" s="99" t="s">
        <v>1356</v>
      </c>
      <c r="BN532" s="99"/>
      <c r="BO532" s="101"/>
      <c r="BP532" s="99"/>
      <c r="BQ532" s="101"/>
      <c r="BR532" s="99"/>
      <c r="BS532" s="99" t="s">
        <v>1356</v>
      </c>
      <c r="BT532" s="99"/>
      <c r="BU532" s="101"/>
      <c r="BV532" s="99"/>
      <c r="BW532" s="101"/>
      <c r="BX532" s="119"/>
      <c r="BY532" s="119" t="s">
        <v>1356</v>
      </c>
      <c r="BZ532" s="119"/>
      <c r="CA532" s="120"/>
      <c r="CB532" s="119"/>
      <c r="CC532" s="120"/>
      <c r="CD532" s="119"/>
      <c r="CE532" s="119" t="s">
        <v>1356</v>
      </c>
      <c r="CF532" s="119"/>
      <c r="CG532" s="120"/>
      <c r="CH532" s="119"/>
      <c r="CI532" s="120"/>
      <c r="CJ532" s="119"/>
      <c r="CK532" s="119" t="s">
        <v>1356</v>
      </c>
      <c r="CL532" s="119"/>
      <c r="CM532" s="120"/>
      <c r="CN532" s="119"/>
      <c r="CO532" s="120"/>
      <c r="CP532" s="119"/>
      <c r="CQ532" s="119" t="s">
        <v>1356</v>
      </c>
      <c r="CR532" s="119"/>
      <c r="CS532" s="120"/>
      <c r="CT532" s="119"/>
      <c r="CU532" s="120"/>
      <c r="CV532" s="119"/>
      <c r="CW532" s="119" t="s">
        <v>1356</v>
      </c>
      <c r="CX532" s="119"/>
      <c r="CY532" s="120"/>
      <c r="CZ532" s="119"/>
      <c r="DA532" s="120"/>
      <c r="DB532" s="36" t="s">
        <v>7085</v>
      </c>
      <c r="DC532" s="59" t="s">
        <v>2935</v>
      </c>
    </row>
    <row r="533" spans="1:107" s="40" customFormat="1" x14ac:dyDescent="0.3">
      <c r="A533" s="35" t="s">
        <v>4219</v>
      </c>
      <c r="B533" s="35" t="s">
        <v>5425</v>
      </c>
      <c r="C533" s="35" t="s">
        <v>5426</v>
      </c>
      <c r="D533" s="35" t="s">
        <v>5427</v>
      </c>
      <c r="E533" s="35" t="s">
        <v>5428</v>
      </c>
      <c r="F533" s="35" t="s">
        <v>825</v>
      </c>
      <c r="G533" s="35" t="s">
        <v>4237</v>
      </c>
      <c r="H533" s="27" t="s">
        <v>686</v>
      </c>
      <c r="I533" s="62">
        <v>901</v>
      </c>
      <c r="J533" s="62">
        <v>90150</v>
      </c>
      <c r="K533" s="63">
        <v>4</v>
      </c>
      <c r="L533" s="35" t="s">
        <v>5429</v>
      </c>
      <c r="M533" s="35" t="s">
        <v>258</v>
      </c>
      <c r="N533" s="35" t="s">
        <v>5387</v>
      </c>
      <c r="O533" s="35" t="s">
        <v>862</v>
      </c>
      <c r="P533" s="35"/>
      <c r="Q533" s="35" t="s">
        <v>5430</v>
      </c>
      <c r="R533" s="35" t="s">
        <v>60</v>
      </c>
      <c r="S533" s="35"/>
      <c r="T533" s="35"/>
      <c r="U533" s="35" t="s">
        <v>4485</v>
      </c>
      <c r="V533" s="35"/>
      <c r="W533" s="35" t="s">
        <v>5431</v>
      </c>
      <c r="X533" s="35" t="s">
        <v>5432</v>
      </c>
      <c r="Y533" s="35" t="s">
        <v>5433</v>
      </c>
      <c r="Z533" s="35"/>
      <c r="AA533" s="35"/>
      <c r="AB533" s="35">
        <v>90150420</v>
      </c>
      <c r="AC533" s="35">
        <v>90150420003</v>
      </c>
      <c r="AD533" s="35">
        <v>90150420003001</v>
      </c>
      <c r="AE533" s="63">
        <v>4</v>
      </c>
      <c r="AF533" s="63" t="s">
        <v>499</v>
      </c>
      <c r="AG533" s="29" t="s">
        <v>65</v>
      </c>
      <c r="AH533" s="75"/>
      <c r="AI533" s="65" t="s">
        <v>65</v>
      </c>
      <c r="AJ533" s="32" t="s">
        <v>6939</v>
      </c>
      <c r="AK533" s="33" t="s">
        <v>92</v>
      </c>
      <c r="AL533" s="34"/>
      <c r="AM533" s="35"/>
      <c r="AN533" s="35"/>
      <c r="AO533" s="35"/>
      <c r="AP533" s="35"/>
      <c r="AQ533" s="37">
        <f t="shared" si="27"/>
        <v>0</v>
      </c>
      <c r="AR533" s="38">
        <f t="shared" si="28"/>
        <v>0</v>
      </c>
      <c r="AS533" s="39">
        <f t="shared" si="29"/>
        <v>0</v>
      </c>
      <c r="AT533" s="99"/>
      <c r="AU533" s="99" t="s">
        <v>1356</v>
      </c>
      <c r="AV533" s="99"/>
      <c r="AW533" s="100"/>
      <c r="AX533" s="99"/>
      <c r="AY533" s="101"/>
      <c r="AZ533" s="99"/>
      <c r="BA533" s="99" t="s">
        <v>1356</v>
      </c>
      <c r="BB533" s="99"/>
      <c r="BC533" s="101"/>
      <c r="BD533" s="99"/>
      <c r="BE533" s="101"/>
      <c r="BF533" s="99"/>
      <c r="BG533" s="99" t="s">
        <v>1356</v>
      </c>
      <c r="BH533" s="99"/>
      <c r="BI533" s="101"/>
      <c r="BJ533" s="99"/>
      <c r="BK533" s="101"/>
      <c r="BL533" s="99"/>
      <c r="BM533" s="99" t="s">
        <v>1356</v>
      </c>
      <c r="BN533" s="99"/>
      <c r="BO533" s="101"/>
      <c r="BP533" s="99"/>
      <c r="BQ533" s="101"/>
      <c r="BR533" s="99"/>
      <c r="BS533" s="99" t="s">
        <v>1356</v>
      </c>
      <c r="BT533" s="99"/>
      <c r="BU533" s="101"/>
      <c r="BV533" s="99"/>
      <c r="BW533" s="101"/>
      <c r="BX533" s="119"/>
      <c r="BY533" s="119" t="s">
        <v>1356</v>
      </c>
      <c r="BZ533" s="119"/>
      <c r="CA533" s="120"/>
      <c r="CB533" s="119"/>
      <c r="CC533" s="120"/>
      <c r="CD533" s="119"/>
      <c r="CE533" s="119" t="s">
        <v>1356</v>
      </c>
      <c r="CF533" s="119"/>
      <c r="CG533" s="120"/>
      <c r="CH533" s="119"/>
      <c r="CI533" s="120"/>
      <c r="CJ533" s="119"/>
      <c r="CK533" s="119" t="s">
        <v>1356</v>
      </c>
      <c r="CL533" s="119"/>
      <c r="CM533" s="120"/>
      <c r="CN533" s="119"/>
      <c r="CO533" s="120"/>
      <c r="CP533" s="119"/>
      <c r="CQ533" s="119" t="s">
        <v>1356</v>
      </c>
      <c r="CR533" s="119"/>
      <c r="CS533" s="120"/>
      <c r="CT533" s="119"/>
      <c r="CU533" s="120"/>
      <c r="CV533" s="119"/>
      <c r="CW533" s="119" t="s">
        <v>1356</v>
      </c>
      <c r="CX533" s="119"/>
      <c r="CY533" s="120"/>
      <c r="CZ533" s="119"/>
      <c r="DA533" s="120"/>
      <c r="DB533" s="35"/>
      <c r="DC533" s="59"/>
    </row>
    <row r="534" spans="1:107" s="40" customFormat="1" ht="14.55" customHeight="1" x14ac:dyDescent="0.3">
      <c r="A534" s="35" t="s">
        <v>4219</v>
      </c>
      <c r="B534" s="35" t="s">
        <v>5434</v>
      </c>
      <c r="C534" s="35" t="s">
        <v>5435</v>
      </c>
      <c r="D534" s="35" t="s">
        <v>5436</v>
      </c>
      <c r="E534" s="35" t="s">
        <v>5437</v>
      </c>
      <c r="F534" s="35" t="s">
        <v>825</v>
      </c>
      <c r="G534" s="35" t="s">
        <v>4237</v>
      </c>
      <c r="H534" s="27" t="s">
        <v>686</v>
      </c>
      <c r="I534" s="62">
        <v>901</v>
      </c>
      <c r="J534" s="62">
        <v>90150</v>
      </c>
      <c r="K534" s="63">
        <v>4</v>
      </c>
      <c r="L534" s="35" t="s">
        <v>4446</v>
      </c>
      <c r="M534" s="35" t="s">
        <v>4230</v>
      </c>
      <c r="N534" s="35" t="s">
        <v>5438</v>
      </c>
      <c r="O534" s="35" t="s">
        <v>4655</v>
      </c>
      <c r="P534" s="35" t="s">
        <v>4485</v>
      </c>
      <c r="Q534" s="35" t="s">
        <v>5437</v>
      </c>
      <c r="R534" s="35" t="s">
        <v>60</v>
      </c>
      <c r="S534" s="35"/>
      <c r="T534" s="35"/>
      <c r="U534" s="35"/>
      <c r="V534" s="35" t="s">
        <v>5439</v>
      </c>
      <c r="W534" s="35" t="s">
        <v>5440</v>
      </c>
      <c r="X534" s="35" t="s">
        <v>5441</v>
      </c>
      <c r="Y534" s="35" t="s">
        <v>5442</v>
      </c>
      <c r="Z534" s="35"/>
      <c r="AA534" s="35"/>
      <c r="AB534" s="35">
        <v>90150517</v>
      </c>
      <c r="AC534" s="35">
        <v>90150517006</v>
      </c>
      <c r="AD534" s="35">
        <v>90150517006027</v>
      </c>
      <c r="AE534" s="63">
        <v>4</v>
      </c>
      <c r="AF534" s="63" t="s">
        <v>499</v>
      </c>
      <c r="AG534" s="29" t="s">
        <v>65</v>
      </c>
      <c r="AH534" s="75"/>
      <c r="AI534" s="65" t="s">
        <v>66</v>
      </c>
      <c r="AJ534" s="32" t="s">
        <v>6938</v>
      </c>
      <c r="AK534" s="33" t="s">
        <v>67</v>
      </c>
      <c r="AL534" s="34">
        <v>45561</v>
      </c>
      <c r="AM534" s="35" t="s">
        <v>66</v>
      </c>
      <c r="AN534" s="35"/>
      <c r="AO534" s="35"/>
      <c r="AP534" s="35"/>
      <c r="AQ534" s="37">
        <f t="shared" si="27"/>
        <v>0</v>
      </c>
      <c r="AR534" s="38">
        <f t="shared" si="28"/>
        <v>0</v>
      </c>
      <c r="AS534" s="39">
        <f t="shared" si="29"/>
        <v>0</v>
      </c>
      <c r="AT534" s="99"/>
      <c r="AU534" s="99" t="s">
        <v>1356</v>
      </c>
      <c r="AV534" s="99"/>
      <c r="AW534" s="100"/>
      <c r="AX534" s="99"/>
      <c r="AY534" s="101"/>
      <c r="AZ534" s="99"/>
      <c r="BA534" s="99" t="s">
        <v>1356</v>
      </c>
      <c r="BB534" s="99"/>
      <c r="BC534" s="101"/>
      <c r="BD534" s="99"/>
      <c r="BE534" s="101"/>
      <c r="BF534" s="99"/>
      <c r="BG534" s="99" t="s">
        <v>1356</v>
      </c>
      <c r="BH534" s="99"/>
      <c r="BI534" s="101"/>
      <c r="BJ534" s="99"/>
      <c r="BK534" s="101"/>
      <c r="BL534" s="99"/>
      <c r="BM534" s="99" t="s">
        <v>1356</v>
      </c>
      <c r="BN534" s="99"/>
      <c r="BO534" s="101"/>
      <c r="BP534" s="99"/>
      <c r="BQ534" s="101"/>
      <c r="BR534" s="99"/>
      <c r="BS534" s="99" t="s">
        <v>1356</v>
      </c>
      <c r="BT534" s="99"/>
      <c r="BU534" s="101"/>
      <c r="BV534" s="99"/>
      <c r="BW534" s="101"/>
      <c r="BX534" s="119"/>
      <c r="BY534" s="119" t="s">
        <v>1356</v>
      </c>
      <c r="BZ534" s="119"/>
      <c r="CA534" s="120"/>
      <c r="CB534" s="119"/>
      <c r="CC534" s="120"/>
      <c r="CD534" s="119"/>
      <c r="CE534" s="119" t="s">
        <v>1356</v>
      </c>
      <c r="CF534" s="119"/>
      <c r="CG534" s="120"/>
      <c r="CH534" s="119"/>
      <c r="CI534" s="120"/>
      <c r="CJ534" s="119"/>
      <c r="CK534" s="119" t="s">
        <v>1356</v>
      </c>
      <c r="CL534" s="119"/>
      <c r="CM534" s="120"/>
      <c r="CN534" s="119"/>
      <c r="CO534" s="120"/>
      <c r="CP534" s="119"/>
      <c r="CQ534" s="119" t="s">
        <v>1356</v>
      </c>
      <c r="CR534" s="119"/>
      <c r="CS534" s="120"/>
      <c r="CT534" s="119"/>
      <c r="CU534" s="120"/>
      <c r="CV534" s="119"/>
      <c r="CW534" s="119" t="s">
        <v>1356</v>
      </c>
      <c r="CX534" s="119"/>
      <c r="CY534" s="120"/>
      <c r="CZ534" s="119"/>
      <c r="DA534" s="120"/>
      <c r="DB534" s="36" t="s">
        <v>7085</v>
      </c>
      <c r="DC534" s="59" t="s">
        <v>6751</v>
      </c>
    </row>
    <row r="535" spans="1:107" s="40" customFormat="1" x14ac:dyDescent="0.3">
      <c r="A535" s="35" t="s">
        <v>4219</v>
      </c>
      <c r="B535" s="35" t="s">
        <v>5443</v>
      </c>
      <c r="C535" s="35" t="s">
        <v>5444</v>
      </c>
      <c r="D535" s="35" t="s">
        <v>5445</v>
      </c>
      <c r="E535" s="35" t="s">
        <v>70</v>
      </c>
      <c r="F535" s="35" t="s">
        <v>1493</v>
      </c>
      <c r="G535" s="35" t="s">
        <v>461</v>
      </c>
      <c r="H535" s="27" t="s">
        <v>6933</v>
      </c>
      <c r="I535" s="62">
        <v>1321</v>
      </c>
      <c r="J535" s="62">
        <v>132150</v>
      </c>
      <c r="K535" s="63">
        <v>4</v>
      </c>
      <c r="L535" s="35" t="s">
        <v>5446</v>
      </c>
      <c r="M535" s="35"/>
      <c r="N535" s="35" t="s">
        <v>5447</v>
      </c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63">
        <v>4</v>
      </c>
      <c r="AF535" s="63" t="s">
        <v>499</v>
      </c>
      <c r="AG535" s="29" t="s">
        <v>65</v>
      </c>
      <c r="AH535" s="75"/>
      <c r="AI535" s="65" t="s">
        <v>66</v>
      </c>
      <c r="AJ535" s="32" t="s">
        <v>6938</v>
      </c>
      <c r="AK535" s="33" t="s">
        <v>67</v>
      </c>
      <c r="AL535" s="34">
        <v>45562</v>
      </c>
      <c r="AM535" s="35" t="s">
        <v>66</v>
      </c>
      <c r="AN535" s="35"/>
      <c r="AO535" s="35"/>
      <c r="AP535" s="35"/>
      <c r="AQ535" s="37">
        <f t="shared" si="27"/>
        <v>0</v>
      </c>
      <c r="AR535" s="38">
        <f t="shared" si="28"/>
        <v>0</v>
      </c>
      <c r="AS535" s="39">
        <f t="shared" si="29"/>
        <v>0</v>
      </c>
      <c r="AT535" s="99"/>
      <c r="AU535" s="99" t="s">
        <v>1356</v>
      </c>
      <c r="AV535" s="99"/>
      <c r="AW535" s="100"/>
      <c r="AX535" s="99"/>
      <c r="AY535" s="101"/>
      <c r="AZ535" s="99"/>
      <c r="BA535" s="99" t="s">
        <v>1356</v>
      </c>
      <c r="BB535" s="99"/>
      <c r="BC535" s="101"/>
      <c r="BD535" s="99"/>
      <c r="BE535" s="101"/>
      <c r="BF535" s="99"/>
      <c r="BG535" s="99" t="s">
        <v>1356</v>
      </c>
      <c r="BH535" s="99"/>
      <c r="BI535" s="101"/>
      <c r="BJ535" s="99"/>
      <c r="BK535" s="101"/>
      <c r="BL535" s="99"/>
      <c r="BM535" s="99" t="s">
        <v>1356</v>
      </c>
      <c r="BN535" s="99"/>
      <c r="BO535" s="101"/>
      <c r="BP535" s="99"/>
      <c r="BQ535" s="101"/>
      <c r="BR535" s="99"/>
      <c r="BS535" s="99" t="s">
        <v>1356</v>
      </c>
      <c r="BT535" s="99"/>
      <c r="BU535" s="101"/>
      <c r="BV535" s="99"/>
      <c r="BW535" s="101"/>
      <c r="BX535" s="119"/>
      <c r="BY535" s="119" t="s">
        <v>1356</v>
      </c>
      <c r="BZ535" s="119"/>
      <c r="CA535" s="120"/>
      <c r="CB535" s="119"/>
      <c r="CC535" s="120"/>
      <c r="CD535" s="119"/>
      <c r="CE535" s="119" t="s">
        <v>1356</v>
      </c>
      <c r="CF535" s="119"/>
      <c r="CG535" s="120"/>
      <c r="CH535" s="119"/>
      <c r="CI535" s="120"/>
      <c r="CJ535" s="119"/>
      <c r="CK535" s="119" t="s">
        <v>1356</v>
      </c>
      <c r="CL535" s="119"/>
      <c r="CM535" s="120"/>
      <c r="CN535" s="119"/>
      <c r="CO535" s="120"/>
      <c r="CP535" s="119"/>
      <c r="CQ535" s="119" t="s">
        <v>1356</v>
      </c>
      <c r="CR535" s="119"/>
      <c r="CS535" s="120"/>
      <c r="CT535" s="119"/>
      <c r="CU535" s="120"/>
      <c r="CV535" s="119"/>
      <c r="CW535" s="119" t="s">
        <v>1356</v>
      </c>
      <c r="CX535" s="119"/>
      <c r="CY535" s="120"/>
      <c r="CZ535" s="119"/>
      <c r="DA535" s="120"/>
      <c r="DB535" s="36" t="s">
        <v>7085</v>
      </c>
      <c r="DC535" s="59" t="s">
        <v>6751</v>
      </c>
    </row>
    <row r="536" spans="1:107" s="40" customFormat="1" ht="14.55" customHeight="1" x14ac:dyDescent="0.3">
      <c r="A536" s="35" t="s">
        <v>4219</v>
      </c>
      <c r="B536" s="35" t="s">
        <v>5448</v>
      </c>
      <c r="C536" s="35" t="s">
        <v>5449</v>
      </c>
      <c r="D536" s="35" t="s">
        <v>5450</v>
      </c>
      <c r="E536" s="35" t="s">
        <v>70</v>
      </c>
      <c r="F536" s="35" t="s">
        <v>1493</v>
      </c>
      <c r="G536" s="35" t="s">
        <v>4329</v>
      </c>
      <c r="H536" s="27" t="s">
        <v>6935</v>
      </c>
      <c r="I536" s="62">
        <v>2301</v>
      </c>
      <c r="J536" s="62">
        <v>230150</v>
      </c>
      <c r="K536" s="63">
        <v>4</v>
      </c>
      <c r="L536" s="35" t="s">
        <v>5451</v>
      </c>
      <c r="M536" s="35" t="s">
        <v>258</v>
      </c>
      <c r="N536" s="35"/>
      <c r="O536" s="35"/>
      <c r="P536" s="35"/>
      <c r="Q536" s="35"/>
      <c r="R536" s="35"/>
      <c r="S536" s="35"/>
      <c r="T536" s="35"/>
      <c r="U536" s="35"/>
      <c r="V536" s="35"/>
      <c r="W536" s="35" t="s">
        <v>5452</v>
      </c>
      <c r="X536" s="35" t="s">
        <v>5453</v>
      </c>
      <c r="Y536" s="35" t="s">
        <v>5454</v>
      </c>
      <c r="Z536" s="35">
        <v>-79.187359999999998</v>
      </c>
      <c r="AA536" s="35">
        <v>-0.28507199999999999</v>
      </c>
      <c r="AB536" s="35">
        <v>230150080</v>
      </c>
      <c r="AC536" s="35">
        <v>230150080003</v>
      </c>
      <c r="AD536" s="35">
        <v>230150080003003</v>
      </c>
      <c r="AE536" s="63">
        <v>4</v>
      </c>
      <c r="AF536" s="63" t="s">
        <v>499</v>
      </c>
      <c r="AG536" s="29" t="s">
        <v>65</v>
      </c>
      <c r="AH536" s="75"/>
      <c r="AI536" s="65" t="s">
        <v>66</v>
      </c>
      <c r="AJ536" s="32" t="s">
        <v>6938</v>
      </c>
      <c r="AK536" s="33" t="s">
        <v>67</v>
      </c>
      <c r="AL536" s="34">
        <v>45562</v>
      </c>
      <c r="AM536" s="35" t="s">
        <v>66</v>
      </c>
      <c r="AN536" s="35"/>
      <c r="AO536" s="35"/>
      <c r="AP536" s="35"/>
      <c r="AQ536" s="37">
        <f t="shared" si="27"/>
        <v>0</v>
      </c>
      <c r="AR536" s="38">
        <f t="shared" si="28"/>
        <v>0</v>
      </c>
      <c r="AS536" s="39">
        <f t="shared" si="29"/>
        <v>0</v>
      </c>
      <c r="AT536" s="99"/>
      <c r="AU536" s="99" t="s">
        <v>1356</v>
      </c>
      <c r="AV536" s="99"/>
      <c r="AW536" s="100"/>
      <c r="AX536" s="99"/>
      <c r="AY536" s="101"/>
      <c r="AZ536" s="99"/>
      <c r="BA536" s="99" t="s">
        <v>1356</v>
      </c>
      <c r="BB536" s="99"/>
      <c r="BC536" s="101"/>
      <c r="BD536" s="99"/>
      <c r="BE536" s="101"/>
      <c r="BF536" s="99"/>
      <c r="BG536" s="99" t="s">
        <v>1356</v>
      </c>
      <c r="BH536" s="99"/>
      <c r="BI536" s="101"/>
      <c r="BJ536" s="99"/>
      <c r="BK536" s="101"/>
      <c r="BL536" s="99"/>
      <c r="BM536" s="99" t="s">
        <v>1356</v>
      </c>
      <c r="BN536" s="99"/>
      <c r="BO536" s="101"/>
      <c r="BP536" s="99"/>
      <c r="BQ536" s="101"/>
      <c r="BR536" s="99"/>
      <c r="BS536" s="99" t="s">
        <v>1356</v>
      </c>
      <c r="BT536" s="99"/>
      <c r="BU536" s="101"/>
      <c r="BV536" s="99"/>
      <c r="BW536" s="101"/>
      <c r="BX536" s="119"/>
      <c r="BY536" s="119" t="s">
        <v>1356</v>
      </c>
      <c r="BZ536" s="119"/>
      <c r="CA536" s="120"/>
      <c r="CB536" s="119"/>
      <c r="CC536" s="120"/>
      <c r="CD536" s="119"/>
      <c r="CE536" s="119" t="s">
        <v>1356</v>
      </c>
      <c r="CF536" s="119"/>
      <c r="CG536" s="120"/>
      <c r="CH536" s="119"/>
      <c r="CI536" s="120"/>
      <c r="CJ536" s="119"/>
      <c r="CK536" s="119" t="s">
        <v>1356</v>
      </c>
      <c r="CL536" s="119"/>
      <c r="CM536" s="120"/>
      <c r="CN536" s="119"/>
      <c r="CO536" s="120"/>
      <c r="CP536" s="119"/>
      <c r="CQ536" s="119" t="s">
        <v>1356</v>
      </c>
      <c r="CR536" s="119"/>
      <c r="CS536" s="120"/>
      <c r="CT536" s="119"/>
      <c r="CU536" s="120"/>
      <c r="CV536" s="119"/>
      <c r="CW536" s="119" t="s">
        <v>1356</v>
      </c>
      <c r="CX536" s="119"/>
      <c r="CY536" s="120"/>
      <c r="CZ536" s="119"/>
      <c r="DA536" s="120"/>
      <c r="DB536" s="36" t="s">
        <v>7085</v>
      </c>
      <c r="DC536" s="59" t="s">
        <v>6751</v>
      </c>
    </row>
    <row r="537" spans="1:107" s="40" customFormat="1" x14ac:dyDescent="0.3">
      <c r="A537" s="35" t="s">
        <v>4219</v>
      </c>
      <c r="B537" s="35" t="s">
        <v>5455</v>
      </c>
      <c r="C537" s="35" t="s">
        <v>5456</v>
      </c>
      <c r="D537" s="35" t="s">
        <v>5457</v>
      </c>
      <c r="E537" s="35" t="s">
        <v>5458</v>
      </c>
      <c r="F537" s="35" t="s">
        <v>1493</v>
      </c>
      <c r="G537" s="35" t="s">
        <v>4329</v>
      </c>
      <c r="H537" s="27" t="s">
        <v>6935</v>
      </c>
      <c r="I537" s="62">
        <v>2301</v>
      </c>
      <c r="J537" s="62">
        <v>230150</v>
      </c>
      <c r="K537" s="63">
        <v>4</v>
      </c>
      <c r="L537" s="35" t="s">
        <v>1971</v>
      </c>
      <c r="M537" s="35"/>
      <c r="N537" s="35"/>
      <c r="O537" s="35" t="s">
        <v>1537</v>
      </c>
      <c r="P537" s="35"/>
      <c r="Q537" s="35"/>
      <c r="R537" s="35"/>
      <c r="S537" s="35"/>
      <c r="T537" s="35"/>
      <c r="U537" s="35"/>
      <c r="V537" s="35"/>
      <c r="W537" s="35" t="s">
        <v>5459</v>
      </c>
      <c r="X537" s="35" t="s">
        <v>5460</v>
      </c>
      <c r="Y537" s="35" t="s">
        <v>5461</v>
      </c>
      <c r="Z537" s="35"/>
      <c r="AA537" s="35"/>
      <c r="AB537" s="35"/>
      <c r="AC537" s="35"/>
      <c r="AD537" s="35"/>
      <c r="AE537" s="63">
        <v>4</v>
      </c>
      <c r="AF537" s="63" t="s">
        <v>499</v>
      </c>
      <c r="AG537" s="29" t="s">
        <v>65</v>
      </c>
      <c r="AH537" s="75"/>
      <c r="AI537" s="65" t="s">
        <v>66</v>
      </c>
      <c r="AJ537" s="32" t="s">
        <v>6938</v>
      </c>
      <c r="AK537" s="33" t="s">
        <v>67</v>
      </c>
      <c r="AL537" s="34">
        <v>45569</v>
      </c>
      <c r="AM537" s="35" t="s">
        <v>66</v>
      </c>
      <c r="AN537" s="35"/>
      <c r="AO537" s="35"/>
      <c r="AP537" s="35"/>
      <c r="AQ537" s="37">
        <f t="shared" si="27"/>
        <v>0</v>
      </c>
      <c r="AR537" s="38">
        <f t="shared" si="28"/>
        <v>0</v>
      </c>
      <c r="AS537" s="39">
        <f t="shared" si="29"/>
        <v>0</v>
      </c>
      <c r="AT537" s="99"/>
      <c r="AU537" s="99" t="s">
        <v>1356</v>
      </c>
      <c r="AV537" s="99"/>
      <c r="AW537" s="100"/>
      <c r="AX537" s="99"/>
      <c r="AY537" s="101"/>
      <c r="AZ537" s="99"/>
      <c r="BA537" s="99" t="s">
        <v>1356</v>
      </c>
      <c r="BB537" s="99"/>
      <c r="BC537" s="101"/>
      <c r="BD537" s="99"/>
      <c r="BE537" s="101"/>
      <c r="BF537" s="99"/>
      <c r="BG537" s="99" t="s">
        <v>1356</v>
      </c>
      <c r="BH537" s="99"/>
      <c r="BI537" s="101"/>
      <c r="BJ537" s="99"/>
      <c r="BK537" s="101"/>
      <c r="BL537" s="99"/>
      <c r="BM537" s="99" t="s">
        <v>1356</v>
      </c>
      <c r="BN537" s="99"/>
      <c r="BO537" s="101"/>
      <c r="BP537" s="99"/>
      <c r="BQ537" s="101"/>
      <c r="BR537" s="99"/>
      <c r="BS537" s="99" t="s">
        <v>1356</v>
      </c>
      <c r="BT537" s="99"/>
      <c r="BU537" s="101"/>
      <c r="BV537" s="99"/>
      <c r="BW537" s="101"/>
      <c r="BX537" s="119"/>
      <c r="BY537" s="119" t="s">
        <v>1356</v>
      </c>
      <c r="BZ537" s="119"/>
      <c r="CA537" s="120"/>
      <c r="CB537" s="119"/>
      <c r="CC537" s="120"/>
      <c r="CD537" s="119"/>
      <c r="CE537" s="119" t="s">
        <v>1356</v>
      </c>
      <c r="CF537" s="119"/>
      <c r="CG537" s="120"/>
      <c r="CH537" s="119"/>
      <c r="CI537" s="120"/>
      <c r="CJ537" s="119"/>
      <c r="CK537" s="119" t="s">
        <v>1356</v>
      </c>
      <c r="CL537" s="119"/>
      <c r="CM537" s="120"/>
      <c r="CN537" s="119"/>
      <c r="CO537" s="120"/>
      <c r="CP537" s="119"/>
      <c r="CQ537" s="119" t="s">
        <v>1356</v>
      </c>
      <c r="CR537" s="119"/>
      <c r="CS537" s="120"/>
      <c r="CT537" s="119"/>
      <c r="CU537" s="120"/>
      <c r="CV537" s="119"/>
      <c r="CW537" s="119" t="s">
        <v>1356</v>
      </c>
      <c r="CX537" s="119"/>
      <c r="CY537" s="120"/>
      <c r="CZ537" s="119"/>
      <c r="DA537" s="120"/>
      <c r="DB537" s="36" t="s">
        <v>7085</v>
      </c>
      <c r="DC537" s="59" t="s">
        <v>2935</v>
      </c>
    </row>
    <row r="538" spans="1:107" s="40" customFormat="1" ht="14.55" customHeight="1" x14ac:dyDescent="0.3">
      <c r="A538" s="35" t="s">
        <v>4219</v>
      </c>
      <c r="B538" s="35" t="s">
        <v>5462</v>
      </c>
      <c r="C538" s="35" t="s">
        <v>5463</v>
      </c>
      <c r="D538" s="35" t="s">
        <v>5464</v>
      </c>
      <c r="E538" s="35" t="s">
        <v>70</v>
      </c>
      <c r="F538" s="35" t="s">
        <v>291</v>
      </c>
      <c r="G538" s="35" t="s">
        <v>4237</v>
      </c>
      <c r="H538" s="27" t="s">
        <v>686</v>
      </c>
      <c r="I538" s="62">
        <v>901</v>
      </c>
      <c r="J538" s="62">
        <v>90150</v>
      </c>
      <c r="K538" s="63">
        <v>4</v>
      </c>
      <c r="L538" s="35" t="s">
        <v>5465</v>
      </c>
      <c r="M538" s="35" t="s">
        <v>5466</v>
      </c>
      <c r="N538" s="35" t="s">
        <v>5467</v>
      </c>
      <c r="O538" s="35"/>
      <c r="P538" s="35"/>
      <c r="Q538" s="35"/>
      <c r="R538" s="35" t="s">
        <v>60</v>
      </c>
      <c r="S538" s="35"/>
      <c r="T538" s="35" t="s">
        <v>5468</v>
      </c>
      <c r="U538" s="35"/>
      <c r="V538" s="35" t="s">
        <v>811</v>
      </c>
      <c r="W538" s="35" t="s">
        <v>5469</v>
      </c>
      <c r="X538" s="35" t="s">
        <v>5470</v>
      </c>
      <c r="Y538" s="35" t="s">
        <v>5471</v>
      </c>
      <c r="Z538" s="35"/>
      <c r="AA538" s="35"/>
      <c r="AB538" s="35"/>
      <c r="AC538" s="35"/>
      <c r="AD538" s="35"/>
      <c r="AE538" s="63">
        <v>4</v>
      </c>
      <c r="AF538" s="63" t="s">
        <v>499</v>
      </c>
      <c r="AG538" s="29" t="s">
        <v>65</v>
      </c>
      <c r="AH538" s="75"/>
      <c r="AI538" s="65" t="s">
        <v>66</v>
      </c>
      <c r="AJ538" s="32" t="s">
        <v>6938</v>
      </c>
      <c r="AK538" s="33" t="s">
        <v>67</v>
      </c>
      <c r="AL538" s="34">
        <v>45569</v>
      </c>
      <c r="AM538" s="35" t="s">
        <v>66</v>
      </c>
      <c r="AN538" s="35"/>
      <c r="AO538" s="35"/>
      <c r="AP538" s="35"/>
      <c r="AQ538" s="37">
        <f t="shared" si="27"/>
        <v>0</v>
      </c>
      <c r="AR538" s="38">
        <f t="shared" si="28"/>
        <v>0</v>
      </c>
      <c r="AS538" s="39">
        <f t="shared" si="29"/>
        <v>0</v>
      </c>
      <c r="AT538" s="99"/>
      <c r="AU538" s="99" t="s">
        <v>1356</v>
      </c>
      <c r="AV538" s="99"/>
      <c r="AW538" s="100"/>
      <c r="AX538" s="99"/>
      <c r="AY538" s="101"/>
      <c r="AZ538" s="99"/>
      <c r="BA538" s="99" t="s">
        <v>1356</v>
      </c>
      <c r="BB538" s="99"/>
      <c r="BC538" s="101"/>
      <c r="BD538" s="99"/>
      <c r="BE538" s="101"/>
      <c r="BF538" s="99"/>
      <c r="BG538" s="99" t="s">
        <v>1356</v>
      </c>
      <c r="BH538" s="99"/>
      <c r="BI538" s="101"/>
      <c r="BJ538" s="99"/>
      <c r="BK538" s="101"/>
      <c r="BL538" s="99"/>
      <c r="BM538" s="99" t="s">
        <v>1356</v>
      </c>
      <c r="BN538" s="99"/>
      <c r="BO538" s="101"/>
      <c r="BP538" s="99"/>
      <c r="BQ538" s="101"/>
      <c r="BR538" s="99"/>
      <c r="BS538" s="99" t="s">
        <v>1356</v>
      </c>
      <c r="BT538" s="99"/>
      <c r="BU538" s="101"/>
      <c r="BV538" s="99"/>
      <c r="BW538" s="101"/>
      <c r="BX538" s="119"/>
      <c r="BY538" s="119" t="s">
        <v>1356</v>
      </c>
      <c r="BZ538" s="119"/>
      <c r="CA538" s="120"/>
      <c r="CB538" s="119"/>
      <c r="CC538" s="120"/>
      <c r="CD538" s="119"/>
      <c r="CE538" s="119" t="s">
        <v>1356</v>
      </c>
      <c r="CF538" s="119"/>
      <c r="CG538" s="120"/>
      <c r="CH538" s="119"/>
      <c r="CI538" s="120"/>
      <c r="CJ538" s="119"/>
      <c r="CK538" s="119" t="s">
        <v>1356</v>
      </c>
      <c r="CL538" s="119"/>
      <c r="CM538" s="120"/>
      <c r="CN538" s="119"/>
      <c r="CO538" s="120"/>
      <c r="CP538" s="119"/>
      <c r="CQ538" s="119" t="s">
        <v>1356</v>
      </c>
      <c r="CR538" s="119"/>
      <c r="CS538" s="120"/>
      <c r="CT538" s="119"/>
      <c r="CU538" s="120"/>
      <c r="CV538" s="119"/>
      <c r="CW538" s="119" t="s">
        <v>1356</v>
      </c>
      <c r="CX538" s="119"/>
      <c r="CY538" s="120"/>
      <c r="CZ538" s="119"/>
      <c r="DA538" s="120"/>
      <c r="DB538" s="36" t="s">
        <v>7085</v>
      </c>
      <c r="DC538" s="59" t="s">
        <v>105</v>
      </c>
    </row>
    <row r="539" spans="1:107" s="40" customFormat="1" ht="14.55" customHeight="1" x14ac:dyDescent="0.3">
      <c r="A539" s="35" t="s">
        <v>4219</v>
      </c>
      <c r="B539" s="35" t="s">
        <v>5472</v>
      </c>
      <c r="C539" s="35" t="s">
        <v>5473</v>
      </c>
      <c r="D539" s="35" t="s">
        <v>5474</v>
      </c>
      <c r="E539" s="35" t="s">
        <v>70</v>
      </c>
      <c r="F539" s="35" t="s">
        <v>291</v>
      </c>
      <c r="G539" s="35" t="s">
        <v>4237</v>
      </c>
      <c r="H539" s="27" t="s">
        <v>686</v>
      </c>
      <c r="I539" s="62">
        <v>901</v>
      </c>
      <c r="J539" s="62">
        <v>90150</v>
      </c>
      <c r="K539" s="63">
        <v>4</v>
      </c>
      <c r="L539" s="35" t="s">
        <v>5314</v>
      </c>
      <c r="M539" s="35"/>
      <c r="N539" s="35" t="s">
        <v>1985</v>
      </c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63">
        <v>4</v>
      </c>
      <c r="AF539" s="63" t="s">
        <v>499</v>
      </c>
      <c r="AG539" s="29" t="s">
        <v>65</v>
      </c>
      <c r="AH539" s="75"/>
      <c r="AI539" s="65" t="s">
        <v>66</v>
      </c>
      <c r="AJ539" s="32" t="s">
        <v>6938</v>
      </c>
      <c r="AK539" s="33" t="s">
        <v>67</v>
      </c>
      <c r="AL539" s="34">
        <v>45569</v>
      </c>
      <c r="AM539" s="35" t="s">
        <v>66</v>
      </c>
      <c r="AN539" s="35"/>
      <c r="AO539" s="35"/>
      <c r="AP539" s="35"/>
      <c r="AQ539" s="37">
        <f t="shared" si="27"/>
        <v>0</v>
      </c>
      <c r="AR539" s="38">
        <f t="shared" si="28"/>
        <v>0</v>
      </c>
      <c r="AS539" s="39">
        <f t="shared" si="29"/>
        <v>0</v>
      </c>
      <c r="AT539" s="99"/>
      <c r="AU539" s="99" t="s">
        <v>1356</v>
      </c>
      <c r="AV539" s="99"/>
      <c r="AW539" s="100"/>
      <c r="AX539" s="99"/>
      <c r="AY539" s="101"/>
      <c r="AZ539" s="99"/>
      <c r="BA539" s="99" t="s">
        <v>1356</v>
      </c>
      <c r="BB539" s="99"/>
      <c r="BC539" s="101"/>
      <c r="BD539" s="99"/>
      <c r="BE539" s="101"/>
      <c r="BF539" s="99"/>
      <c r="BG539" s="99" t="s">
        <v>1356</v>
      </c>
      <c r="BH539" s="99"/>
      <c r="BI539" s="101"/>
      <c r="BJ539" s="99"/>
      <c r="BK539" s="101"/>
      <c r="BL539" s="99"/>
      <c r="BM539" s="99" t="s">
        <v>1356</v>
      </c>
      <c r="BN539" s="99"/>
      <c r="BO539" s="101"/>
      <c r="BP539" s="99"/>
      <c r="BQ539" s="101"/>
      <c r="BR539" s="99"/>
      <c r="BS539" s="99" t="s">
        <v>1356</v>
      </c>
      <c r="BT539" s="99"/>
      <c r="BU539" s="101"/>
      <c r="BV539" s="99"/>
      <c r="BW539" s="101"/>
      <c r="BX539" s="119"/>
      <c r="BY539" s="119" t="s">
        <v>1356</v>
      </c>
      <c r="BZ539" s="119"/>
      <c r="CA539" s="120"/>
      <c r="CB539" s="119"/>
      <c r="CC539" s="120"/>
      <c r="CD539" s="119"/>
      <c r="CE539" s="119" t="s">
        <v>1356</v>
      </c>
      <c r="CF539" s="119"/>
      <c r="CG539" s="120"/>
      <c r="CH539" s="119"/>
      <c r="CI539" s="120"/>
      <c r="CJ539" s="119"/>
      <c r="CK539" s="119" t="s">
        <v>1356</v>
      </c>
      <c r="CL539" s="119"/>
      <c r="CM539" s="120"/>
      <c r="CN539" s="119"/>
      <c r="CO539" s="120"/>
      <c r="CP539" s="119"/>
      <c r="CQ539" s="119" t="s">
        <v>1356</v>
      </c>
      <c r="CR539" s="119"/>
      <c r="CS539" s="120"/>
      <c r="CT539" s="119"/>
      <c r="CU539" s="120"/>
      <c r="CV539" s="119"/>
      <c r="CW539" s="119" t="s">
        <v>1356</v>
      </c>
      <c r="CX539" s="119"/>
      <c r="CY539" s="120"/>
      <c r="CZ539" s="119"/>
      <c r="DA539" s="120"/>
      <c r="DB539" s="36" t="s">
        <v>7085</v>
      </c>
      <c r="DC539" s="59" t="s">
        <v>105</v>
      </c>
    </row>
    <row r="540" spans="1:107" s="40" customFormat="1" ht="14.55" customHeight="1" x14ac:dyDescent="0.3">
      <c r="A540" s="42" t="s">
        <v>3456</v>
      </c>
      <c r="B540" s="42" t="s">
        <v>4095</v>
      </c>
      <c r="C540" s="42" t="s">
        <v>2788</v>
      </c>
      <c r="D540" s="42" t="s">
        <v>2789</v>
      </c>
      <c r="E540" s="42" t="s">
        <v>2790</v>
      </c>
      <c r="F540" s="42" t="s">
        <v>1493</v>
      </c>
      <c r="G540" s="42" t="s">
        <v>2426</v>
      </c>
      <c r="H540" s="43" t="s">
        <v>6925</v>
      </c>
      <c r="I540" s="44">
        <v>501</v>
      </c>
      <c r="J540" s="44">
        <v>50150</v>
      </c>
      <c r="K540" s="45">
        <v>4</v>
      </c>
      <c r="L540" s="42" t="s">
        <v>2791</v>
      </c>
      <c r="M540" s="42"/>
      <c r="N540" s="42" t="s">
        <v>2792</v>
      </c>
      <c r="O540" s="42"/>
      <c r="P540" s="42"/>
      <c r="Q540" s="42"/>
      <c r="R540" s="42"/>
      <c r="S540" s="42"/>
      <c r="T540" s="42"/>
      <c r="U540" s="42" t="s">
        <v>2793</v>
      </c>
      <c r="V540" s="42"/>
      <c r="W540" s="42" t="s">
        <v>2794</v>
      </c>
      <c r="X540" s="42" t="s">
        <v>2795</v>
      </c>
      <c r="Y540" s="42" t="s">
        <v>2796</v>
      </c>
      <c r="Z540" s="42"/>
      <c r="AA540" s="42"/>
      <c r="AB540" s="42"/>
      <c r="AC540" s="42"/>
      <c r="AD540" s="42"/>
      <c r="AE540" s="45">
        <v>4</v>
      </c>
      <c r="AF540" s="45" t="s">
        <v>499</v>
      </c>
      <c r="AG540" s="46" t="s">
        <v>66</v>
      </c>
      <c r="AH540" s="47">
        <v>30736</v>
      </c>
      <c r="AI540" s="48" t="s">
        <v>66</v>
      </c>
      <c r="AJ540" s="49" t="s">
        <v>6938</v>
      </c>
      <c r="AK540" s="50" t="s">
        <v>67</v>
      </c>
      <c r="AL540" s="51">
        <v>45583</v>
      </c>
      <c r="AM540" s="52" t="s">
        <v>66</v>
      </c>
      <c r="AN540" s="42"/>
      <c r="AO540" s="42"/>
      <c r="AP540" s="42"/>
      <c r="AQ540" s="53">
        <f t="shared" si="27"/>
        <v>0</v>
      </c>
      <c r="AR540" s="54">
        <f t="shared" si="28"/>
        <v>1</v>
      </c>
      <c r="AS540" s="55">
        <f t="shared" si="29"/>
        <v>1</v>
      </c>
      <c r="AT540" s="96"/>
      <c r="AU540" s="96"/>
      <c r="AV540" s="96"/>
      <c r="AW540" s="97"/>
      <c r="AX540" s="96"/>
      <c r="AY540" s="98"/>
      <c r="AZ540" s="96"/>
      <c r="BA540" s="96" t="s">
        <v>1356</v>
      </c>
      <c r="BB540" s="96"/>
      <c r="BC540" s="98"/>
      <c r="BD540" s="96"/>
      <c r="BE540" s="98"/>
      <c r="BF540" s="96"/>
      <c r="BG540" s="96" t="s">
        <v>1356</v>
      </c>
      <c r="BH540" s="96"/>
      <c r="BI540" s="98"/>
      <c r="BJ540" s="96"/>
      <c r="BK540" s="98"/>
      <c r="BL540" s="96"/>
      <c r="BM540" s="96" t="s">
        <v>1356</v>
      </c>
      <c r="BN540" s="96"/>
      <c r="BO540" s="98"/>
      <c r="BP540" s="96"/>
      <c r="BQ540" s="98"/>
      <c r="BR540" s="96"/>
      <c r="BS540" s="96" t="s">
        <v>1356</v>
      </c>
      <c r="BT540" s="96"/>
      <c r="BU540" s="98"/>
      <c r="BV540" s="96"/>
      <c r="BW540" s="98"/>
      <c r="BX540" s="117" t="s">
        <v>2576</v>
      </c>
      <c r="BY540" s="117" t="s">
        <v>2577</v>
      </c>
      <c r="BZ540" s="117">
        <v>160</v>
      </c>
      <c r="CA540" s="118" t="s">
        <v>2797</v>
      </c>
      <c r="CB540" s="117"/>
      <c r="CC540" s="118"/>
      <c r="CD540" s="117"/>
      <c r="CE540" s="117" t="s">
        <v>1356</v>
      </c>
      <c r="CF540" s="117"/>
      <c r="CG540" s="118"/>
      <c r="CH540" s="117"/>
      <c r="CI540" s="118"/>
      <c r="CJ540" s="117"/>
      <c r="CK540" s="117" t="s">
        <v>1356</v>
      </c>
      <c r="CL540" s="117"/>
      <c r="CM540" s="118"/>
      <c r="CN540" s="117"/>
      <c r="CO540" s="118"/>
      <c r="CP540" s="117"/>
      <c r="CQ540" s="117" t="s">
        <v>1356</v>
      </c>
      <c r="CR540" s="117"/>
      <c r="CS540" s="118"/>
      <c r="CT540" s="117"/>
      <c r="CU540" s="118"/>
      <c r="CV540" s="117"/>
      <c r="CW540" s="117" t="s">
        <v>1356</v>
      </c>
      <c r="CX540" s="117"/>
      <c r="CY540" s="118"/>
      <c r="CZ540" s="117"/>
      <c r="DA540" s="118"/>
      <c r="DB540" s="52" t="s">
        <v>6962</v>
      </c>
      <c r="DC540" s="57" t="s">
        <v>105</v>
      </c>
    </row>
    <row r="541" spans="1:107" s="40" customFormat="1" x14ac:dyDescent="0.3">
      <c r="A541" s="35" t="s">
        <v>4219</v>
      </c>
      <c r="B541" s="35" t="s">
        <v>5484</v>
      </c>
      <c r="C541" s="35" t="s">
        <v>5485</v>
      </c>
      <c r="D541" s="35" t="s">
        <v>5486</v>
      </c>
      <c r="E541" s="35" t="s">
        <v>5487</v>
      </c>
      <c r="F541" s="35" t="s">
        <v>734</v>
      </c>
      <c r="G541" s="35" t="s">
        <v>4237</v>
      </c>
      <c r="H541" s="27" t="s">
        <v>686</v>
      </c>
      <c r="I541" s="62">
        <v>901</v>
      </c>
      <c r="J541" s="62">
        <v>90150</v>
      </c>
      <c r="K541" s="63">
        <v>4</v>
      </c>
      <c r="L541" s="35" t="s">
        <v>5488</v>
      </c>
      <c r="M541" s="35"/>
      <c r="N541" s="35" t="s">
        <v>5489</v>
      </c>
      <c r="O541" s="35" t="s">
        <v>5490</v>
      </c>
      <c r="P541" s="35"/>
      <c r="Q541" s="35"/>
      <c r="R541" s="35"/>
      <c r="S541" s="35"/>
      <c r="T541" s="35"/>
      <c r="U541" s="35" t="s">
        <v>5491</v>
      </c>
      <c r="V541" s="35"/>
      <c r="W541" s="35" t="s">
        <v>5492</v>
      </c>
      <c r="X541" s="35" t="s">
        <v>5493</v>
      </c>
      <c r="Y541" s="35" t="s">
        <v>5494</v>
      </c>
      <c r="Z541" s="35">
        <v>-79.932649999999995</v>
      </c>
      <c r="AA541" s="35">
        <v>-2.1517230000000001</v>
      </c>
      <c r="AB541" s="35">
        <v>90150050</v>
      </c>
      <c r="AC541" s="35">
        <v>90150050005</v>
      </c>
      <c r="AD541" s="35">
        <v>90150050005003</v>
      </c>
      <c r="AE541" s="63">
        <v>4</v>
      </c>
      <c r="AF541" s="63" t="s">
        <v>499</v>
      </c>
      <c r="AG541" s="29" t="s">
        <v>65</v>
      </c>
      <c r="AH541" s="75"/>
      <c r="AI541" s="65" t="s">
        <v>65</v>
      </c>
      <c r="AJ541" s="32" t="s">
        <v>6939</v>
      </c>
      <c r="AK541" s="33" t="s">
        <v>92</v>
      </c>
      <c r="AL541" s="34"/>
      <c r="AM541" s="35"/>
      <c r="AN541" s="35"/>
      <c r="AO541" s="35"/>
      <c r="AP541" s="35"/>
      <c r="AQ541" s="37">
        <f t="shared" si="27"/>
        <v>0</v>
      </c>
      <c r="AR541" s="38">
        <f t="shared" si="28"/>
        <v>0</v>
      </c>
      <c r="AS541" s="39">
        <f t="shared" si="29"/>
        <v>0</v>
      </c>
      <c r="AT541" s="99"/>
      <c r="AU541" s="99" t="s">
        <v>1356</v>
      </c>
      <c r="AV541" s="99"/>
      <c r="AW541" s="100"/>
      <c r="AX541" s="99"/>
      <c r="AY541" s="101"/>
      <c r="AZ541" s="99"/>
      <c r="BA541" s="99" t="s">
        <v>1356</v>
      </c>
      <c r="BB541" s="99"/>
      <c r="BC541" s="101"/>
      <c r="BD541" s="99"/>
      <c r="BE541" s="101"/>
      <c r="BF541" s="99"/>
      <c r="BG541" s="99" t="s">
        <v>1356</v>
      </c>
      <c r="BH541" s="99"/>
      <c r="BI541" s="101"/>
      <c r="BJ541" s="99"/>
      <c r="BK541" s="101"/>
      <c r="BL541" s="99"/>
      <c r="BM541" s="99" t="s">
        <v>1356</v>
      </c>
      <c r="BN541" s="99"/>
      <c r="BO541" s="101"/>
      <c r="BP541" s="99"/>
      <c r="BQ541" s="101"/>
      <c r="BR541" s="99"/>
      <c r="BS541" s="99" t="s">
        <v>1356</v>
      </c>
      <c r="BT541" s="99"/>
      <c r="BU541" s="101"/>
      <c r="BV541" s="99"/>
      <c r="BW541" s="101"/>
      <c r="BX541" s="119"/>
      <c r="BY541" s="119" t="s">
        <v>1356</v>
      </c>
      <c r="BZ541" s="119"/>
      <c r="CA541" s="120"/>
      <c r="CB541" s="119"/>
      <c r="CC541" s="120"/>
      <c r="CD541" s="119"/>
      <c r="CE541" s="119" t="s">
        <v>1356</v>
      </c>
      <c r="CF541" s="119"/>
      <c r="CG541" s="120"/>
      <c r="CH541" s="119"/>
      <c r="CI541" s="120"/>
      <c r="CJ541" s="119"/>
      <c r="CK541" s="119" t="s">
        <v>1356</v>
      </c>
      <c r="CL541" s="119"/>
      <c r="CM541" s="120"/>
      <c r="CN541" s="119"/>
      <c r="CO541" s="120"/>
      <c r="CP541" s="119"/>
      <c r="CQ541" s="119" t="s">
        <v>1356</v>
      </c>
      <c r="CR541" s="119"/>
      <c r="CS541" s="120"/>
      <c r="CT541" s="119"/>
      <c r="CU541" s="120"/>
      <c r="CV541" s="119"/>
      <c r="CW541" s="119" t="s">
        <v>1356</v>
      </c>
      <c r="CX541" s="119"/>
      <c r="CY541" s="120"/>
      <c r="CZ541" s="119"/>
      <c r="DA541" s="120"/>
      <c r="DB541" s="35"/>
      <c r="DC541" s="59"/>
    </row>
    <row r="542" spans="1:107" s="40" customFormat="1" ht="14.55" customHeight="1" x14ac:dyDescent="0.3">
      <c r="A542" s="35" t="s">
        <v>4219</v>
      </c>
      <c r="B542" s="35" t="s">
        <v>5495</v>
      </c>
      <c r="C542" s="35" t="s">
        <v>5496</v>
      </c>
      <c r="D542" s="35" t="s">
        <v>5497</v>
      </c>
      <c r="E542" s="35" t="s">
        <v>5498</v>
      </c>
      <c r="F542" s="35" t="s">
        <v>1585</v>
      </c>
      <c r="G542" s="35" t="s">
        <v>4237</v>
      </c>
      <c r="H542" s="27" t="s">
        <v>686</v>
      </c>
      <c r="I542" s="62">
        <v>901</v>
      </c>
      <c r="J542" s="62">
        <v>90150</v>
      </c>
      <c r="K542" s="63">
        <v>4</v>
      </c>
      <c r="L542" s="35" t="s">
        <v>5499</v>
      </c>
      <c r="M542" s="35"/>
      <c r="N542" s="35" t="s">
        <v>5314</v>
      </c>
      <c r="O542" s="35" t="s">
        <v>5500</v>
      </c>
      <c r="P542" s="35" t="s">
        <v>5501</v>
      </c>
      <c r="Q542" s="35" t="s">
        <v>5502</v>
      </c>
      <c r="R542" s="35" t="s">
        <v>60</v>
      </c>
      <c r="S542" s="35"/>
      <c r="T542" s="35" t="s">
        <v>5503</v>
      </c>
      <c r="U542" s="35" t="s">
        <v>5504</v>
      </c>
      <c r="V542" s="35" t="s">
        <v>5505</v>
      </c>
      <c r="W542" s="35" t="s">
        <v>5506</v>
      </c>
      <c r="X542" s="35" t="s">
        <v>5507</v>
      </c>
      <c r="Y542" s="35" t="s">
        <v>5508</v>
      </c>
      <c r="Z542" s="35">
        <v>-79.943847000000005</v>
      </c>
      <c r="AA542" s="35">
        <v>-2.1186919999999998</v>
      </c>
      <c r="AB542" s="35">
        <v>90150517</v>
      </c>
      <c r="AC542" s="35">
        <v>90150517006</v>
      </c>
      <c r="AD542" s="35">
        <v>90150517006013</v>
      </c>
      <c r="AE542" s="63">
        <v>4</v>
      </c>
      <c r="AF542" s="63" t="s">
        <v>499</v>
      </c>
      <c r="AG542" s="29" t="s">
        <v>65</v>
      </c>
      <c r="AH542" s="75"/>
      <c r="AI542" s="65" t="s">
        <v>66</v>
      </c>
      <c r="AJ542" s="32" t="s">
        <v>6938</v>
      </c>
      <c r="AK542" s="33" t="s">
        <v>67</v>
      </c>
      <c r="AL542" s="58">
        <v>45569</v>
      </c>
      <c r="AM542" s="35" t="s">
        <v>66</v>
      </c>
      <c r="AN542" s="35"/>
      <c r="AO542" s="35"/>
      <c r="AP542" s="35"/>
      <c r="AQ542" s="37">
        <f t="shared" si="27"/>
        <v>0</v>
      </c>
      <c r="AR542" s="38">
        <f t="shared" si="28"/>
        <v>0</v>
      </c>
      <c r="AS542" s="39">
        <f t="shared" si="29"/>
        <v>0</v>
      </c>
      <c r="AT542" s="99"/>
      <c r="AU542" s="99" t="s">
        <v>1356</v>
      </c>
      <c r="AV542" s="99"/>
      <c r="AW542" s="100"/>
      <c r="AX542" s="99"/>
      <c r="AY542" s="101"/>
      <c r="AZ542" s="99"/>
      <c r="BA542" s="99" t="s">
        <v>1356</v>
      </c>
      <c r="BB542" s="99"/>
      <c r="BC542" s="101"/>
      <c r="BD542" s="99"/>
      <c r="BE542" s="101"/>
      <c r="BF542" s="99"/>
      <c r="BG542" s="99" t="s">
        <v>1356</v>
      </c>
      <c r="BH542" s="99"/>
      <c r="BI542" s="101"/>
      <c r="BJ542" s="99"/>
      <c r="BK542" s="101"/>
      <c r="BL542" s="99"/>
      <c r="BM542" s="99" t="s">
        <v>1356</v>
      </c>
      <c r="BN542" s="99"/>
      <c r="BO542" s="101"/>
      <c r="BP542" s="99"/>
      <c r="BQ542" s="101"/>
      <c r="BR542" s="99"/>
      <c r="BS542" s="99" t="s">
        <v>1356</v>
      </c>
      <c r="BT542" s="99"/>
      <c r="BU542" s="101"/>
      <c r="BV542" s="99"/>
      <c r="BW542" s="101"/>
      <c r="BX542" s="119"/>
      <c r="BY542" s="119" t="s">
        <v>1356</v>
      </c>
      <c r="BZ542" s="119"/>
      <c r="CA542" s="120"/>
      <c r="CB542" s="119"/>
      <c r="CC542" s="120"/>
      <c r="CD542" s="119"/>
      <c r="CE542" s="119" t="s">
        <v>1356</v>
      </c>
      <c r="CF542" s="119"/>
      <c r="CG542" s="120"/>
      <c r="CH542" s="119"/>
      <c r="CI542" s="120"/>
      <c r="CJ542" s="119"/>
      <c r="CK542" s="119" t="s">
        <v>1356</v>
      </c>
      <c r="CL542" s="119"/>
      <c r="CM542" s="120"/>
      <c r="CN542" s="119"/>
      <c r="CO542" s="120"/>
      <c r="CP542" s="119"/>
      <c r="CQ542" s="119" t="s">
        <v>1356</v>
      </c>
      <c r="CR542" s="119"/>
      <c r="CS542" s="120"/>
      <c r="CT542" s="119"/>
      <c r="CU542" s="120"/>
      <c r="CV542" s="119"/>
      <c r="CW542" s="119" t="s">
        <v>1356</v>
      </c>
      <c r="CX542" s="119"/>
      <c r="CY542" s="120"/>
      <c r="CZ542" s="119"/>
      <c r="DA542" s="120"/>
      <c r="DB542" s="36" t="s">
        <v>7085</v>
      </c>
      <c r="DC542" s="59" t="s">
        <v>105</v>
      </c>
    </row>
    <row r="543" spans="1:107" s="40" customFormat="1" ht="14.55" customHeight="1" x14ac:dyDescent="0.3">
      <c r="A543" s="42" t="s">
        <v>4219</v>
      </c>
      <c r="B543" s="42" t="s">
        <v>5103</v>
      </c>
      <c r="C543" s="42" t="s">
        <v>5104</v>
      </c>
      <c r="D543" s="42" t="s">
        <v>5105</v>
      </c>
      <c r="E543" s="42" t="s">
        <v>5106</v>
      </c>
      <c r="F543" s="42" t="s">
        <v>291</v>
      </c>
      <c r="G543" s="42" t="s">
        <v>461</v>
      </c>
      <c r="H543" s="43" t="s">
        <v>6933</v>
      </c>
      <c r="I543" s="44">
        <v>1314</v>
      </c>
      <c r="J543" s="44">
        <v>131450</v>
      </c>
      <c r="K543" s="45">
        <v>4</v>
      </c>
      <c r="L543" s="42" t="s">
        <v>5107</v>
      </c>
      <c r="M543" s="42"/>
      <c r="N543" s="42" t="s">
        <v>5108</v>
      </c>
      <c r="O543" s="42" t="s">
        <v>2234</v>
      </c>
      <c r="P543" s="42"/>
      <c r="Q543" s="42" t="s">
        <v>5109</v>
      </c>
      <c r="R543" s="42"/>
      <c r="S543" s="42"/>
      <c r="T543" s="42"/>
      <c r="U543" s="42" t="s">
        <v>5110</v>
      </c>
      <c r="V543" s="42"/>
      <c r="W543" s="42" t="s">
        <v>5111</v>
      </c>
      <c r="X543" s="42" t="s">
        <v>5112</v>
      </c>
      <c r="Y543" s="42" t="s">
        <v>5113</v>
      </c>
      <c r="Z543" s="42"/>
      <c r="AA543" s="42"/>
      <c r="AB543" s="42">
        <v>131450006</v>
      </c>
      <c r="AC543" s="42">
        <v>131450006004</v>
      </c>
      <c r="AD543" s="42">
        <v>131450006004002</v>
      </c>
      <c r="AE543" s="45">
        <v>3</v>
      </c>
      <c r="AF543" s="45" t="s">
        <v>377</v>
      </c>
      <c r="AG543" s="46" t="s">
        <v>66</v>
      </c>
      <c r="AH543" s="47" t="s">
        <v>6955</v>
      </c>
      <c r="AI543" s="48" t="s">
        <v>66</v>
      </c>
      <c r="AJ543" s="49" t="s">
        <v>6938</v>
      </c>
      <c r="AK543" s="50" t="s">
        <v>67</v>
      </c>
      <c r="AL543" s="58">
        <v>45583</v>
      </c>
      <c r="AM543" s="52" t="s">
        <v>66</v>
      </c>
      <c r="AN543" s="42"/>
      <c r="AO543" s="42"/>
      <c r="AP543" s="42"/>
      <c r="AQ543" s="53">
        <f t="shared" si="27"/>
        <v>0</v>
      </c>
      <c r="AR543" s="54">
        <f t="shared" si="28"/>
        <v>1</v>
      </c>
      <c r="AS543" s="55">
        <f t="shared" si="29"/>
        <v>1</v>
      </c>
      <c r="AT543" s="96"/>
      <c r="AU543" s="96" t="s">
        <v>1356</v>
      </c>
      <c r="AV543" s="96"/>
      <c r="AW543" s="97"/>
      <c r="AX543" s="96"/>
      <c r="AY543" s="98"/>
      <c r="AZ543" s="96"/>
      <c r="BA543" s="96" t="s">
        <v>1356</v>
      </c>
      <c r="BB543" s="96"/>
      <c r="BC543" s="98"/>
      <c r="BD543" s="96"/>
      <c r="BE543" s="98"/>
      <c r="BF543" s="96"/>
      <c r="BG543" s="96" t="s">
        <v>1356</v>
      </c>
      <c r="BH543" s="96"/>
      <c r="BI543" s="98"/>
      <c r="BJ543" s="96"/>
      <c r="BK543" s="98"/>
      <c r="BL543" s="96"/>
      <c r="BM543" s="96" t="s">
        <v>1356</v>
      </c>
      <c r="BN543" s="96"/>
      <c r="BO543" s="98"/>
      <c r="BP543" s="96"/>
      <c r="BQ543" s="98"/>
      <c r="BR543" s="96"/>
      <c r="BS543" s="96" t="s">
        <v>1356</v>
      </c>
      <c r="BT543" s="96"/>
      <c r="BU543" s="98"/>
      <c r="BV543" s="96"/>
      <c r="BW543" s="98"/>
      <c r="BX543" s="117" t="s">
        <v>300</v>
      </c>
      <c r="BY543" s="117" t="s">
        <v>2263</v>
      </c>
      <c r="BZ543" s="117">
        <v>118</v>
      </c>
      <c r="CA543" s="118">
        <v>45611</v>
      </c>
      <c r="CB543" s="117"/>
      <c r="CC543" s="118"/>
      <c r="CD543" s="117"/>
      <c r="CE543" s="117" t="s">
        <v>1356</v>
      </c>
      <c r="CF543" s="117"/>
      <c r="CG543" s="118"/>
      <c r="CH543" s="117"/>
      <c r="CI543" s="118"/>
      <c r="CJ543" s="117"/>
      <c r="CK543" s="117" t="s">
        <v>1356</v>
      </c>
      <c r="CL543" s="117"/>
      <c r="CM543" s="118"/>
      <c r="CN543" s="117"/>
      <c r="CO543" s="118"/>
      <c r="CP543" s="117"/>
      <c r="CQ543" s="117" t="s">
        <v>1356</v>
      </c>
      <c r="CR543" s="117"/>
      <c r="CS543" s="118"/>
      <c r="CT543" s="117"/>
      <c r="CU543" s="118"/>
      <c r="CV543" s="117"/>
      <c r="CW543" s="117" t="s">
        <v>1356</v>
      </c>
      <c r="CX543" s="117"/>
      <c r="CY543" s="118"/>
      <c r="CZ543" s="117"/>
      <c r="DA543" s="118"/>
      <c r="DB543" s="52" t="s">
        <v>6962</v>
      </c>
      <c r="DC543" s="57" t="s">
        <v>105</v>
      </c>
    </row>
    <row r="544" spans="1:107" s="40" customFormat="1" x14ac:dyDescent="0.3">
      <c r="A544" s="35" t="s">
        <v>4219</v>
      </c>
      <c r="B544" s="35" t="s">
        <v>5521</v>
      </c>
      <c r="C544" s="35" t="s">
        <v>5522</v>
      </c>
      <c r="D544" s="35" t="s">
        <v>5523</v>
      </c>
      <c r="E544" s="35" t="s">
        <v>70</v>
      </c>
      <c r="F544" s="35" t="s">
        <v>3036</v>
      </c>
      <c r="G544" s="35" t="s">
        <v>4237</v>
      </c>
      <c r="H544" s="27" t="s">
        <v>686</v>
      </c>
      <c r="I544" s="62">
        <v>901</v>
      </c>
      <c r="J544" s="62">
        <v>90150</v>
      </c>
      <c r="K544" s="63">
        <v>4</v>
      </c>
      <c r="L544" s="35" t="s">
        <v>5524</v>
      </c>
      <c r="M544" s="35"/>
      <c r="N544" s="35" t="s">
        <v>5525</v>
      </c>
      <c r="O544" s="35" t="s">
        <v>109</v>
      </c>
      <c r="P544" s="35" t="s">
        <v>4485</v>
      </c>
      <c r="Q544" s="35" t="s">
        <v>5526</v>
      </c>
      <c r="R544" s="35" t="s">
        <v>60</v>
      </c>
      <c r="S544" s="35"/>
      <c r="T544" s="35"/>
      <c r="U544" s="35"/>
      <c r="V544" s="35"/>
      <c r="W544" s="35" t="s">
        <v>5527</v>
      </c>
      <c r="X544" s="35" t="s">
        <v>5528</v>
      </c>
      <c r="Y544" s="35" t="s">
        <v>5529</v>
      </c>
      <c r="Z544" s="35"/>
      <c r="AA544" s="35"/>
      <c r="AB544" s="35">
        <v>90150421</v>
      </c>
      <c r="AC544" s="35">
        <v>90150421001</v>
      </c>
      <c r="AD544" s="35">
        <v>90150421001002</v>
      </c>
      <c r="AE544" s="63">
        <v>5</v>
      </c>
      <c r="AF544" s="63" t="s">
        <v>772</v>
      </c>
      <c r="AG544" s="29" t="s">
        <v>65</v>
      </c>
      <c r="AH544" s="75"/>
      <c r="AI544" s="65" t="s">
        <v>65</v>
      </c>
      <c r="AJ544" s="32" t="s">
        <v>6939</v>
      </c>
      <c r="AK544" s="33" t="s">
        <v>92</v>
      </c>
      <c r="AL544" s="34"/>
      <c r="AM544" s="35"/>
      <c r="AN544" s="35"/>
      <c r="AO544" s="35"/>
      <c r="AP544" s="35"/>
      <c r="AQ544" s="37">
        <f t="shared" si="27"/>
        <v>0</v>
      </c>
      <c r="AR544" s="38">
        <f t="shared" si="28"/>
        <v>0</v>
      </c>
      <c r="AS544" s="39">
        <f t="shared" si="29"/>
        <v>0</v>
      </c>
      <c r="AT544" s="99"/>
      <c r="AU544" s="99" t="s">
        <v>1356</v>
      </c>
      <c r="AV544" s="99"/>
      <c r="AW544" s="100"/>
      <c r="AX544" s="99"/>
      <c r="AY544" s="101"/>
      <c r="AZ544" s="99"/>
      <c r="BA544" s="99" t="s">
        <v>1356</v>
      </c>
      <c r="BB544" s="99"/>
      <c r="BC544" s="101"/>
      <c r="BD544" s="99"/>
      <c r="BE544" s="101"/>
      <c r="BF544" s="99"/>
      <c r="BG544" s="99" t="s">
        <v>1356</v>
      </c>
      <c r="BH544" s="99"/>
      <c r="BI544" s="101"/>
      <c r="BJ544" s="99"/>
      <c r="BK544" s="101"/>
      <c r="BL544" s="99"/>
      <c r="BM544" s="99" t="s">
        <v>1356</v>
      </c>
      <c r="BN544" s="99"/>
      <c r="BO544" s="101"/>
      <c r="BP544" s="99"/>
      <c r="BQ544" s="101"/>
      <c r="BR544" s="99"/>
      <c r="BS544" s="99" t="s">
        <v>1356</v>
      </c>
      <c r="BT544" s="99"/>
      <c r="BU544" s="101"/>
      <c r="BV544" s="99"/>
      <c r="BW544" s="101"/>
      <c r="BX544" s="119"/>
      <c r="BY544" s="119" t="s">
        <v>1356</v>
      </c>
      <c r="BZ544" s="119"/>
      <c r="CA544" s="120"/>
      <c r="CB544" s="119"/>
      <c r="CC544" s="120"/>
      <c r="CD544" s="119"/>
      <c r="CE544" s="119" t="s">
        <v>1356</v>
      </c>
      <c r="CF544" s="119"/>
      <c r="CG544" s="120"/>
      <c r="CH544" s="119"/>
      <c r="CI544" s="120"/>
      <c r="CJ544" s="119"/>
      <c r="CK544" s="119" t="s">
        <v>1356</v>
      </c>
      <c r="CL544" s="119"/>
      <c r="CM544" s="120"/>
      <c r="CN544" s="119"/>
      <c r="CO544" s="120"/>
      <c r="CP544" s="119"/>
      <c r="CQ544" s="119" t="s">
        <v>1356</v>
      </c>
      <c r="CR544" s="119"/>
      <c r="CS544" s="120"/>
      <c r="CT544" s="119"/>
      <c r="CU544" s="120"/>
      <c r="CV544" s="119"/>
      <c r="CW544" s="119" t="s">
        <v>1356</v>
      </c>
      <c r="CX544" s="119"/>
      <c r="CY544" s="120"/>
      <c r="CZ544" s="119"/>
      <c r="DA544" s="120"/>
      <c r="DB544" s="35"/>
      <c r="DC544" s="59"/>
    </row>
    <row r="545" spans="1:107" s="40" customFormat="1" x14ac:dyDescent="0.3">
      <c r="A545" s="35" t="s">
        <v>4219</v>
      </c>
      <c r="B545" s="35" t="s">
        <v>5530</v>
      </c>
      <c r="C545" s="35" t="s">
        <v>5531</v>
      </c>
      <c r="D545" s="35" t="s">
        <v>5532</v>
      </c>
      <c r="E545" s="35" t="s">
        <v>5533</v>
      </c>
      <c r="F545" s="35" t="s">
        <v>3036</v>
      </c>
      <c r="G545" s="35" t="s">
        <v>461</v>
      </c>
      <c r="H545" s="27" t="s">
        <v>6933</v>
      </c>
      <c r="I545" s="62">
        <v>1317</v>
      </c>
      <c r="J545" s="62">
        <v>131750</v>
      </c>
      <c r="K545" s="63">
        <v>4</v>
      </c>
      <c r="L545" s="35" t="s">
        <v>5534</v>
      </c>
      <c r="M545" s="35"/>
      <c r="N545" s="35" t="s">
        <v>2912</v>
      </c>
      <c r="O545" s="35" t="s">
        <v>862</v>
      </c>
      <c r="P545" s="35" t="s">
        <v>4225</v>
      </c>
      <c r="Q545" s="35" t="s">
        <v>5535</v>
      </c>
      <c r="R545" s="35"/>
      <c r="S545" s="35"/>
      <c r="T545" s="35" t="s">
        <v>4225</v>
      </c>
      <c r="U545" s="35" t="s">
        <v>4225</v>
      </c>
      <c r="V545" s="35"/>
      <c r="W545" s="35" t="s">
        <v>5536</v>
      </c>
      <c r="X545" s="35" t="s">
        <v>5537</v>
      </c>
      <c r="Y545" s="35" t="s">
        <v>5538</v>
      </c>
      <c r="Z545" s="35">
        <v>-80.081272999999996</v>
      </c>
      <c r="AA545" s="35">
        <v>8.7709999999999993E-3</v>
      </c>
      <c r="AB545" s="35">
        <v>131750946</v>
      </c>
      <c r="AC545" s="35">
        <v>131750946003</v>
      </c>
      <c r="AD545" s="35">
        <v>131750946003003</v>
      </c>
      <c r="AE545" s="63">
        <v>5</v>
      </c>
      <c r="AF545" s="63" t="s">
        <v>772</v>
      </c>
      <c r="AG545" s="29" t="s">
        <v>65</v>
      </c>
      <c r="AH545" s="75"/>
      <c r="AI545" s="65" t="s">
        <v>65</v>
      </c>
      <c r="AJ545" s="32" t="s">
        <v>6939</v>
      </c>
      <c r="AK545" s="33" t="s">
        <v>92</v>
      </c>
      <c r="AL545" s="34"/>
      <c r="AM545" s="35"/>
      <c r="AN545" s="35"/>
      <c r="AO545" s="35"/>
      <c r="AP545" s="35"/>
      <c r="AQ545" s="37">
        <f t="shared" si="27"/>
        <v>0</v>
      </c>
      <c r="AR545" s="38">
        <f t="shared" si="28"/>
        <v>0</v>
      </c>
      <c r="AS545" s="39">
        <f t="shared" si="29"/>
        <v>0</v>
      </c>
      <c r="AT545" s="99"/>
      <c r="AU545" s="99" t="s">
        <v>1356</v>
      </c>
      <c r="AV545" s="99"/>
      <c r="AW545" s="100"/>
      <c r="AX545" s="99"/>
      <c r="AY545" s="101"/>
      <c r="AZ545" s="99"/>
      <c r="BA545" s="99" t="s">
        <v>1356</v>
      </c>
      <c r="BB545" s="99"/>
      <c r="BC545" s="101"/>
      <c r="BD545" s="99"/>
      <c r="BE545" s="101"/>
      <c r="BF545" s="99"/>
      <c r="BG545" s="99" t="s">
        <v>1356</v>
      </c>
      <c r="BH545" s="99"/>
      <c r="BI545" s="101"/>
      <c r="BJ545" s="99"/>
      <c r="BK545" s="101"/>
      <c r="BL545" s="99"/>
      <c r="BM545" s="99" t="s">
        <v>1356</v>
      </c>
      <c r="BN545" s="99"/>
      <c r="BO545" s="101"/>
      <c r="BP545" s="99"/>
      <c r="BQ545" s="101"/>
      <c r="BR545" s="99"/>
      <c r="BS545" s="99" t="s">
        <v>1356</v>
      </c>
      <c r="BT545" s="99"/>
      <c r="BU545" s="101"/>
      <c r="BV545" s="99"/>
      <c r="BW545" s="101"/>
      <c r="BX545" s="119"/>
      <c r="BY545" s="119" t="s">
        <v>1356</v>
      </c>
      <c r="BZ545" s="119"/>
      <c r="CA545" s="120"/>
      <c r="CB545" s="119"/>
      <c r="CC545" s="120"/>
      <c r="CD545" s="119"/>
      <c r="CE545" s="119" t="s">
        <v>1356</v>
      </c>
      <c r="CF545" s="119"/>
      <c r="CG545" s="120"/>
      <c r="CH545" s="119"/>
      <c r="CI545" s="120"/>
      <c r="CJ545" s="119"/>
      <c r="CK545" s="119" t="s">
        <v>1356</v>
      </c>
      <c r="CL545" s="119"/>
      <c r="CM545" s="120"/>
      <c r="CN545" s="119"/>
      <c r="CO545" s="120"/>
      <c r="CP545" s="119"/>
      <c r="CQ545" s="119" t="s">
        <v>1356</v>
      </c>
      <c r="CR545" s="119"/>
      <c r="CS545" s="120"/>
      <c r="CT545" s="119"/>
      <c r="CU545" s="120"/>
      <c r="CV545" s="119"/>
      <c r="CW545" s="119" t="s">
        <v>1356</v>
      </c>
      <c r="CX545" s="119"/>
      <c r="CY545" s="120"/>
      <c r="CZ545" s="119"/>
      <c r="DA545" s="120"/>
      <c r="DB545" s="35"/>
      <c r="DC545" s="59"/>
    </row>
    <row r="546" spans="1:107" s="40" customFormat="1" ht="14.55" customHeight="1" x14ac:dyDescent="0.3">
      <c r="A546" s="42" t="s">
        <v>4219</v>
      </c>
      <c r="B546" s="42" t="s">
        <v>5114</v>
      </c>
      <c r="C546" s="42" t="s">
        <v>5115</v>
      </c>
      <c r="D546" s="42" t="s">
        <v>5116</v>
      </c>
      <c r="E546" s="42" t="s">
        <v>5117</v>
      </c>
      <c r="F546" s="42" t="s">
        <v>309</v>
      </c>
      <c r="G546" s="42" t="s">
        <v>4237</v>
      </c>
      <c r="H546" s="43" t="s">
        <v>686</v>
      </c>
      <c r="I546" s="44">
        <v>907</v>
      </c>
      <c r="J546" s="44">
        <v>90750</v>
      </c>
      <c r="K546" s="45">
        <v>4</v>
      </c>
      <c r="L546" s="42" t="s">
        <v>5118</v>
      </c>
      <c r="M546" s="42"/>
      <c r="N546" s="42"/>
      <c r="O546" s="42" t="s">
        <v>5119</v>
      </c>
      <c r="P546" s="42"/>
      <c r="Q546" s="42"/>
      <c r="R546" s="42"/>
      <c r="S546" s="42"/>
      <c r="T546" s="42"/>
      <c r="U546" s="42"/>
      <c r="V546" s="42"/>
      <c r="W546" s="42" t="s">
        <v>5120</v>
      </c>
      <c r="X546" s="42" t="s">
        <v>5121</v>
      </c>
      <c r="Y546" s="42" t="s">
        <v>5122</v>
      </c>
      <c r="Z546" s="42">
        <v>-79.890638053100005</v>
      </c>
      <c r="AA546" s="42">
        <v>-2.1895679493400002</v>
      </c>
      <c r="AB546" s="42"/>
      <c r="AC546" s="42"/>
      <c r="AD546" s="42"/>
      <c r="AE546" s="45">
        <v>3</v>
      </c>
      <c r="AF546" s="45" t="s">
        <v>377</v>
      </c>
      <c r="AG546" s="46" t="s">
        <v>66</v>
      </c>
      <c r="AH546" s="47" t="s">
        <v>5123</v>
      </c>
      <c r="AI546" s="48" t="s">
        <v>66</v>
      </c>
      <c r="AJ546" s="49" t="s">
        <v>6938</v>
      </c>
      <c r="AK546" s="50" t="s">
        <v>67</v>
      </c>
      <c r="AL546" s="58">
        <v>45583</v>
      </c>
      <c r="AM546" s="52" t="s">
        <v>66</v>
      </c>
      <c r="AN546" s="42"/>
      <c r="AO546" s="42"/>
      <c r="AP546" s="42"/>
      <c r="AQ546" s="53">
        <f t="shared" si="27"/>
        <v>1</v>
      </c>
      <c r="AR546" s="54">
        <f t="shared" si="28"/>
        <v>0</v>
      </c>
      <c r="AS546" s="55">
        <f t="shared" si="29"/>
        <v>1</v>
      </c>
      <c r="AT546" s="96" t="s">
        <v>731</v>
      </c>
      <c r="AU546" s="96" t="s">
        <v>6725</v>
      </c>
      <c r="AV546" s="96" t="s">
        <v>6777</v>
      </c>
      <c r="AW546" s="97" t="s">
        <v>6778</v>
      </c>
      <c r="AX546" s="96" t="s">
        <v>6777</v>
      </c>
      <c r="AY546" s="98" t="s">
        <v>6778</v>
      </c>
      <c r="AZ546" s="96"/>
      <c r="BA546" s="96" t="s">
        <v>1356</v>
      </c>
      <c r="BB546" s="96"/>
      <c r="BC546" s="98"/>
      <c r="BD546" s="96"/>
      <c r="BE546" s="98"/>
      <c r="BF546" s="96"/>
      <c r="BG546" s="96" t="s">
        <v>1356</v>
      </c>
      <c r="BH546" s="96"/>
      <c r="BI546" s="98"/>
      <c r="BJ546" s="96"/>
      <c r="BK546" s="98"/>
      <c r="BL546" s="96"/>
      <c r="BM546" s="96" t="s">
        <v>1356</v>
      </c>
      <c r="BN546" s="96"/>
      <c r="BO546" s="98"/>
      <c r="BP546" s="96"/>
      <c r="BQ546" s="98"/>
      <c r="BR546" s="96"/>
      <c r="BS546" s="96" t="s">
        <v>1356</v>
      </c>
      <c r="BT546" s="96"/>
      <c r="BU546" s="98"/>
      <c r="BV546" s="96"/>
      <c r="BW546" s="98"/>
      <c r="BX546" s="117"/>
      <c r="BY546" s="117" t="s">
        <v>1356</v>
      </c>
      <c r="BZ546" s="117"/>
      <c r="CA546" s="118"/>
      <c r="CB546" s="117"/>
      <c r="CC546" s="118"/>
      <c r="CD546" s="117"/>
      <c r="CE546" s="117" t="s">
        <v>1356</v>
      </c>
      <c r="CF546" s="117"/>
      <c r="CG546" s="118"/>
      <c r="CH546" s="117"/>
      <c r="CI546" s="118"/>
      <c r="CJ546" s="117"/>
      <c r="CK546" s="117" t="s">
        <v>1356</v>
      </c>
      <c r="CL546" s="117"/>
      <c r="CM546" s="118"/>
      <c r="CN546" s="117"/>
      <c r="CO546" s="118"/>
      <c r="CP546" s="117"/>
      <c r="CQ546" s="117" t="s">
        <v>1356</v>
      </c>
      <c r="CR546" s="117"/>
      <c r="CS546" s="118"/>
      <c r="CT546" s="117"/>
      <c r="CU546" s="118"/>
      <c r="CV546" s="117"/>
      <c r="CW546" s="117" t="s">
        <v>1356</v>
      </c>
      <c r="CX546" s="117"/>
      <c r="CY546" s="118"/>
      <c r="CZ546" s="117"/>
      <c r="DA546" s="118"/>
      <c r="DB546" s="52" t="s">
        <v>6962</v>
      </c>
      <c r="DC546" s="57" t="s">
        <v>105</v>
      </c>
    </row>
    <row r="547" spans="1:107" s="40" customFormat="1" x14ac:dyDescent="0.3">
      <c r="A547" s="35" t="s">
        <v>4219</v>
      </c>
      <c r="B547" s="35" t="s">
        <v>5551</v>
      </c>
      <c r="C547" s="35" t="s">
        <v>5552</v>
      </c>
      <c r="D547" s="35" t="s">
        <v>5553</v>
      </c>
      <c r="E547" s="35" t="s">
        <v>70</v>
      </c>
      <c r="F547" s="35" t="s">
        <v>4289</v>
      </c>
      <c r="G547" s="35" t="s">
        <v>461</v>
      </c>
      <c r="H547" s="27" t="s">
        <v>6933</v>
      </c>
      <c r="I547" s="62">
        <v>1321</v>
      </c>
      <c r="J547" s="62">
        <v>132150</v>
      </c>
      <c r="K547" s="63">
        <v>4</v>
      </c>
      <c r="L547" s="35" t="s">
        <v>5554</v>
      </c>
      <c r="M547" s="35" t="s">
        <v>258</v>
      </c>
      <c r="N547" s="35"/>
      <c r="O547" s="35"/>
      <c r="P547" s="35"/>
      <c r="Q547" s="35"/>
      <c r="R547" s="35" t="s">
        <v>60</v>
      </c>
      <c r="S547" s="35"/>
      <c r="T547" s="35"/>
      <c r="U547" s="35"/>
      <c r="V547" s="35"/>
      <c r="W547" s="35" t="s">
        <v>5555</v>
      </c>
      <c r="X547" s="35" t="s">
        <v>5556</v>
      </c>
      <c r="Y547" s="35" t="s">
        <v>5557</v>
      </c>
      <c r="Z547" s="35"/>
      <c r="AA547" s="35"/>
      <c r="AB547" s="35"/>
      <c r="AC547" s="35"/>
      <c r="AD547" s="35"/>
      <c r="AE547" s="63">
        <v>5</v>
      </c>
      <c r="AF547" s="63" t="s">
        <v>772</v>
      </c>
      <c r="AG547" s="29" t="s">
        <v>65</v>
      </c>
      <c r="AH547" s="75"/>
      <c r="AI547" s="65" t="s">
        <v>66</v>
      </c>
      <c r="AJ547" s="32" t="s">
        <v>6938</v>
      </c>
      <c r="AK547" s="33" t="s">
        <v>67</v>
      </c>
      <c r="AL547" s="34">
        <v>45573</v>
      </c>
      <c r="AM547" s="35" t="s">
        <v>66</v>
      </c>
      <c r="AN547" s="35"/>
      <c r="AO547" s="35"/>
      <c r="AP547" s="35"/>
      <c r="AQ547" s="37">
        <f t="shared" si="27"/>
        <v>0</v>
      </c>
      <c r="AR547" s="38">
        <f t="shared" si="28"/>
        <v>0</v>
      </c>
      <c r="AS547" s="39">
        <f t="shared" si="29"/>
        <v>0</v>
      </c>
      <c r="AT547" s="99"/>
      <c r="AU547" s="99" t="s">
        <v>1356</v>
      </c>
      <c r="AV547" s="99"/>
      <c r="AW547" s="100"/>
      <c r="AX547" s="99"/>
      <c r="AY547" s="101"/>
      <c r="AZ547" s="99"/>
      <c r="BA547" s="99" t="s">
        <v>1356</v>
      </c>
      <c r="BB547" s="99"/>
      <c r="BC547" s="101"/>
      <c r="BD547" s="99"/>
      <c r="BE547" s="101"/>
      <c r="BF547" s="99"/>
      <c r="BG547" s="99" t="s">
        <v>1356</v>
      </c>
      <c r="BH547" s="99"/>
      <c r="BI547" s="101"/>
      <c r="BJ547" s="99"/>
      <c r="BK547" s="101"/>
      <c r="BL547" s="99"/>
      <c r="BM547" s="99" t="s">
        <v>1356</v>
      </c>
      <c r="BN547" s="99"/>
      <c r="BO547" s="101"/>
      <c r="BP547" s="99"/>
      <c r="BQ547" s="101"/>
      <c r="BR547" s="99"/>
      <c r="BS547" s="99" t="s">
        <v>1356</v>
      </c>
      <c r="BT547" s="99"/>
      <c r="BU547" s="101"/>
      <c r="BV547" s="99"/>
      <c r="BW547" s="101"/>
      <c r="BX547" s="119"/>
      <c r="BY547" s="119" t="s">
        <v>1356</v>
      </c>
      <c r="BZ547" s="119"/>
      <c r="CA547" s="120"/>
      <c r="CB547" s="119"/>
      <c r="CC547" s="120"/>
      <c r="CD547" s="119"/>
      <c r="CE547" s="119" t="s">
        <v>1356</v>
      </c>
      <c r="CF547" s="119"/>
      <c r="CG547" s="120"/>
      <c r="CH547" s="119"/>
      <c r="CI547" s="120"/>
      <c r="CJ547" s="119"/>
      <c r="CK547" s="119" t="s">
        <v>1356</v>
      </c>
      <c r="CL547" s="119"/>
      <c r="CM547" s="120"/>
      <c r="CN547" s="119"/>
      <c r="CO547" s="120"/>
      <c r="CP547" s="119"/>
      <c r="CQ547" s="119" t="s">
        <v>1356</v>
      </c>
      <c r="CR547" s="119"/>
      <c r="CS547" s="120"/>
      <c r="CT547" s="119"/>
      <c r="CU547" s="120"/>
      <c r="CV547" s="119"/>
      <c r="CW547" s="119" t="s">
        <v>1356</v>
      </c>
      <c r="CX547" s="119"/>
      <c r="CY547" s="120"/>
      <c r="CZ547" s="119"/>
      <c r="DA547" s="120"/>
      <c r="DB547" s="36" t="s">
        <v>7085</v>
      </c>
      <c r="DC547" s="59" t="s">
        <v>6751</v>
      </c>
    </row>
    <row r="548" spans="1:107" s="40" customFormat="1" x14ac:dyDescent="0.3">
      <c r="A548" s="35" t="s">
        <v>4219</v>
      </c>
      <c r="B548" s="35" t="s">
        <v>5558</v>
      </c>
      <c r="C548" s="35" t="s">
        <v>5559</v>
      </c>
      <c r="D548" s="35" t="s">
        <v>5560</v>
      </c>
      <c r="E548" s="35" t="s">
        <v>70</v>
      </c>
      <c r="F548" s="35" t="s">
        <v>327</v>
      </c>
      <c r="G548" s="35" t="s">
        <v>4237</v>
      </c>
      <c r="H548" s="27" t="s">
        <v>686</v>
      </c>
      <c r="I548" s="62">
        <v>907</v>
      </c>
      <c r="J548" s="62">
        <v>90750</v>
      </c>
      <c r="K548" s="63">
        <v>4</v>
      </c>
      <c r="L548" s="35" t="s">
        <v>5118</v>
      </c>
      <c r="M548" s="35"/>
      <c r="N548" s="35"/>
      <c r="O548" s="35" t="s">
        <v>3061</v>
      </c>
      <c r="P548" s="35"/>
      <c r="Q548" s="35"/>
      <c r="R548" s="35" t="s">
        <v>60</v>
      </c>
      <c r="S548" s="35"/>
      <c r="T548" s="35"/>
      <c r="U548" s="35" t="s">
        <v>5561</v>
      </c>
      <c r="V548" s="35"/>
      <c r="W548" s="35" t="s">
        <v>5562</v>
      </c>
      <c r="X548" s="35" t="s">
        <v>5563</v>
      </c>
      <c r="Y548" s="35" t="s">
        <v>5564</v>
      </c>
      <c r="Z548" s="35"/>
      <c r="AA548" s="35"/>
      <c r="AB548" s="35">
        <v>90750999</v>
      </c>
      <c r="AC548" s="35">
        <v>90750999011</v>
      </c>
      <c r="AD548" s="35"/>
      <c r="AE548" s="63">
        <v>5</v>
      </c>
      <c r="AF548" s="63" t="s">
        <v>772</v>
      </c>
      <c r="AG548" s="29" t="s">
        <v>65</v>
      </c>
      <c r="AH548" s="75"/>
      <c r="AI548" s="65" t="s">
        <v>66</v>
      </c>
      <c r="AJ548" s="32" t="s">
        <v>6938</v>
      </c>
      <c r="AK548" s="33" t="s">
        <v>67</v>
      </c>
      <c r="AL548" s="34">
        <v>45573</v>
      </c>
      <c r="AM548" s="35" t="s">
        <v>66</v>
      </c>
      <c r="AN548" s="35"/>
      <c r="AO548" s="35"/>
      <c r="AP548" s="35"/>
      <c r="AQ548" s="37">
        <f t="shared" si="27"/>
        <v>0</v>
      </c>
      <c r="AR548" s="38">
        <f t="shared" si="28"/>
        <v>0</v>
      </c>
      <c r="AS548" s="39">
        <f t="shared" si="29"/>
        <v>0</v>
      </c>
      <c r="AT548" s="99"/>
      <c r="AU548" s="99" t="s">
        <v>1356</v>
      </c>
      <c r="AV548" s="99"/>
      <c r="AW548" s="100"/>
      <c r="AX548" s="99"/>
      <c r="AY548" s="101"/>
      <c r="AZ548" s="99"/>
      <c r="BA548" s="99" t="s">
        <v>1356</v>
      </c>
      <c r="BB548" s="99"/>
      <c r="BC548" s="101"/>
      <c r="BD548" s="99"/>
      <c r="BE548" s="101"/>
      <c r="BF548" s="99"/>
      <c r="BG548" s="99" t="s">
        <v>1356</v>
      </c>
      <c r="BH548" s="99"/>
      <c r="BI548" s="101"/>
      <c r="BJ548" s="99"/>
      <c r="BK548" s="101"/>
      <c r="BL548" s="99"/>
      <c r="BM548" s="99" t="s">
        <v>1356</v>
      </c>
      <c r="BN548" s="99"/>
      <c r="BO548" s="101"/>
      <c r="BP548" s="99"/>
      <c r="BQ548" s="101"/>
      <c r="BR548" s="99"/>
      <c r="BS548" s="99" t="s">
        <v>1356</v>
      </c>
      <c r="BT548" s="99"/>
      <c r="BU548" s="101"/>
      <c r="BV548" s="99"/>
      <c r="BW548" s="101"/>
      <c r="BX548" s="119"/>
      <c r="BY548" s="119" t="s">
        <v>1356</v>
      </c>
      <c r="BZ548" s="119"/>
      <c r="CA548" s="120"/>
      <c r="CB548" s="119"/>
      <c r="CC548" s="120"/>
      <c r="CD548" s="119"/>
      <c r="CE548" s="119" t="s">
        <v>1356</v>
      </c>
      <c r="CF548" s="119"/>
      <c r="CG548" s="120"/>
      <c r="CH548" s="119"/>
      <c r="CI548" s="120"/>
      <c r="CJ548" s="119"/>
      <c r="CK548" s="119" t="s">
        <v>1356</v>
      </c>
      <c r="CL548" s="119"/>
      <c r="CM548" s="120"/>
      <c r="CN548" s="119"/>
      <c r="CO548" s="120"/>
      <c r="CP548" s="119"/>
      <c r="CQ548" s="119" t="s">
        <v>1356</v>
      </c>
      <c r="CR548" s="119"/>
      <c r="CS548" s="120"/>
      <c r="CT548" s="119"/>
      <c r="CU548" s="120"/>
      <c r="CV548" s="119"/>
      <c r="CW548" s="119" t="s">
        <v>1356</v>
      </c>
      <c r="CX548" s="119"/>
      <c r="CY548" s="120"/>
      <c r="CZ548" s="119"/>
      <c r="DA548" s="120"/>
      <c r="DB548" s="36" t="s">
        <v>7085</v>
      </c>
      <c r="DC548" s="59" t="s">
        <v>105</v>
      </c>
    </row>
    <row r="549" spans="1:107" s="40" customFormat="1" x14ac:dyDescent="0.3">
      <c r="A549" s="35" t="s">
        <v>4219</v>
      </c>
      <c r="B549" s="35" t="s">
        <v>5565</v>
      </c>
      <c r="C549" s="35" t="s">
        <v>5566</v>
      </c>
      <c r="D549" s="35" t="s">
        <v>5567</v>
      </c>
      <c r="E549" s="35" t="s">
        <v>5568</v>
      </c>
      <c r="F549" s="35" t="s">
        <v>1103</v>
      </c>
      <c r="G549" s="35" t="s">
        <v>4237</v>
      </c>
      <c r="H549" s="27" t="s">
        <v>686</v>
      </c>
      <c r="I549" s="62">
        <v>901</v>
      </c>
      <c r="J549" s="62">
        <v>90150</v>
      </c>
      <c r="K549" s="63">
        <v>4</v>
      </c>
      <c r="L549" s="35" t="s">
        <v>4483</v>
      </c>
      <c r="M549" s="35" t="s">
        <v>258</v>
      </c>
      <c r="N549" s="35" t="s">
        <v>5569</v>
      </c>
      <c r="O549" s="35" t="s">
        <v>1803</v>
      </c>
      <c r="P549" s="35" t="s">
        <v>5570</v>
      </c>
      <c r="Q549" s="35" t="s">
        <v>5571</v>
      </c>
      <c r="R549" s="35"/>
      <c r="S549" s="35"/>
      <c r="T549" s="35"/>
      <c r="U549" s="35"/>
      <c r="V549" s="35"/>
      <c r="W549" s="35" t="s">
        <v>5572</v>
      </c>
      <c r="X549" s="35" t="s">
        <v>5573</v>
      </c>
      <c r="Y549" s="35" t="s">
        <v>5574</v>
      </c>
      <c r="Z549" s="35"/>
      <c r="AA549" s="35"/>
      <c r="AB549" s="35">
        <v>90150671</v>
      </c>
      <c r="AC549" s="35">
        <v>90150671001</v>
      </c>
      <c r="AD549" s="35">
        <v>90150671001001</v>
      </c>
      <c r="AE549" s="63">
        <v>5</v>
      </c>
      <c r="AF549" s="63" t="s">
        <v>772</v>
      </c>
      <c r="AG549" s="29" t="s">
        <v>65</v>
      </c>
      <c r="AH549" s="75"/>
      <c r="AI549" s="65" t="s">
        <v>66</v>
      </c>
      <c r="AJ549" s="32" t="s">
        <v>6938</v>
      </c>
      <c r="AK549" s="33" t="s">
        <v>67</v>
      </c>
      <c r="AL549" s="34">
        <v>45573</v>
      </c>
      <c r="AM549" s="35" t="s">
        <v>66</v>
      </c>
      <c r="AN549" s="35"/>
      <c r="AO549" s="35"/>
      <c r="AP549" s="35"/>
      <c r="AQ549" s="37">
        <f t="shared" si="27"/>
        <v>0</v>
      </c>
      <c r="AR549" s="38">
        <f t="shared" si="28"/>
        <v>0</v>
      </c>
      <c r="AS549" s="39">
        <f t="shared" si="29"/>
        <v>0</v>
      </c>
      <c r="AT549" s="99"/>
      <c r="AU549" s="99" t="s">
        <v>1356</v>
      </c>
      <c r="AV549" s="99"/>
      <c r="AW549" s="100"/>
      <c r="AX549" s="99"/>
      <c r="AY549" s="101"/>
      <c r="AZ549" s="99"/>
      <c r="BA549" s="99" t="s">
        <v>1356</v>
      </c>
      <c r="BB549" s="99"/>
      <c r="BC549" s="101"/>
      <c r="BD549" s="99"/>
      <c r="BE549" s="101"/>
      <c r="BF549" s="99"/>
      <c r="BG549" s="99" t="s">
        <v>1356</v>
      </c>
      <c r="BH549" s="99"/>
      <c r="BI549" s="101"/>
      <c r="BJ549" s="99"/>
      <c r="BK549" s="101"/>
      <c r="BL549" s="99"/>
      <c r="BM549" s="99" t="s">
        <v>1356</v>
      </c>
      <c r="BN549" s="99"/>
      <c r="BO549" s="101"/>
      <c r="BP549" s="99"/>
      <c r="BQ549" s="101"/>
      <c r="BR549" s="99"/>
      <c r="BS549" s="99" t="s">
        <v>1356</v>
      </c>
      <c r="BT549" s="99"/>
      <c r="BU549" s="101"/>
      <c r="BV549" s="99"/>
      <c r="BW549" s="101"/>
      <c r="BX549" s="119"/>
      <c r="BY549" s="119" t="s">
        <v>1356</v>
      </c>
      <c r="BZ549" s="119"/>
      <c r="CA549" s="120"/>
      <c r="CB549" s="119"/>
      <c r="CC549" s="120"/>
      <c r="CD549" s="119"/>
      <c r="CE549" s="119" t="s">
        <v>1356</v>
      </c>
      <c r="CF549" s="119"/>
      <c r="CG549" s="120"/>
      <c r="CH549" s="119"/>
      <c r="CI549" s="120"/>
      <c r="CJ549" s="119"/>
      <c r="CK549" s="119" t="s">
        <v>1356</v>
      </c>
      <c r="CL549" s="119"/>
      <c r="CM549" s="120"/>
      <c r="CN549" s="119"/>
      <c r="CO549" s="120"/>
      <c r="CP549" s="119"/>
      <c r="CQ549" s="119" t="s">
        <v>1356</v>
      </c>
      <c r="CR549" s="119"/>
      <c r="CS549" s="120"/>
      <c r="CT549" s="119"/>
      <c r="CU549" s="120"/>
      <c r="CV549" s="119"/>
      <c r="CW549" s="119" t="s">
        <v>1356</v>
      </c>
      <c r="CX549" s="119"/>
      <c r="CY549" s="120"/>
      <c r="CZ549" s="119"/>
      <c r="DA549" s="120"/>
      <c r="DB549" s="36" t="s">
        <v>7085</v>
      </c>
      <c r="DC549" s="59" t="s">
        <v>105</v>
      </c>
    </row>
    <row r="550" spans="1:107" s="40" customFormat="1" ht="14.55" customHeight="1" x14ac:dyDescent="0.3">
      <c r="A550" s="35" t="s">
        <v>4219</v>
      </c>
      <c r="B550" s="35" t="s">
        <v>5575</v>
      </c>
      <c r="C550" s="35" t="s">
        <v>5576</v>
      </c>
      <c r="D550" s="35" t="s">
        <v>5577</v>
      </c>
      <c r="E550" s="35" t="s">
        <v>70</v>
      </c>
      <c r="F550" s="35" t="s">
        <v>3036</v>
      </c>
      <c r="G550" s="35" t="s">
        <v>4237</v>
      </c>
      <c r="H550" s="27" t="s">
        <v>686</v>
      </c>
      <c r="I550" s="62">
        <v>907</v>
      </c>
      <c r="J550" s="62">
        <v>90750</v>
      </c>
      <c r="K550" s="63">
        <v>4</v>
      </c>
      <c r="L550" s="35" t="s">
        <v>5578</v>
      </c>
      <c r="M550" s="35"/>
      <c r="N550" s="35"/>
      <c r="O550" s="35" t="s">
        <v>4964</v>
      </c>
      <c r="P550" s="35"/>
      <c r="Q550" s="35"/>
      <c r="R550" s="35"/>
      <c r="S550" s="35"/>
      <c r="T550" s="35"/>
      <c r="U550" s="35" t="s">
        <v>5579</v>
      </c>
      <c r="V550" s="35"/>
      <c r="W550" s="35" t="s">
        <v>5580</v>
      </c>
      <c r="X550" s="35" t="s">
        <v>5581</v>
      </c>
      <c r="Y550" s="35" t="s">
        <v>5582</v>
      </c>
      <c r="Z550" s="35">
        <v>-79.723281999999998</v>
      </c>
      <c r="AA550" s="35">
        <v>-2.231452</v>
      </c>
      <c r="AB550" s="35">
        <v>90750999</v>
      </c>
      <c r="AC550" s="35">
        <v>90750999009</v>
      </c>
      <c r="AD550" s="35">
        <v>90750999009001</v>
      </c>
      <c r="AE550" s="63">
        <v>5</v>
      </c>
      <c r="AF550" s="63" t="s">
        <v>772</v>
      </c>
      <c r="AG550" s="29" t="s">
        <v>65</v>
      </c>
      <c r="AH550" s="75"/>
      <c r="AI550" s="65" t="s">
        <v>65</v>
      </c>
      <c r="AJ550" s="32" t="s">
        <v>6938</v>
      </c>
      <c r="AK550" s="33" t="s">
        <v>92</v>
      </c>
      <c r="AL550" s="34">
        <v>45573</v>
      </c>
      <c r="AM550" s="35"/>
      <c r="AN550" s="35"/>
      <c r="AO550" s="35"/>
      <c r="AP550" s="35"/>
      <c r="AQ550" s="37">
        <f t="shared" si="27"/>
        <v>0</v>
      </c>
      <c r="AR550" s="38">
        <f t="shared" si="28"/>
        <v>0</v>
      </c>
      <c r="AS550" s="39">
        <f t="shared" si="29"/>
        <v>0</v>
      </c>
      <c r="AT550" s="99"/>
      <c r="AU550" s="99" t="s">
        <v>1356</v>
      </c>
      <c r="AV550" s="99"/>
      <c r="AW550" s="100"/>
      <c r="AX550" s="99"/>
      <c r="AY550" s="101"/>
      <c r="AZ550" s="99"/>
      <c r="BA550" s="99" t="s">
        <v>1356</v>
      </c>
      <c r="BB550" s="99"/>
      <c r="BC550" s="101"/>
      <c r="BD550" s="99"/>
      <c r="BE550" s="101"/>
      <c r="BF550" s="99"/>
      <c r="BG550" s="99" t="s">
        <v>1356</v>
      </c>
      <c r="BH550" s="99"/>
      <c r="BI550" s="101"/>
      <c r="BJ550" s="99"/>
      <c r="BK550" s="101"/>
      <c r="BL550" s="99"/>
      <c r="BM550" s="99" t="s">
        <v>1356</v>
      </c>
      <c r="BN550" s="99"/>
      <c r="BO550" s="101"/>
      <c r="BP550" s="99"/>
      <c r="BQ550" s="101"/>
      <c r="BR550" s="99"/>
      <c r="BS550" s="99" t="s">
        <v>1356</v>
      </c>
      <c r="BT550" s="99"/>
      <c r="BU550" s="101"/>
      <c r="BV550" s="99"/>
      <c r="BW550" s="101"/>
      <c r="BX550" s="119"/>
      <c r="BY550" s="119" t="s">
        <v>1356</v>
      </c>
      <c r="BZ550" s="119"/>
      <c r="CA550" s="120"/>
      <c r="CB550" s="119"/>
      <c r="CC550" s="120"/>
      <c r="CD550" s="119"/>
      <c r="CE550" s="119" t="s">
        <v>1356</v>
      </c>
      <c r="CF550" s="119"/>
      <c r="CG550" s="120"/>
      <c r="CH550" s="119"/>
      <c r="CI550" s="120"/>
      <c r="CJ550" s="119"/>
      <c r="CK550" s="119" t="s">
        <v>1356</v>
      </c>
      <c r="CL550" s="119"/>
      <c r="CM550" s="120"/>
      <c r="CN550" s="119"/>
      <c r="CO550" s="120"/>
      <c r="CP550" s="119"/>
      <c r="CQ550" s="119" t="s">
        <v>1356</v>
      </c>
      <c r="CR550" s="119"/>
      <c r="CS550" s="120"/>
      <c r="CT550" s="119"/>
      <c r="CU550" s="120"/>
      <c r="CV550" s="119"/>
      <c r="CW550" s="119" t="s">
        <v>1356</v>
      </c>
      <c r="CX550" s="119"/>
      <c r="CY550" s="120"/>
      <c r="CZ550" s="119"/>
      <c r="DA550" s="120"/>
      <c r="DB550" s="36" t="s">
        <v>7085</v>
      </c>
      <c r="DC550" s="59" t="s">
        <v>92</v>
      </c>
    </row>
    <row r="551" spans="1:107" s="40" customFormat="1" x14ac:dyDescent="0.3">
      <c r="A551" s="35" t="s">
        <v>4219</v>
      </c>
      <c r="B551" s="35" t="s">
        <v>5583</v>
      </c>
      <c r="C551" s="35" t="s">
        <v>5584</v>
      </c>
      <c r="D551" s="35" t="s">
        <v>5585</v>
      </c>
      <c r="E551" s="35" t="s">
        <v>5586</v>
      </c>
      <c r="F551" s="35" t="s">
        <v>56</v>
      </c>
      <c r="G551" s="35" t="s">
        <v>461</v>
      </c>
      <c r="H551" s="27" t="s">
        <v>6933</v>
      </c>
      <c r="I551" s="62">
        <v>1309</v>
      </c>
      <c r="J551" s="62">
        <v>130950</v>
      </c>
      <c r="K551" s="63">
        <v>4</v>
      </c>
      <c r="L551" s="35" t="s">
        <v>5587</v>
      </c>
      <c r="M551" s="35"/>
      <c r="N551" s="35" t="s">
        <v>5588</v>
      </c>
      <c r="O551" s="35" t="s">
        <v>862</v>
      </c>
      <c r="P551" s="35"/>
      <c r="Q551" s="35" t="s">
        <v>5589</v>
      </c>
      <c r="R551" s="35" t="s">
        <v>60</v>
      </c>
      <c r="S551" s="35"/>
      <c r="T551" s="35"/>
      <c r="U551" s="35"/>
      <c r="V551" s="35"/>
      <c r="W551" s="35" t="s">
        <v>5590</v>
      </c>
      <c r="X551" s="35" t="s">
        <v>5591</v>
      </c>
      <c r="Y551" s="35" t="s">
        <v>5592</v>
      </c>
      <c r="Z551" s="35">
        <v>-80.690984</v>
      </c>
      <c r="AA551" s="35">
        <v>-1.0084949999999999</v>
      </c>
      <c r="AB551" s="35">
        <v>130950004</v>
      </c>
      <c r="AC551" s="35">
        <v>130950004004</v>
      </c>
      <c r="AD551" s="35">
        <v>130950004004005</v>
      </c>
      <c r="AE551" s="63">
        <v>5</v>
      </c>
      <c r="AF551" s="63" t="s">
        <v>772</v>
      </c>
      <c r="AG551" s="29" t="s">
        <v>65</v>
      </c>
      <c r="AH551" s="75"/>
      <c r="AI551" s="65" t="s">
        <v>65</v>
      </c>
      <c r="AJ551" s="32" t="s">
        <v>6939</v>
      </c>
      <c r="AK551" s="33" t="s">
        <v>92</v>
      </c>
      <c r="AL551" s="34"/>
      <c r="AM551" s="35"/>
      <c r="AN551" s="35"/>
      <c r="AO551" s="35"/>
      <c r="AP551" s="35"/>
      <c r="AQ551" s="37">
        <f t="shared" si="27"/>
        <v>0</v>
      </c>
      <c r="AR551" s="38">
        <f t="shared" si="28"/>
        <v>0</v>
      </c>
      <c r="AS551" s="39">
        <f t="shared" si="29"/>
        <v>0</v>
      </c>
      <c r="AT551" s="99"/>
      <c r="AU551" s="99" t="s">
        <v>1356</v>
      </c>
      <c r="AV551" s="99"/>
      <c r="AW551" s="100"/>
      <c r="AX551" s="99"/>
      <c r="AY551" s="101"/>
      <c r="AZ551" s="99"/>
      <c r="BA551" s="99" t="s">
        <v>1356</v>
      </c>
      <c r="BB551" s="99"/>
      <c r="BC551" s="101"/>
      <c r="BD551" s="99"/>
      <c r="BE551" s="101"/>
      <c r="BF551" s="99"/>
      <c r="BG551" s="99" t="s">
        <v>1356</v>
      </c>
      <c r="BH551" s="99"/>
      <c r="BI551" s="101"/>
      <c r="BJ551" s="99"/>
      <c r="BK551" s="101"/>
      <c r="BL551" s="99"/>
      <c r="BM551" s="99" t="s">
        <v>1356</v>
      </c>
      <c r="BN551" s="99"/>
      <c r="BO551" s="101"/>
      <c r="BP551" s="99"/>
      <c r="BQ551" s="101"/>
      <c r="BR551" s="99"/>
      <c r="BS551" s="99" t="s">
        <v>1356</v>
      </c>
      <c r="BT551" s="99"/>
      <c r="BU551" s="101"/>
      <c r="BV551" s="99"/>
      <c r="BW551" s="101"/>
      <c r="BX551" s="119"/>
      <c r="BY551" s="119" t="s">
        <v>1356</v>
      </c>
      <c r="BZ551" s="119"/>
      <c r="CA551" s="120"/>
      <c r="CB551" s="119"/>
      <c r="CC551" s="120"/>
      <c r="CD551" s="119"/>
      <c r="CE551" s="119" t="s">
        <v>1356</v>
      </c>
      <c r="CF551" s="119"/>
      <c r="CG551" s="120"/>
      <c r="CH551" s="119"/>
      <c r="CI551" s="120"/>
      <c r="CJ551" s="119"/>
      <c r="CK551" s="119" t="s">
        <v>1356</v>
      </c>
      <c r="CL551" s="119"/>
      <c r="CM551" s="120"/>
      <c r="CN551" s="119"/>
      <c r="CO551" s="120"/>
      <c r="CP551" s="119"/>
      <c r="CQ551" s="119" t="s">
        <v>1356</v>
      </c>
      <c r="CR551" s="119"/>
      <c r="CS551" s="120"/>
      <c r="CT551" s="119"/>
      <c r="CU551" s="120"/>
      <c r="CV551" s="119"/>
      <c r="CW551" s="119" t="s">
        <v>1356</v>
      </c>
      <c r="CX551" s="119"/>
      <c r="CY551" s="120"/>
      <c r="CZ551" s="119"/>
      <c r="DA551" s="120"/>
      <c r="DB551" s="35"/>
      <c r="DC551" s="59"/>
    </row>
    <row r="552" spans="1:107" s="40" customFormat="1" ht="14.55" customHeight="1" x14ac:dyDescent="0.3">
      <c r="A552" s="42" t="s">
        <v>4219</v>
      </c>
      <c r="B552" s="42" t="s">
        <v>6618</v>
      </c>
      <c r="C552" s="42" t="s">
        <v>6619</v>
      </c>
      <c r="D552" s="42" t="s">
        <v>6620</v>
      </c>
      <c r="E552" s="42" t="s">
        <v>70</v>
      </c>
      <c r="F552" s="42" t="s">
        <v>439</v>
      </c>
      <c r="G552" s="42" t="s">
        <v>4237</v>
      </c>
      <c r="H552" s="43" t="s">
        <v>686</v>
      </c>
      <c r="I552" s="44">
        <v>907</v>
      </c>
      <c r="J552" s="44">
        <v>90750</v>
      </c>
      <c r="K552" s="45">
        <v>4</v>
      </c>
      <c r="L552" s="42" t="s">
        <v>5953</v>
      </c>
      <c r="M552" s="42" t="s">
        <v>109</v>
      </c>
      <c r="N552" s="42" t="s">
        <v>6621</v>
      </c>
      <c r="O552" s="42" t="s">
        <v>338</v>
      </c>
      <c r="P552" s="42"/>
      <c r="Q552" s="42"/>
      <c r="R552" s="42" t="s">
        <v>60</v>
      </c>
      <c r="S552" s="42"/>
      <c r="T552" s="42" t="s">
        <v>6622</v>
      </c>
      <c r="U552" s="42"/>
      <c r="V552" s="42"/>
      <c r="W552" s="42" t="s">
        <v>6623</v>
      </c>
      <c r="X552" s="42" t="s">
        <v>6624</v>
      </c>
      <c r="Y552" s="42" t="s">
        <v>6625</v>
      </c>
      <c r="Z552" s="42">
        <v>-79.845731999999998</v>
      </c>
      <c r="AA552" s="42">
        <v>-2.1955170000000002</v>
      </c>
      <c r="AB552" s="42">
        <v>90750070</v>
      </c>
      <c r="AC552" s="42">
        <v>90750070004</v>
      </c>
      <c r="AD552" s="42">
        <v>90750070004012</v>
      </c>
      <c r="AE552" s="45">
        <v>5</v>
      </c>
      <c r="AF552" s="45" t="s">
        <v>772</v>
      </c>
      <c r="AG552" s="46" t="s">
        <v>66</v>
      </c>
      <c r="AH552" s="47" t="s">
        <v>6961</v>
      </c>
      <c r="AI552" s="48" t="s">
        <v>66</v>
      </c>
      <c r="AJ552" s="49" t="s">
        <v>6938</v>
      </c>
      <c r="AK552" s="50" t="s">
        <v>67</v>
      </c>
      <c r="AL552" s="58">
        <v>45583</v>
      </c>
      <c r="AM552" s="52" t="s">
        <v>66</v>
      </c>
      <c r="AN552" s="42"/>
      <c r="AO552" s="42"/>
      <c r="AP552" s="42"/>
      <c r="AQ552" s="53">
        <f t="shared" si="27"/>
        <v>0</v>
      </c>
      <c r="AR552" s="54">
        <f t="shared" si="28"/>
        <v>2</v>
      </c>
      <c r="AS552" s="55">
        <f t="shared" si="29"/>
        <v>2</v>
      </c>
      <c r="AT552" s="96"/>
      <c r="AU552" s="96" t="s">
        <v>1356</v>
      </c>
      <c r="AV552" s="96"/>
      <c r="AW552" s="97"/>
      <c r="AX552" s="96"/>
      <c r="AY552" s="98"/>
      <c r="AZ552" s="96"/>
      <c r="BA552" s="96" t="s">
        <v>1356</v>
      </c>
      <c r="BB552" s="96"/>
      <c r="BC552" s="98"/>
      <c r="BD552" s="96"/>
      <c r="BE552" s="98"/>
      <c r="BF552" s="96"/>
      <c r="BG552" s="96" t="s">
        <v>1356</v>
      </c>
      <c r="BH552" s="96"/>
      <c r="BI552" s="98"/>
      <c r="BJ552" s="96"/>
      <c r="BK552" s="98"/>
      <c r="BL552" s="96"/>
      <c r="BM552" s="96" t="s">
        <v>1356</v>
      </c>
      <c r="BN552" s="96"/>
      <c r="BO552" s="98"/>
      <c r="BP552" s="96"/>
      <c r="BQ552" s="98"/>
      <c r="BR552" s="96"/>
      <c r="BS552" s="96" t="s">
        <v>1356</v>
      </c>
      <c r="BT552" s="96"/>
      <c r="BU552" s="98"/>
      <c r="BV552" s="96"/>
      <c r="BW552" s="98"/>
      <c r="BX552" s="117" t="s">
        <v>671</v>
      </c>
      <c r="BY552" s="117" t="s">
        <v>2251</v>
      </c>
      <c r="BZ552" s="117">
        <v>22.8</v>
      </c>
      <c r="CA552" s="118">
        <v>45603</v>
      </c>
      <c r="CB552" s="117"/>
      <c r="CC552" s="118"/>
      <c r="CD552" s="117" t="s">
        <v>671</v>
      </c>
      <c r="CE552" s="117" t="s">
        <v>2251</v>
      </c>
      <c r="CF552" s="117">
        <v>25.8</v>
      </c>
      <c r="CG552" s="118">
        <v>45603</v>
      </c>
      <c r="CH552" s="117"/>
      <c r="CI552" s="118"/>
      <c r="CJ552" s="117"/>
      <c r="CK552" s="117" t="s">
        <v>1356</v>
      </c>
      <c r="CL552" s="117"/>
      <c r="CM552" s="118"/>
      <c r="CN552" s="117"/>
      <c r="CO552" s="118"/>
      <c r="CP552" s="117"/>
      <c r="CQ552" s="117" t="s">
        <v>1356</v>
      </c>
      <c r="CR552" s="117"/>
      <c r="CS552" s="118"/>
      <c r="CT552" s="117"/>
      <c r="CU552" s="118"/>
      <c r="CV552" s="117"/>
      <c r="CW552" s="117" t="s">
        <v>1356</v>
      </c>
      <c r="CX552" s="117"/>
      <c r="CY552" s="118"/>
      <c r="CZ552" s="117"/>
      <c r="DA552" s="118"/>
      <c r="DB552" s="52" t="s">
        <v>6962</v>
      </c>
      <c r="DC552" s="57" t="s">
        <v>105</v>
      </c>
    </row>
    <row r="553" spans="1:107" s="40" customFormat="1" ht="14.55" customHeight="1" x14ac:dyDescent="0.3">
      <c r="A553" s="35" t="s">
        <v>4219</v>
      </c>
      <c r="B553" s="35" t="s">
        <v>6642</v>
      </c>
      <c r="C553" s="35" t="s">
        <v>6643</v>
      </c>
      <c r="D553" s="35" t="s">
        <v>6644</v>
      </c>
      <c r="E553" s="35" t="s">
        <v>6645</v>
      </c>
      <c r="F553" s="35" t="s">
        <v>825</v>
      </c>
      <c r="G553" s="35" t="s">
        <v>4237</v>
      </c>
      <c r="H553" s="27" t="s">
        <v>686</v>
      </c>
      <c r="I553" s="62">
        <v>907</v>
      </c>
      <c r="J553" s="62">
        <v>90750</v>
      </c>
      <c r="K553" s="63">
        <v>4</v>
      </c>
      <c r="L553" s="35" t="s">
        <v>5118</v>
      </c>
      <c r="M553" s="35" t="s">
        <v>811</v>
      </c>
      <c r="N553" s="35" t="s">
        <v>810</v>
      </c>
      <c r="O553" s="35" t="s">
        <v>6646</v>
      </c>
      <c r="P553" s="35"/>
      <c r="Q553" s="35"/>
      <c r="R553" s="35" t="s">
        <v>60</v>
      </c>
      <c r="S553" s="35"/>
      <c r="T553" s="35"/>
      <c r="U553" s="35"/>
      <c r="V553" s="35"/>
      <c r="W553" s="35" t="s">
        <v>6647</v>
      </c>
      <c r="X553" s="35" t="s">
        <v>6648</v>
      </c>
      <c r="Y553" s="35" t="s">
        <v>6649</v>
      </c>
      <c r="Z553" s="35"/>
      <c r="AA553" s="35"/>
      <c r="AB553" s="35">
        <v>90750999</v>
      </c>
      <c r="AC553" s="35">
        <v>90750999011</v>
      </c>
      <c r="AD553" s="35"/>
      <c r="AE553" s="63">
        <v>5</v>
      </c>
      <c r="AF553" s="63" t="s">
        <v>772</v>
      </c>
      <c r="AG553" s="46" t="s">
        <v>66</v>
      </c>
      <c r="AH553" s="64">
        <v>80905</v>
      </c>
      <c r="AI553" s="65" t="s">
        <v>66</v>
      </c>
      <c r="AJ553" s="32" t="s">
        <v>6938</v>
      </c>
      <c r="AK553" s="33" t="s">
        <v>67</v>
      </c>
      <c r="AL553" s="58">
        <v>45583</v>
      </c>
      <c r="AM553" s="52" t="s">
        <v>66</v>
      </c>
      <c r="AN553" s="35"/>
      <c r="AO553" s="35"/>
      <c r="AP553" s="35"/>
      <c r="AQ553" s="37">
        <f t="shared" si="27"/>
        <v>1</v>
      </c>
      <c r="AR553" s="38">
        <f t="shared" si="28"/>
        <v>0</v>
      </c>
      <c r="AS553" s="39">
        <f t="shared" si="29"/>
        <v>1</v>
      </c>
      <c r="AT553" s="99" t="s">
        <v>602</v>
      </c>
      <c r="AU553" s="99" t="s">
        <v>6981</v>
      </c>
      <c r="AV553" s="99" t="s">
        <v>6982</v>
      </c>
      <c r="AW553" s="100">
        <v>45628</v>
      </c>
      <c r="AX553" s="99"/>
      <c r="AY553" s="101"/>
      <c r="AZ553" s="99"/>
      <c r="BA553" s="99" t="s">
        <v>1356</v>
      </c>
      <c r="BB553" s="99"/>
      <c r="BC553" s="101"/>
      <c r="BD553" s="99"/>
      <c r="BE553" s="101"/>
      <c r="BF553" s="99"/>
      <c r="BG553" s="99" t="s">
        <v>1356</v>
      </c>
      <c r="BH553" s="99"/>
      <c r="BI553" s="101"/>
      <c r="BJ553" s="99"/>
      <c r="BK553" s="101"/>
      <c r="BL553" s="99"/>
      <c r="BM553" s="99" t="s">
        <v>1356</v>
      </c>
      <c r="BN553" s="99"/>
      <c r="BO553" s="101"/>
      <c r="BP553" s="99"/>
      <c r="BQ553" s="101"/>
      <c r="BR553" s="99"/>
      <c r="BS553" s="99" t="s">
        <v>1356</v>
      </c>
      <c r="BT553" s="99"/>
      <c r="BU553" s="101"/>
      <c r="BV553" s="99"/>
      <c r="BW553" s="101"/>
      <c r="BX553" s="119"/>
      <c r="BY553" s="119" t="s">
        <v>1356</v>
      </c>
      <c r="BZ553" s="119"/>
      <c r="CA553" s="120"/>
      <c r="CB553" s="119"/>
      <c r="CC553" s="120"/>
      <c r="CD553" s="119"/>
      <c r="CE553" s="119" t="s">
        <v>1356</v>
      </c>
      <c r="CF553" s="119"/>
      <c r="CG553" s="120"/>
      <c r="CH553" s="119"/>
      <c r="CI553" s="120"/>
      <c r="CJ553" s="119"/>
      <c r="CK553" s="119" t="s">
        <v>1356</v>
      </c>
      <c r="CL553" s="119"/>
      <c r="CM553" s="120"/>
      <c r="CN553" s="119"/>
      <c r="CO553" s="120"/>
      <c r="CP553" s="119"/>
      <c r="CQ553" s="119" t="s">
        <v>1356</v>
      </c>
      <c r="CR553" s="119"/>
      <c r="CS553" s="120"/>
      <c r="CT553" s="119"/>
      <c r="CU553" s="120"/>
      <c r="CV553" s="119"/>
      <c r="CW553" s="119" t="s">
        <v>1356</v>
      </c>
      <c r="CX553" s="119"/>
      <c r="CY553" s="120"/>
      <c r="CZ553" s="119"/>
      <c r="DA553" s="120"/>
      <c r="DB553" s="52" t="s">
        <v>6962</v>
      </c>
      <c r="DC553" s="59" t="s">
        <v>105</v>
      </c>
    </row>
    <row r="554" spans="1:107" s="40" customFormat="1" x14ac:dyDescent="0.3">
      <c r="A554" s="35" t="s">
        <v>4219</v>
      </c>
      <c r="B554" s="35" t="s">
        <v>5610</v>
      </c>
      <c r="C554" s="35" t="s">
        <v>5611</v>
      </c>
      <c r="D554" s="35" t="s">
        <v>5612</v>
      </c>
      <c r="E554" s="35" t="s">
        <v>5613</v>
      </c>
      <c r="F554" s="35" t="s">
        <v>3036</v>
      </c>
      <c r="G554" s="35" t="s">
        <v>4237</v>
      </c>
      <c r="H554" s="27" t="s">
        <v>686</v>
      </c>
      <c r="I554" s="62">
        <v>901</v>
      </c>
      <c r="J554" s="62">
        <v>90157</v>
      </c>
      <c r="K554" s="63">
        <v>4</v>
      </c>
      <c r="L554" s="35" t="s">
        <v>5614</v>
      </c>
      <c r="M554" s="35" t="s">
        <v>258</v>
      </c>
      <c r="N554" s="35" t="s">
        <v>5615</v>
      </c>
      <c r="O554" s="35" t="s">
        <v>5514</v>
      </c>
      <c r="P554" s="35"/>
      <c r="Q554" s="35"/>
      <c r="R554" s="35" t="s">
        <v>60</v>
      </c>
      <c r="S554" s="35"/>
      <c r="T554" s="35"/>
      <c r="U554" s="35"/>
      <c r="V554" s="35"/>
      <c r="W554" s="35" t="s">
        <v>5616</v>
      </c>
      <c r="X554" s="35" t="s">
        <v>5617</v>
      </c>
      <c r="Y554" s="35" t="s">
        <v>5618</v>
      </c>
      <c r="Z554" s="35">
        <v>-79.858931999999996</v>
      </c>
      <c r="AA554" s="35">
        <v>-2.2873100000000002</v>
      </c>
      <c r="AB554" s="35">
        <v>90157999</v>
      </c>
      <c r="AC554" s="35">
        <v>90157999001</v>
      </c>
      <c r="AD554" s="35"/>
      <c r="AE554" s="63">
        <v>5</v>
      </c>
      <c r="AF554" s="63" t="s">
        <v>772</v>
      </c>
      <c r="AG554" s="29" t="s">
        <v>65</v>
      </c>
      <c r="AH554" s="75"/>
      <c r="AI554" s="65" t="s">
        <v>65</v>
      </c>
      <c r="AJ554" s="32" t="s">
        <v>6939</v>
      </c>
      <c r="AK554" s="33" t="s">
        <v>92</v>
      </c>
      <c r="AL554" s="34"/>
      <c r="AM554" s="35"/>
      <c r="AN554" s="35"/>
      <c r="AO554" s="35"/>
      <c r="AP554" s="35"/>
      <c r="AQ554" s="37">
        <f t="shared" si="27"/>
        <v>0</v>
      </c>
      <c r="AR554" s="38">
        <f t="shared" si="28"/>
        <v>0</v>
      </c>
      <c r="AS554" s="39">
        <f t="shared" si="29"/>
        <v>0</v>
      </c>
      <c r="AT554" s="99"/>
      <c r="AU554" s="99" t="s">
        <v>1356</v>
      </c>
      <c r="AV554" s="99"/>
      <c r="AW554" s="100"/>
      <c r="AX554" s="99"/>
      <c r="AY554" s="101"/>
      <c r="AZ554" s="99"/>
      <c r="BA554" s="99" t="s">
        <v>1356</v>
      </c>
      <c r="BB554" s="99"/>
      <c r="BC554" s="101"/>
      <c r="BD554" s="99"/>
      <c r="BE554" s="101"/>
      <c r="BF554" s="99"/>
      <c r="BG554" s="99" t="s">
        <v>1356</v>
      </c>
      <c r="BH554" s="99"/>
      <c r="BI554" s="101"/>
      <c r="BJ554" s="99"/>
      <c r="BK554" s="101"/>
      <c r="BL554" s="99"/>
      <c r="BM554" s="99" t="s">
        <v>1356</v>
      </c>
      <c r="BN554" s="99"/>
      <c r="BO554" s="101"/>
      <c r="BP554" s="99"/>
      <c r="BQ554" s="101"/>
      <c r="BR554" s="99"/>
      <c r="BS554" s="99" t="s">
        <v>1356</v>
      </c>
      <c r="BT554" s="99"/>
      <c r="BU554" s="101"/>
      <c r="BV554" s="99"/>
      <c r="BW554" s="101"/>
      <c r="BX554" s="119"/>
      <c r="BY554" s="119" t="s">
        <v>1356</v>
      </c>
      <c r="BZ554" s="119"/>
      <c r="CA554" s="120"/>
      <c r="CB554" s="119"/>
      <c r="CC554" s="120"/>
      <c r="CD554" s="119"/>
      <c r="CE554" s="119" t="s">
        <v>1356</v>
      </c>
      <c r="CF554" s="119"/>
      <c r="CG554" s="120"/>
      <c r="CH554" s="119"/>
      <c r="CI554" s="120"/>
      <c r="CJ554" s="119"/>
      <c r="CK554" s="119" t="s">
        <v>1356</v>
      </c>
      <c r="CL554" s="119"/>
      <c r="CM554" s="120"/>
      <c r="CN554" s="119"/>
      <c r="CO554" s="120"/>
      <c r="CP554" s="119"/>
      <c r="CQ554" s="119" t="s">
        <v>1356</v>
      </c>
      <c r="CR554" s="119"/>
      <c r="CS554" s="120"/>
      <c r="CT554" s="119"/>
      <c r="CU554" s="120"/>
      <c r="CV554" s="119"/>
      <c r="CW554" s="119" t="s">
        <v>1356</v>
      </c>
      <c r="CX554" s="119"/>
      <c r="CY554" s="120"/>
      <c r="CZ554" s="119"/>
      <c r="DA554" s="120"/>
      <c r="DB554" s="35"/>
      <c r="DC554" s="59"/>
    </row>
    <row r="555" spans="1:107" s="40" customFormat="1" ht="14.55" customHeight="1" x14ac:dyDescent="0.3">
      <c r="A555" s="42" t="s">
        <v>4219</v>
      </c>
      <c r="B555" s="42" t="s">
        <v>6650</v>
      </c>
      <c r="C555" s="42" t="s">
        <v>6651</v>
      </c>
      <c r="D555" s="42" t="s">
        <v>6652</v>
      </c>
      <c r="E555" s="42" t="s">
        <v>6652</v>
      </c>
      <c r="F555" s="42" t="s">
        <v>220</v>
      </c>
      <c r="G555" s="42" t="s">
        <v>4237</v>
      </c>
      <c r="H555" s="43" t="s">
        <v>686</v>
      </c>
      <c r="I555" s="44">
        <v>901</v>
      </c>
      <c r="J555" s="44">
        <v>90150</v>
      </c>
      <c r="K555" s="45">
        <v>4</v>
      </c>
      <c r="L555" s="42" t="s">
        <v>5407</v>
      </c>
      <c r="M555" s="42"/>
      <c r="N555" s="42" t="s">
        <v>810</v>
      </c>
      <c r="O555" s="42" t="s">
        <v>6653</v>
      </c>
      <c r="P555" s="42" t="s">
        <v>6654</v>
      </c>
      <c r="Q555" s="42"/>
      <c r="R555" s="42" t="s">
        <v>60</v>
      </c>
      <c r="S555" s="42"/>
      <c r="T555" s="42"/>
      <c r="U555" s="42" t="s">
        <v>6655</v>
      </c>
      <c r="V555" s="42" t="s">
        <v>6656</v>
      </c>
      <c r="W555" s="42" t="s">
        <v>6657</v>
      </c>
      <c r="X555" s="42" t="s">
        <v>6658</v>
      </c>
      <c r="Y555" s="42" t="s">
        <v>6659</v>
      </c>
      <c r="Z555" s="42"/>
      <c r="AA555" s="42"/>
      <c r="AB555" s="42">
        <v>90150999</v>
      </c>
      <c r="AC555" s="42">
        <v>90150999012</v>
      </c>
      <c r="AD555" s="42"/>
      <c r="AE555" s="45">
        <v>5</v>
      </c>
      <c r="AF555" s="45" t="s">
        <v>772</v>
      </c>
      <c r="AG555" s="46" t="s">
        <v>66</v>
      </c>
      <c r="AH555" s="47">
        <v>80775</v>
      </c>
      <c r="AI555" s="48" t="s">
        <v>66</v>
      </c>
      <c r="AJ555" s="49" t="s">
        <v>6938</v>
      </c>
      <c r="AK555" s="50" t="s">
        <v>67</v>
      </c>
      <c r="AL555" s="58">
        <v>45583</v>
      </c>
      <c r="AM555" s="52" t="s">
        <v>66</v>
      </c>
      <c r="AN555" s="42"/>
      <c r="AO555" s="42"/>
      <c r="AP555" s="42"/>
      <c r="AQ555" s="53">
        <f t="shared" si="27"/>
        <v>5</v>
      </c>
      <c r="AR555" s="54">
        <f t="shared" si="28"/>
        <v>0</v>
      </c>
      <c r="AS555" s="55">
        <f t="shared" si="29"/>
        <v>5</v>
      </c>
      <c r="AT555" s="96" t="s">
        <v>637</v>
      </c>
      <c r="AU555" s="96" t="s">
        <v>6729</v>
      </c>
      <c r="AV555" s="96" t="s">
        <v>6906</v>
      </c>
      <c r="AW555" s="97" t="s">
        <v>6907</v>
      </c>
      <c r="AX555" s="96" t="s">
        <v>6906</v>
      </c>
      <c r="AY555" s="98" t="s">
        <v>6907</v>
      </c>
      <c r="AZ555" s="96" t="s">
        <v>3066</v>
      </c>
      <c r="BA555" s="96" t="s">
        <v>3347</v>
      </c>
      <c r="BB555" s="96" t="s">
        <v>6908</v>
      </c>
      <c r="BC555" s="98" t="s">
        <v>6909</v>
      </c>
      <c r="BD555" s="96" t="s">
        <v>6908</v>
      </c>
      <c r="BE555" s="98" t="s">
        <v>6909</v>
      </c>
      <c r="BF555" s="96" t="s">
        <v>6910</v>
      </c>
      <c r="BG555" s="96" t="s">
        <v>6911</v>
      </c>
      <c r="BH555" s="96" t="s">
        <v>6912</v>
      </c>
      <c r="BI555" s="98" t="s">
        <v>6909</v>
      </c>
      <c r="BJ555" s="96" t="s">
        <v>6912</v>
      </c>
      <c r="BK555" s="98" t="s">
        <v>6909</v>
      </c>
      <c r="BL555" s="96" t="s">
        <v>637</v>
      </c>
      <c r="BM555" s="96" t="s">
        <v>6729</v>
      </c>
      <c r="BN555" s="96" t="s">
        <v>6913</v>
      </c>
      <c r="BO555" s="98" t="s">
        <v>6909</v>
      </c>
      <c r="BP555" s="96" t="s">
        <v>6913</v>
      </c>
      <c r="BQ555" s="98" t="s">
        <v>6909</v>
      </c>
      <c r="BR555" s="96" t="s">
        <v>636</v>
      </c>
      <c r="BS555" s="96" t="s">
        <v>3354</v>
      </c>
      <c r="BT555" s="96" t="s">
        <v>6914</v>
      </c>
      <c r="BU555" s="98" t="s">
        <v>6909</v>
      </c>
      <c r="BV555" s="96" t="s">
        <v>6914</v>
      </c>
      <c r="BW555" s="98" t="s">
        <v>6909</v>
      </c>
      <c r="BX555" s="117"/>
      <c r="BY555" s="117" t="s">
        <v>1356</v>
      </c>
      <c r="BZ555" s="117"/>
      <c r="CA555" s="118"/>
      <c r="CB555" s="117"/>
      <c r="CC555" s="118"/>
      <c r="CD555" s="117"/>
      <c r="CE555" s="117" t="s">
        <v>1356</v>
      </c>
      <c r="CF555" s="117"/>
      <c r="CG555" s="118"/>
      <c r="CH555" s="117"/>
      <c r="CI555" s="118"/>
      <c r="CJ555" s="117"/>
      <c r="CK555" s="117" t="s">
        <v>1356</v>
      </c>
      <c r="CL555" s="117"/>
      <c r="CM555" s="118"/>
      <c r="CN555" s="117"/>
      <c r="CO555" s="118"/>
      <c r="CP555" s="117"/>
      <c r="CQ555" s="117" t="s">
        <v>1356</v>
      </c>
      <c r="CR555" s="117"/>
      <c r="CS555" s="118"/>
      <c r="CT555" s="117"/>
      <c r="CU555" s="118"/>
      <c r="CV555" s="117"/>
      <c r="CW555" s="117" t="s">
        <v>1356</v>
      </c>
      <c r="CX555" s="117"/>
      <c r="CY555" s="118"/>
      <c r="CZ555" s="117"/>
      <c r="DA555" s="118"/>
      <c r="DB555" s="52" t="s">
        <v>6962</v>
      </c>
      <c r="DC555" s="57" t="s">
        <v>105</v>
      </c>
    </row>
    <row r="556" spans="1:107" s="40" customFormat="1" ht="14.55" customHeight="1" x14ac:dyDescent="0.3">
      <c r="A556" s="42" t="s">
        <v>4219</v>
      </c>
      <c r="B556" s="42" t="s">
        <v>6668</v>
      </c>
      <c r="C556" s="42" t="s">
        <v>6669</v>
      </c>
      <c r="D556" s="42" t="s">
        <v>6670</v>
      </c>
      <c r="E556" s="42" t="s">
        <v>6671</v>
      </c>
      <c r="F556" s="42" t="s">
        <v>220</v>
      </c>
      <c r="G556" s="42" t="s">
        <v>4237</v>
      </c>
      <c r="H556" s="43" t="s">
        <v>686</v>
      </c>
      <c r="I556" s="44">
        <v>901</v>
      </c>
      <c r="J556" s="44">
        <v>90150</v>
      </c>
      <c r="K556" s="45">
        <v>4</v>
      </c>
      <c r="L556" s="42" t="s">
        <v>6672</v>
      </c>
      <c r="M556" s="42"/>
      <c r="N556" s="42" t="s">
        <v>4265</v>
      </c>
      <c r="O556" s="42" t="s">
        <v>1319</v>
      </c>
      <c r="P556" s="42"/>
      <c r="Q556" s="42" t="s">
        <v>6673</v>
      </c>
      <c r="R556" s="42" t="s">
        <v>60</v>
      </c>
      <c r="S556" s="42"/>
      <c r="T556" s="42"/>
      <c r="U556" s="42"/>
      <c r="V556" s="42"/>
      <c r="W556" s="42" t="s">
        <v>6674</v>
      </c>
      <c r="X556" s="42" t="s">
        <v>6675</v>
      </c>
      <c r="Y556" s="42" t="s">
        <v>6676</v>
      </c>
      <c r="Z556" s="42">
        <v>-79.949083999999999</v>
      </c>
      <c r="AA556" s="42">
        <v>-2.1195889999999999</v>
      </c>
      <c r="AB556" s="42">
        <v>90150519</v>
      </c>
      <c r="AC556" s="42">
        <v>90150519008</v>
      </c>
      <c r="AD556" s="42">
        <v>90150519008002</v>
      </c>
      <c r="AE556" s="45">
        <v>5</v>
      </c>
      <c r="AF556" s="45" t="s">
        <v>772</v>
      </c>
      <c r="AG556" s="46" t="s">
        <v>66</v>
      </c>
      <c r="AH556" s="47" t="s">
        <v>6677</v>
      </c>
      <c r="AI556" s="48" t="s">
        <v>66</v>
      </c>
      <c r="AJ556" s="49" t="s">
        <v>6938</v>
      </c>
      <c r="AK556" s="50" t="s">
        <v>67</v>
      </c>
      <c r="AL556" s="58">
        <v>45583</v>
      </c>
      <c r="AM556" s="52" t="s">
        <v>66</v>
      </c>
      <c r="AN556" s="42"/>
      <c r="AO556" s="42"/>
      <c r="AP556" s="42"/>
      <c r="AQ556" s="53">
        <f t="shared" si="27"/>
        <v>4</v>
      </c>
      <c r="AR556" s="54">
        <f t="shared" si="28"/>
        <v>0</v>
      </c>
      <c r="AS556" s="55">
        <f t="shared" si="29"/>
        <v>4</v>
      </c>
      <c r="AT556" s="96" t="s">
        <v>636</v>
      </c>
      <c r="AU556" s="96" t="s">
        <v>3354</v>
      </c>
      <c r="AV556" s="96" t="s">
        <v>6915</v>
      </c>
      <c r="AW556" s="97" t="s">
        <v>6916</v>
      </c>
      <c r="AX556" s="96" t="s">
        <v>6915</v>
      </c>
      <c r="AY556" s="98" t="s">
        <v>6916</v>
      </c>
      <c r="AZ556" s="96" t="s">
        <v>1211</v>
      </c>
      <c r="BA556" s="96" t="s">
        <v>3344</v>
      </c>
      <c r="BB556" s="96" t="s">
        <v>6917</v>
      </c>
      <c r="BC556" s="98" t="s">
        <v>6918</v>
      </c>
      <c r="BD556" s="96" t="s">
        <v>6917</v>
      </c>
      <c r="BE556" s="98" t="s">
        <v>6918</v>
      </c>
      <c r="BF556" s="96" t="s">
        <v>637</v>
      </c>
      <c r="BG556" s="96" t="s">
        <v>6729</v>
      </c>
      <c r="BH556" s="96" t="s">
        <v>6919</v>
      </c>
      <c r="BI556" s="98" t="s">
        <v>6918</v>
      </c>
      <c r="BJ556" s="96" t="s">
        <v>6919</v>
      </c>
      <c r="BK556" s="98" t="s">
        <v>6918</v>
      </c>
      <c r="BL556" s="96" t="s">
        <v>661</v>
      </c>
      <c r="BM556" s="96" t="s">
        <v>1761</v>
      </c>
      <c r="BN556" s="96" t="s">
        <v>6920</v>
      </c>
      <c r="BO556" s="98" t="s">
        <v>6918</v>
      </c>
      <c r="BP556" s="96" t="s">
        <v>6920</v>
      </c>
      <c r="BQ556" s="98" t="s">
        <v>6918</v>
      </c>
      <c r="BR556" s="96"/>
      <c r="BS556" s="96" t="s">
        <v>1356</v>
      </c>
      <c r="BT556" s="96"/>
      <c r="BU556" s="98"/>
      <c r="BV556" s="96"/>
      <c r="BW556" s="98"/>
      <c r="BX556" s="117"/>
      <c r="BY556" s="117" t="s">
        <v>1356</v>
      </c>
      <c r="BZ556" s="117"/>
      <c r="CA556" s="118"/>
      <c r="CB556" s="117"/>
      <c r="CC556" s="118"/>
      <c r="CD556" s="117"/>
      <c r="CE556" s="117" t="s">
        <v>1356</v>
      </c>
      <c r="CF556" s="117"/>
      <c r="CG556" s="118"/>
      <c r="CH556" s="117"/>
      <c r="CI556" s="118"/>
      <c r="CJ556" s="117"/>
      <c r="CK556" s="117" t="s">
        <v>1356</v>
      </c>
      <c r="CL556" s="117"/>
      <c r="CM556" s="118"/>
      <c r="CN556" s="117"/>
      <c r="CO556" s="118"/>
      <c r="CP556" s="117"/>
      <c r="CQ556" s="117" t="s">
        <v>1356</v>
      </c>
      <c r="CR556" s="117"/>
      <c r="CS556" s="118"/>
      <c r="CT556" s="117"/>
      <c r="CU556" s="118"/>
      <c r="CV556" s="117"/>
      <c r="CW556" s="117" t="s">
        <v>1356</v>
      </c>
      <c r="CX556" s="117"/>
      <c r="CY556" s="118"/>
      <c r="CZ556" s="117"/>
      <c r="DA556" s="118"/>
      <c r="DB556" s="52" t="s">
        <v>6962</v>
      </c>
      <c r="DC556" s="57" t="s">
        <v>105</v>
      </c>
    </row>
    <row r="557" spans="1:107" s="40" customFormat="1" ht="14.55" customHeight="1" x14ac:dyDescent="0.3">
      <c r="A557" s="66" t="s">
        <v>3500</v>
      </c>
      <c r="B557" s="66" t="s">
        <v>3866</v>
      </c>
      <c r="C557" s="66" t="s">
        <v>3867</v>
      </c>
      <c r="D557" s="66" t="s">
        <v>1847</v>
      </c>
      <c r="E557" s="66" t="s">
        <v>1848</v>
      </c>
      <c r="F557" s="66" t="s">
        <v>220</v>
      </c>
      <c r="G557" s="68" t="s">
        <v>72</v>
      </c>
      <c r="H557" s="43" t="s">
        <v>251</v>
      </c>
      <c r="I557" s="68">
        <v>1701</v>
      </c>
      <c r="J557" s="68">
        <v>170155</v>
      </c>
      <c r="K557" s="69">
        <v>4</v>
      </c>
      <c r="L557" s="66" t="s">
        <v>1849</v>
      </c>
      <c r="M557" s="66" t="s">
        <v>258</v>
      </c>
      <c r="N557" s="66" t="s">
        <v>1017</v>
      </c>
      <c r="O557" s="66"/>
      <c r="P557" s="66"/>
      <c r="Q557" s="66"/>
      <c r="R557" s="66" t="s">
        <v>60</v>
      </c>
      <c r="S557" s="66"/>
      <c r="T557" s="66"/>
      <c r="U557" s="66"/>
      <c r="V557" s="66"/>
      <c r="W557" s="66" t="s">
        <v>1850</v>
      </c>
      <c r="X557" s="66" t="s">
        <v>1851</v>
      </c>
      <c r="Y557" s="66" t="s">
        <v>1852</v>
      </c>
      <c r="Z557" s="66">
        <v>-78.434907999999993</v>
      </c>
      <c r="AA557" s="66">
        <v>-0.10838299999999999</v>
      </c>
      <c r="AB557" s="66">
        <v>170155043</v>
      </c>
      <c r="AC557" s="66">
        <v>170155043003</v>
      </c>
      <c r="AD557" s="66">
        <v>170155043003001</v>
      </c>
      <c r="AE557" s="69">
        <v>5</v>
      </c>
      <c r="AF557" s="69" t="s">
        <v>772</v>
      </c>
      <c r="AG557" s="46" t="s">
        <v>66</v>
      </c>
      <c r="AH557" s="70" t="s">
        <v>6946</v>
      </c>
      <c r="AI557" s="71" t="s">
        <v>66</v>
      </c>
      <c r="AJ557" s="49" t="s">
        <v>6938</v>
      </c>
      <c r="AK557" s="50" t="s">
        <v>67</v>
      </c>
      <c r="AL557" s="58">
        <v>45585</v>
      </c>
      <c r="AM557" s="52" t="s">
        <v>66</v>
      </c>
      <c r="AN557" s="52"/>
      <c r="AO557" s="52"/>
      <c r="AP557" s="52"/>
      <c r="AQ557" s="53">
        <f t="shared" si="27"/>
        <v>1</v>
      </c>
      <c r="AR557" s="54">
        <f t="shared" si="28"/>
        <v>0</v>
      </c>
      <c r="AS557" s="55">
        <f t="shared" si="29"/>
        <v>1</v>
      </c>
      <c r="AT557" s="102" t="s">
        <v>1212</v>
      </c>
      <c r="AU557" s="103" t="s">
        <v>1853</v>
      </c>
      <c r="AV557" s="104">
        <v>2.0499999999999998</v>
      </c>
      <c r="AW557" s="105">
        <v>45585</v>
      </c>
      <c r="AX557" s="104"/>
      <c r="AY557" s="106"/>
      <c r="AZ557" s="102"/>
      <c r="BA557" s="103" t="s">
        <v>1356</v>
      </c>
      <c r="BB557" s="104"/>
      <c r="BC557" s="106"/>
      <c r="BD557" s="104"/>
      <c r="BE557" s="106"/>
      <c r="BF557" s="102"/>
      <c r="BG557" s="103" t="s">
        <v>1356</v>
      </c>
      <c r="BH557" s="104"/>
      <c r="BI557" s="106"/>
      <c r="BJ557" s="104"/>
      <c r="BK557" s="106"/>
      <c r="BL557" s="102"/>
      <c r="BM557" s="103" t="s">
        <v>1356</v>
      </c>
      <c r="BN557" s="104"/>
      <c r="BO557" s="106"/>
      <c r="BP557" s="104"/>
      <c r="BQ557" s="106"/>
      <c r="BR557" s="102"/>
      <c r="BS557" s="103" t="s">
        <v>1356</v>
      </c>
      <c r="BT557" s="104"/>
      <c r="BU557" s="106"/>
      <c r="BV557" s="104"/>
      <c r="BW557" s="106"/>
      <c r="BX557" s="121"/>
      <c r="BY557" s="122" t="s">
        <v>1356</v>
      </c>
      <c r="BZ557" s="123"/>
      <c r="CA557" s="124"/>
      <c r="CB557" s="123"/>
      <c r="CC557" s="124"/>
      <c r="CD557" s="121"/>
      <c r="CE557" s="122" t="s">
        <v>1356</v>
      </c>
      <c r="CF557" s="123"/>
      <c r="CG557" s="124"/>
      <c r="CH557" s="123"/>
      <c r="CI557" s="124"/>
      <c r="CJ557" s="121"/>
      <c r="CK557" s="122" t="s">
        <v>1356</v>
      </c>
      <c r="CL557" s="123"/>
      <c r="CM557" s="124"/>
      <c r="CN557" s="123"/>
      <c r="CO557" s="124"/>
      <c r="CP557" s="121"/>
      <c r="CQ557" s="122" t="s">
        <v>1356</v>
      </c>
      <c r="CR557" s="123"/>
      <c r="CS557" s="124"/>
      <c r="CT557" s="123"/>
      <c r="CU557" s="124"/>
      <c r="CV557" s="121"/>
      <c r="CW557" s="122" t="s">
        <v>1356</v>
      </c>
      <c r="CX557" s="123"/>
      <c r="CY557" s="124"/>
      <c r="CZ557" s="123"/>
      <c r="DA557" s="124"/>
      <c r="DB557" s="52" t="s">
        <v>6962</v>
      </c>
      <c r="DC557" s="73" t="s">
        <v>105</v>
      </c>
    </row>
    <row r="558" spans="1:107" s="40" customFormat="1" x14ac:dyDescent="0.3">
      <c r="A558" s="35" t="s">
        <v>4219</v>
      </c>
      <c r="B558" s="35" t="s">
        <v>5646</v>
      </c>
      <c r="C558" s="35" t="s">
        <v>5647</v>
      </c>
      <c r="D558" s="35" t="s">
        <v>5648</v>
      </c>
      <c r="E558" s="35" t="s">
        <v>5649</v>
      </c>
      <c r="F558" s="35" t="s">
        <v>1752</v>
      </c>
      <c r="G558" s="35" t="s">
        <v>4237</v>
      </c>
      <c r="H558" s="27" t="s">
        <v>686</v>
      </c>
      <c r="I558" s="62">
        <v>901</v>
      </c>
      <c r="J558" s="62">
        <v>90150</v>
      </c>
      <c r="K558" s="63">
        <v>4</v>
      </c>
      <c r="L558" s="35" t="s">
        <v>5650</v>
      </c>
      <c r="M558" s="35" t="s">
        <v>258</v>
      </c>
      <c r="N558" s="35" t="s">
        <v>5651</v>
      </c>
      <c r="O558" s="35" t="s">
        <v>4655</v>
      </c>
      <c r="P558" s="35"/>
      <c r="Q558" s="35" t="s">
        <v>5652</v>
      </c>
      <c r="R558" s="35" t="s">
        <v>60</v>
      </c>
      <c r="S558" s="35"/>
      <c r="T558" s="35" t="s">
        <v>4940</v>
      </c>
      <c r="U558" s="35"/>
      <c r="V558" s="35"/>
      <c r="W558" s="35" t="s">
        <v>5653</v>
      </c>
      <c r="X558" s="35" t="s">
        <v>5654</v>
      </c>
      <c r="Y558" s="35" t="s">
        <v>5655</v>
      </c>
      <c r="Z558" s="35"/>
      <c r="AA558" s="35"/>
      <c r="AB558" s="35">
        <v>90150517</v>
      </c>
      <c r="AC558" s="35">
        <v>90150517006</v>
      </c>
      <c r="AD558" s="35">
        <v>90150517006034</v>
      </c>
      <c r="AE558" s="63">
        <v>5</v>
      </c>
      <c r="AF558" s="63" t="s">
        <v>772</v>
      </c>
      <c r="AG558" s="29" t="s">
        <v>65</v>
      </c>
      <c r="AH558" s="75"/>
      <c r="AI558" s="65" t="s">
        <v>65</v>
      </c>
      <c r="AJ558" s="32" t="s">
        <v>6939</v>
      </c>
      <c r="AK558" s="33" t="s">
        <v>92</v>
      </c>
      <c r="AL558" s="34"/>
      <c r="AM558" s="35"/>
      <c r="AN558" s="35"/>
      <c r="AO558" s="35"/>
      <c r="AP558" s="35"/>
      <c r="AQ558" s="37">
        <f t="shared" si="27"/>
        <v>0</v>
      </c>
      <c r="AR558" s="38">
        <f t="shared" si="28"/>
        <v>0</v>
      </c>
      <c r="AS558" s="39">
        <f t="shared" si="29"/>
        <v>0</v>
      </c>
      <c r="AT558" s="99"/>
      <c r="AU558" s="99" t="s">
        <v>1356</v>
      </c>
      <c r="AV558" s="99"/>
      <c r="AW558" s="100"/>
      <c r="AX558" s="99"/>
      <c r="AY558" s="101"/>
      <c r="AZ558" s="99"/>
      <c r="BA558" s="99" t="s">
        <v>1356</v>
      </c>
      <c r="BB558" s="99"/>
      <c r="BC558" s="101"/>
      <c r="BD558" s="99"/>
      <c r="BE558" s="101"/>
      <c r="BF558" s="99"/>
      <c r="BG558" s="99" t="s">
        <v>1356</v>
      </c>
      <c r="BH558" s="99"/>
      <c r="BI558" s="101"/>
      <c r="BJ558" s="99"/>
      <c r="BK558" s="101"/>
      <c r="BL558" s="99"/>
      <c r="BM558" s="99" t="s">
        <v>1356</v>
      </c>
      <c r="BN558" s="99"/>
      <c r="BO558" s="101"/>
      <c r="BP558" s="99"/>
      <c r="BQ558" s="101"/>
      <c r="BR558" s="99"/>
      <c r="BS558" s="99" t="s">
        <v>1356</v>
      </c>
      <c r="BT558" s="99"/>
      <c r="BU558" s="101"/>
      <c r="BV558" s="99"/>
      <c r="BW558" s="101"/>
      <c r="BX558" s="119"/>
      <c r="BY558" s="119" t="s">
        <v>1356</v>
      </c>
      <c r="BZ558" s="119"/>
      <c r="CA558" s="120"/>
      <c r="CB558" s="119"/>
      <c r="CC558" s="120"/>
      <c r="CD558" s="119"/>
      <c r="CE558" s="119" t="s">
        <v>1356</v>
      </c>
      <c r="CF558" s="119"/>
      <c r="CG558" s="120"/>
      <c r="CH558" s="119"/>
      <c r="CI558" s="120"/>
      <c r="CJ558" s="119"/>
      <c r="CK558" s="119" t="s">
        <v>1356</v>
      </c>
      <c r="CL558" s="119"/>
      <c r="CM558" s="120"/>
      <c r="CN558" s="119"/>
      <c r="CO558" s="120"/>
      <c r="CP558" s="119"/>
      <c r="CQ558" s="119" t="s">
        <v>1356</v>
      </c>
      <c r="CR558" s="119"/>
      <c r="CS558" s="120"/>
      <c r="CT558" s="119"/>
      <c r="CU558" s="120"/>
      <c r="CV558" s="119"/>
      <c r="CW558" s="119" t="s">
        <v>1356</v>
      </c>
      <c r="CX558" s="119"/>
      <c r="CY558" s="120"/>
      <c r="CZ558" s="119"/>
      <c r="DA558" s="120"/>
      <c r="DB558" s="35"/>
      <c r="DC558" s="59"/>
    </row>
    <row r="559" spans="1:107" s="40" customFormat="1" ht="14.55" customHeight="1" x14ac:dyDescent="0.3">
      <c r="A559" s="35" t="s">
        <v>4219</v>
      </c>
      <c r="B559" s="35" t="s">
        <v>5656</v>
      </c>
      <c r="C559" s="35" t="s">
        <v>5657</v>
      </c>
      <c r="D559" s="35" t="s">
        <v>5658</v>
      </c>
      <c r="E559" s="35" t="s">
        <v>70</v>
      </c>
      <c r="F559" s="35" t="s">
        <v>81</v>
      </c>
      <c r="G559" s="35" t="s">
        <v>4484</v>
      </c>
      <c r="H559" s="27" t="s">
        <v>6936</v>
      </c>
      <c r="I559" s="62">
        <v>1205</v>
      </c>
      <c r="J559" s="62">
        <v>120550</v>
      </c>
      <c r="K559" s="63">
        <v>4</v>
      </c>
      <c r="L559" s="35" t="s">
        <v>3497</v>
      </c>
      <c r="M559" s="35"/>
      <c r="N559" s="35" t="s">
        <v>5659</v>
      </c>
      <c r="O559" s="35" t="s">
        <v>5660</v>
      </c>
      <c r="P559" s="35"/>
      <c r="Q559" s="35"/>
      <c r="R559" s="35"/>
      <c r="S559" s="35"/>
      <c r="T559" s="35" t="s">
        <v>5661</v>
      </c>
      <c r="U559" s="35"/>
      <c r="V559" s="35"/>
      <c r="W559" s="35" t="s">
        <v>5662</v>
      </c>
      <c r="X559" s="35"/>
      <c r="Y559" s="35" t="s">
        <v>5663</v>
      </c>
      <c r="Z559" s="35">
        <v>-79.480678999999995</v>
      </c>
      <c r="AA559" s="35">
        <v>-1.046011</v>
      </c>
      <c r="AB559" s="35">
        <v>120550041</v>
      </c>
      <c r="AC559" s="35">
        <v>120550041002</v>
      </c>
      <c r="AD559" s="35">
        <v>120550041002008</v>
      </c>
      <c r="AE559" s="63">
        <v>5</v>
      </c>
      <c r="AF559" s="63" t="s">
        <v>772</v>
      </c>
      <c r="AG559" s="29" t="s">
        <v>65</v>
      </c>
      <c r="AH559" s="75"/>
      <c r="AI559" s="65" t="s">
        <v>65</v>
      </c>
      <c r="AJ559" s="32" t="s">
        <v>6938</v>
      </c>
      <c r="AK559" s="33" t="s">
        <v>92</v>
      </c>
      <c r="AL559" s="34">
        <v>45574</v>
      </c>
      <c r="AM559" s="35"/>
      <c r="AN559" s="35"/>
      <c r="AO559" s="35"/>
      <c r="AP559" s="35"/>
      <c r="AQ559" s="37">
        <f t="shared" si="27"/>
        <v>0</v>
      </c>
      <c r="AR559" s="38">
        <f t="shared" si="28"/>
        <v>0</v>
      </c>
      <c r="AS559" s="39">
        <f t="shared" si="29"/>
        <v>0</v>
      </c>
      <c r="AT559" s="99"/>
      <c r="AU559" s="99" t="s">
        <v>1356</v>
      </c>
      <c r="AV559" s="99"/>
      <c r="AW559" s="100"/>
      <c r="AX559" s="99"/>
      <c r="AY559" s="101"/>
      <c r="AZ559" s="99"/>
      <c r="BA559" s="99" t="s">
        <v>1356</v>
      </c>
      <c r="BB559" s="99"/>
      <c r="BC559" s="101"/>
      <c r="BD559" s="99"/>
      <c r="BE559" s="101"/>
      <c r="BF559" s="99"/>
      <c r="BG559" s="99" t="s">
        <v>1356</v>
      </c>
      <c r="BH559" s="99"/>
      <c r="BI559" s="101"/>
      <c r="BJ559" s="99"/>
      <c r="BK559" s="101"/>
      <c r="BL559" s="99"/>
      <c r="BM559" s="99" t="s">
        <v>1356</v>
      </c>
      <c r="BN559" s="99"/>
      <c r="BO559" s="101"/>
      <c r="BP559" s="99"/>
      <c r="BQ559" s="101"/>
      <c r="BR559" s="99"/>
      <c r="BS559" s="99" t="s">
        <v>1356</v>
      </c>
      <c r="BT559" s="99"/>
      <c r="BU559" s="101"/>
      <c r="BV559" s="99"/>
      <c r="BW559" s="101"/>
      <c r="BX559" s="119"/>
      <c r="BY559" s="119" t="s">
        <v>1356</v>
      </c>
      <c r="BZ559" s="119"/>
      <c r="CA559" s="120"/>
      <c r="CB559" s="119"/>
      <c r="CC559" s="120"/>
      <c r="CD559" s="119"/>
      <c r="CE559" s="119" t="s">
        <v>1356</v>
      </c>
      <c r="CF559" s="119"/>
      <c r="CG559" s="120"/>
      <c r="CH559" s="119"/>
      <c r="CI559" s="120"/>
      <c r="CJ559" s="119"/>
      <c r="CK559" s="119" t="s">
        <v>1356</v>
      </c>
      <c r="CL559" s="119"/>
      <c r="CM559" s="120"/>
      <c r="CN559" s="119"/>
      <c r="CO559" s="120"/>
      <c r="CP559" s="119"/>
      <c r="CQ559" s="119" t="s">
        <v>1356</v>
      </c>
      <c r="CR559" s="119"/>
      <c r="CS559" s="120"/>
      <c r="CT559" s="119"/>
      <c r="CU559" s="120"/>
      <c r="CV559" s="119"/>
      <c r="CW559" s="119" t="s">
        <v>1356</v>
      </c>
      <c r="CX559" s="119"/>
      <c r="CY559" s="120"/>
      <c r="CZ559" s="119"/>
      <c r="DA559" s="120"/>
      <c r="DB559" s="36" t="s">
        <v>7085</v>
      </c>
      <c r="DC559" s="59" t="s">
        <v>92</v>
      </c>
    </row>
    <row r="560" spans="1:107" s="40" customFormat="1" ht="14.55" customHeight="1" x14ac:dyDescent="0.3">
      <c r="A560" s="42" t="s">
        <v>4219</v>
      </c>
      <c r="B560" s="42" t="s">
        <v>5909</v>
      </c>
      <c r="C560" s="42" t="s">
        <v>5910</v>
      </c>
      <c r="D560" s="42" t="s">
        <v>5911</v>
      </c>
      <c r="E560" s="42" t="s">
        <v>5912</v>
      </c>
      <c r="F560" s="42" t="s">
        <v>439</v>
      </c>
      <c r="G560" s="42" t="s">
        <v>4237</v>
      </c>
      <c r="H560" s="43" t="s">
        <v>686</v>
      </c>
      <c r="I560" s="44">
        <v>901</v>
      </c>
      <c r="J560" s="44">
        <v>90150</v>
      </c>
      <c r="K560" s="45">
        <v>4</v>
      </c>
      <c r="L560" s="42" t="s">
        <v>4483</v>
      </c>
      <c r="M560" s="42" t="s">
        <v>258</v>
      </c>
      <c r="N560" s="42" t="s">
        <v>5913</v>
      </c>
      <c r="O560" s="42" t="s">
        <v>5728</v>
      </c>
      <c r="P560" s="42"/>
      <c r="Q560" s="42" t="s">
        <v>5914</v>
      </c>
      <c r="R560" s="42"/>
      <c r="S560" s="42"/>
      <c r="T560" s="42"/>
      <c r="U560" s="42"/>
      <c r="V560" s="42" t="s">
        <v>5915</v>
      </c>
      <c r="W560" s="42" t="s">
        <v>5916</v>
      </c>
      <c r="X560" s="42" t="s">
        <v>5917</v>
      </c>
      <c r="Y560" s="42" t="s">
        <v>5918</v>
      </c>
      <c r="Z560" s="42"/>
      <c r="AA560" s="42"/>
      <c r="AB560" s="42">
        <v>90150517</v>
      </c>
      <c r="AC560" s="42">
        <v>90150517006</v>
      </c>
      <c r="AD560" s="42">
        <v>90150517006018</v>
      </c>
      <c r="AE560" s="45">
        <v>5</v>
      </c>
      <c r="AF560" s="45" t="s">
        <v>772</v>
      </c>
      <c r="AG560" s="46" t="s">
        <v>66</v>
      </c>
      <c r="AH560" s="47" t="s">
        <v>5919</v>
      </c>
      <c r="AI560" s="48" t="s">
        <v>66</v>
      </c>
      <c r="AJ560" s="49" t="s">
        <v>6938</v>
      </c>
      <c r="AK560" s="50" t="s">
        <v>67</v>
      </c>
      <c r="AL560" s="58">
        <v>45585</v>
      </c>
      <c r="AM560" s="52" t="s">
        <v>66</v>
      </c>
      <c r="AN560" s="42"/>
      <c r="AO560" s="42"/>
      <c r="AP560" s="42"/>
      <c r="AQ560" s="53">
        <f t="shared" si="27"/>
        <v>5</v>
      </c>
      <c r="AR560" s="54">
        <f t="shared" si="28"/>
        <v>0</v>
      </c>
      <c r="AS560" s="55">
        <f t="shared" si="29"/>
        <v>5</v>
      </c>
      <c r="AT560" s="96" t="s">
        <v>2248</v>
      </c>
      <c r="AU560" s="96" t="s">
        <v>2249</v>
      </c>
      <c r="AV560" s="96" t="s">
        <v>6813</v>
      </c>
      <c r="AW560" s="97" t="s">
        <v>6814</v>
      </c>
      <c r="AX560" s="96" t="s">
        <v>6813</v>
      </c>
      <c r="AY560" s="98" t="s">
        <v>6814</v>
      </c>
      <c r="AZ560" s="96" t="s">
        <v>793</v>
      </c>
      <c r="BA560" s="96" t="s">
        <v>6694</v>
      </c>
      <c r="BB560" s="96" t="s">
        <v>6815</v>
      </c>
      <c r="BC560" s="98" t="s">
        <v>6816</v>
      </c>
      <c r="BD560" s="96" t="s">
        <v>6815</v>
      </c>
      <c r="BE560" s="98" t="s">
        <v>6816</v>
      </c>
      <c r="BF560" s="96" t="s">
        <v>673</v>
      </c>
      <c r="BG560" s="96" t="s">
        <v>2250</v>
      </c>
      <c r="BH560" s="96" t="s">
        <v>6817</v>
      </c>
      <c r="BI560" s="98" t="s">
        <v>6818</v>
      </c>
      <c r="BJ560" s="96" t="s">
        <v>6817</v>
      </c>
      <c r="BK560" s="98" t="s">
        <v>6816</v>
      </c>
      <c r="BL560" s="96" t="s">
        <v>2248</v>
      </c>
      <c r="BM560" s="96" t="s">
        <v>2249</v>
      </c>
      <c r="BN560" s="96" t="s">
        <v>6819</v>
      </c>
      <c r="BO560" s="98" t="s">
        <v>6816</v>
      </c>
      <c r="BP560" s="96" t="s">
        <v>6819</v>
      </c>
      <c r="BQ560" s="98" t="s">
        <v>6816</v>
      </c>
      <c r="BR560" s="96" t="s">
        <v>986</v>
      </c>
      <c r="BS560" s="96" t="s">
        <v>6709</v>
      </c>
      <c r="BT560" s="96" t="s">
        <v>6820</v>
      </c>
      <c r="BU560" s="98" t="s">
        <v>6816</v>
      </c>
      <c r="BV560" s="96" t="s">
        <v>6820</v>
      </c>
      <c r="BW560" s="98" t="s">
        <v>6816</v>
      </c>
      <c r="BX560" s="117"/>
      <c r="BY560" s="117" t="s">
        <v>1356</v>
      </c>
      <c r="BZ560" s="117"/>
      <c r="CA560" s="118"/>
      <c r="CB560" s="117"/>
      <c r="CC560" s="118"/>
      <c r="CD560" s="117"/>
      <c r="CE560" s="117" t="s">
        <v>1356</v>
      </c>
      <c r="CF560" s="117"/>
      <c r="CG560" s="118"/>
      <c r="CH560" s="117"/>
      <c r="CI560" s="118"/>
      <c r="CJ560" s="117"/>
      <c r="CK560" s="117" t="s">
        <v>1356</v>
      </c>
      <c r="CL560" s="117"/>
      <c r="CM560" s="118"/>
      <c r="CN560" s="117"/>
      <c r="CO560" s="118"/>
      <c r="CP560" s="117"/>
      <c r="CQ560" s="117" t="s">
        <v>1356</v>
      </c>
      <c r="CR560" s="117"/>
      <c r="CS560" s="118"/>
      <c r="CT560" s="117"/>
      <c r="CU560" s="118"/>
      <c r="CV560" s="117"/>
      <c r="CW560" s="117" t="s">
        <v>1356</v>
      </c>
      <c r="CX560" s="117"/>
      <c r="CY560" s="118"/>
      <c r="CZ560" s="117"/>
      <c r="DA560" s="118"/>
      <c r="DB560" s="52" t="s">
        <v>6962</v>
      </c>
      <c r="DC560" s="57" t="s">
        <v>105</v>
      </c>
    </row>
    <row r="561" spans="1:107" s="40" customFormat="1" x14ac:dyDescent="0.3">
      <c r="A561" s="35" t="s">
        <v>4219</v>
      </c>
      <c r="B561" s="35" t="s">
        <v>5672</v>
      </c>
      <c r="C561" s="35" t="s">
        <v>5673</v>
      </c>
      <c r="D561" s="35" t="s">
        <v>5674</v>
      </c>
      <c r="E561" s="35" t="s">
        <v>5675</v>
      </c>
      <c r="F561" s="35" t="s">
        <v>3036</v>
      </c>
      <c r="G561" s="35" t="s">
        <v>4237</v>
      </c>
      <c r="H561" s="27" t="s">
        <v>686</v>
      </c>
      <c r="I561" s="62">
        <v>901</v>
      </c>
      <c r="J561" s="62">
        <v>90150</v>
      </c>
      <c r="K561" s="63">
        <v>4</v>
      </c>
      <c r="L561" s="35" t="s">
        <v>5676</v>
      </c>
      <c r="M561" s="35" t="s">
        <v>260</v>
      </c>
      <c r="N561" s="35" t="s">
        <v>5677</v>
      </c>
      <c r="O561" s="35" t="s">
        <v>4964</v>
      </c>
      <c r="P561" s="35" t="s">
        <v>5678</v>
      </c>
      <c r="Q561" s="35" t="s">
        <v>5679</v>
      </c>
      <c r="R561" s="35" t="s">
        <v>60</v>
      </c>
      <c r="S561" s="35"/>
      <c r="T561" s="35"/>
      <c r="U561" s="35"/>
      <c r="V561" s="35" t="s">
        <v>5680</v>
      </c>
      <c r="W561" s="35" t="s">
        <v>5681</v>
      </c>
      <c r="X561" s="35" t="s">
        <v>5682</v>
      </c>
      <c r="Y561" s="35" t="s">
        <v>5683</v>
      </c>
      <c r="Z561" s="35">
        <v>-79.956658000000004</v>
      </c>
      <c r="AA561" s="35">
        <v>-2.063367</v>
      </c>
      <c r="AB561" s="35">
        <v>90150681</v>
      </c>
      <c r="AC561" s="35">
        <v>90150681009</v>
      </c>
      <c r="AD561" s="35">
        <v>90150681009002</v>
      </c>
      <c r="AE561" s="63">
        <v>5</v>
      </c>
      <c r="AF561" s="63" t="s">
        <v>772</v>
      </c>
      <c r="AG561" s="29" t="s">
        <v>65</v>
      </c>
      <c r="AH561" s="75"/>
      <c r="AI561" s="65" t="s">
        <v>66</v>
      </c>
      <c r="AJ561" s="32" t="s">
        <v>6938</v>
      </c>
      <c r="AK561" s="33" t="s">
        <v>67</v>
      </c>
      <c r="AL561" s="34">
        <v>45586</v>
      </c>
      <c r="AM561" s="35" t="s">
        <v>66</v>
      </c>
      <c r="AN561" s="35"/>
      <c r="AO561" s="35"/>
      <c r="AP561" s="35"/>
      <c r="AQ561" s="37">
        <f t="shared" si="27"/>
        <v>0</v>
      </c>
      <c r="AR561" s="38">
        <f t="shared" si="28"/>
        <v>0</v>
      </c>
      <c r="AS561" s="39">
        <f t="shared" si="29"/>
        <v>0</v>
      </c>
      <c r="AT561" s="99"/>
      <c r="AU561" s="99" t="s">
        <v>1356</v>
      </c>
      <c r="AV561" s="99"/>
      <c r="AW561" s="100"/>
      <c r="AX561" s="99"/>
      <c r="AY561" s="101"/>
      <c r="AZ561" s="99"/>
      <c r="BA561" s="99" t="s">
        <v>1356</v>
      </c>
      <c r="BB561" s="99"/>
      <c r="BC561" s="101"/>
      <c r="BD561" s="99"/>
      <c r="BE561" s="101"/>
      <c r="BF561" s="99"/>
      <c r="BG561" s="99" t="s">
        <v>1356</v>
      </c>
      <c r="BH561" s="99"/>
      <c r="BI561" s="101"/>
      <c r="BJ561" s="99"/>
      <c r="BK561" s="101"/>
      <c r="BL561" s="99"/>
      <c r="BM561" s="99" t="s">
        <v>1356</v>
      </c>
      <c r="BN561" s="99"/>
      <c r="BO561" s="101"/>
      <c r="BP561" s="99"/>
      <c r="BQ561" s="101"/>
      <c r="BR561" s="99"/>
      <c r="BS561" s="99" t="s">
        <v>1356</v>
      </c>
      <c r="BT561" s="99"/>
      <c r="BU561" s="101"/>
      <c r="BV561" s="99"/>
      <c r="BW561" s="101"/>
      <c r="BX561" s="119"/>
      <c r="BY561" s="119" t="s">
        <v>1356</v>
      </c>
      <c r="BZ561" s="119"/>
      <c r="CA561" s="120"/>
      <c r="CB561" s="119"/>
      <c r="CC561" s="120"/>
      <c r="CD561" s="119"/>
      <c r="CE561" s="119" t="s">
        <v>1356</v>
      </c>
      <c r="CF561" s="119"/>
      <c r="CG561" s="120"/>
      <c r="CH561" s="119"/>
      <c r="CI561" s="120"/>
      <c r="CJ561" s="119"/>
      <c r="CK561" s="119" t="s">
        <v>1356</v>
      </c>
      <c r="CL561" s="119"/>
      <c r="CM561" s="120"/>
      <c r="CN561" s="119"/>
      <c r="CO561" s="120"/>
      <c r="CP561" s="119"/>
      <c r="CQ561" s="119" t="s">
        <v>1356</v>
      </c>
      <c r="CR561" s="119"/>
      <c r="CS561" s="120"/>
      <c r="CT561" s="119"/>
      <c r="CU561" s="120"/>
      <c r="CV561" s="119"/>
      <c r="CW561" s="119" t="s">
        <v>1356</v>
      </c>
      <c r="CX561" s="119"/>
      <c r="CY561" s="120"/>
      <c r="CZ561" s="119"/>
      <c r="DA561" s="120"/>
      <c r="DB561" s="36" t="s">
        <v>7085</v>
      </c>
      <c r="DC561" s="59" t="s">
        <v>2935</v>
      </c>
    </row>
    <row r="562" spans="1:107" s="40" customFormat="1" ht="14.55" customHeight="1" x14ac:dyDescent="0.3">
      <c r="A562" s="35" t="s">
        <v>4219</v>
      </c>
      <c r="B562" s="35" t="s">
        <v>5684</v>
      </c>
      <c r="C562" s="35" t="s">
        <v>5685</v>
      </c>
      <c r="D562" s="35" t="s">
        <v>5686</v>
      </c>
      <c r="E562" s="35" t="s">
        <v>5687</v>
      </c>
      <c r="F562" s="35" t="s">
        <v>81</v>
      </c>
      <c r="G562" s="35" t="s">
        <v>4329</v>
      </c>
      <c r="H562" s="27" t="s">
        <v>6935</v>
      </c>
      <c r="I562" s="62">
        <v>2302</v>
      </c>
      <c r="J562" s="62">
        <v>230250</v>
      </c>
      <c r="K562" s="63">
        <v>4</v>
      </c>
      <c r="L562" s="35" t="s">
        <v>5688</v>
      </c>
      <c r="M562" s="35"/>
      <c r="N562" s="35" t="s">
        <v>5689</v>
      </c>
      <c r="O562" s="35"/>
      <c r="P562" s="35"/>
      <c r="Q562" s="35" t="s">
        <v>5690</v>
      </c>
      <c r="R562" s="35" t="s">
        <v>403</v>
      </c>
      <c r="S562" s="35"/>
      <c r="T562" s="35"/>
      <c r="U562" s="35"/>
      <c r="V562" s="35"/>
      <c r="W562" s="35" t="s">
        <v>5691</v>
      </c>
      <c r="X562" s="35" t="s">
        <v>5692</v>
      </c>
      <c r="Y562" s="35" t="s">
        <v>5693</v>
      </c>
      <c r="Z562" s="35">
        <v>-79.393386000000007</v>
      </c>
      <c r="AA562" s="35">
        <v>-1.0870000000000001E-3</v>
      </c>
      <c r="AB562" s="35">
        <v>230250008</v>
      </c>
      <c r="AC562" s="35">
        <v>230250008007</v>
      </c>
      <c r="AD562" s="35">
        <v>230250008007012</v>
      </c>
      <c r="AE562" s="63">
        <v>5</v>
      </c>
      <c r="AF562" s="63" t="s">
        <v>772</v>
      </c>
      <c r="AG562" s="29" t="s">
        <v>65</v>
      </c>
      <c r="AH562" s="75"/>
      <c r="AI562" s="65" t="s">
        <v>66</v>
      </c>
      <c r="AJ562" s="32" t="s">
        <v>6938</v>
      </c>
      <c r="AK562" s="33" t="s">
        <v>67</v>
      </c>
      <c r="AL562" s="34">
        <v>45575</v>
      </c>
      <c r="AM562" s="35" t="s">
        <v>66</v>
      </c>
      <c r="AN562" s="35"/>
      <c r="AO562" s="35"/>
      <c r="AP562" s="35"/>
      <c r="AQ562" s="37">
        <f t="shared" si="27"/>
        <v>0</v>
      </c>
      <c r="AR562" s="38">
        <f t="shared" si="28"/>
        <v>0</v>
      </c>
      <c r="AS562" s="39">
        <f t="shared" si="29"/>
        <v>0</v>
      </c>
      <c r="AT562" s="99"/>
      <c r="AU562" s="99" t="s">
        <v>1356</v>
      </c>
      <c r="AV562" s="99"/>
      <c r="AW562" s="100"/>
      <c r="AX562" s="99"/>
      <c r="AY562" s="101"/>
      <c r="AZ562" s="99"/>
      <c r="BA562" s="99" t="s">
        <v>1356</v>
      </c>
      <c r="BB562" s="99"/>
      <c r="BC562" s="101"/>
      <c r="BD562" s="99"/>
      <c r="BE562" s="101"/>
      <c r="BF562" s="99"/>
      <c r="BG562" s="99" t="s">
        <v>1356</v>
      </c>
      <c r="BH562" s="99"/>
      <c r="BI562" s="101"/>
      <c r="BJ562" s="99"/>
      <c r="BK562" s="101"/>
      <c r="BL562" s="99"/>
      <c r="BM562" s="99" t="s">
        <v>1356</v>
      </c>
      <c r="BN562" s="99"/>
      <c r="BO562" s="101"/>
      <c r="BP562" s="99"/>
      <c r="BQ562" s="101"/>
      <c r="BR562" s="99"/>
      <c r="BS562" s="99" t="s">
        <v>1356</v>
      </c>
      <c r="BT562" s="99"/>
      <c r="BU562" s="101"/>
      <c r="BV562" s="99"/>
      <c r="BW562" s="101"/>
      <c r="BX562" s="119"/>
      <c r="BY562" s="119" t="s">
        <v>1356</v>
      </c>
      <c r="BZ562" s="119"/>
      <c r="CA562" s="120"/>
      <c r="CB562" s="119"/>
      <c r="CC562" s="120"/>
      <c r="CD562" s="119"/>
      <c r="CE562" s="119" t="s">
        <v>1356</v>
      </c>
      <c r="CF562" s="119"/>
      <c r="CG562" s="120"/>
      <c r="CH562" s="119"/>
      <c r="CI562" s="120"/>
      <c r="CJ562" s="119"/>
      <c r="CK562" s="119" t="s">
        <v>1356</v>
      </c>
      <c r="CL562" s="119"/>
      <c r="CM562" s="120"/>
      <c r="CN562" s="119"/>
      <c r="CO562" s="120"/>
      <c r="CP562" s="119"/>
      <c r="CQ562" s="119" t="s">
        <v>1356</v>
      </c>
      <c r="CR562" s="119"/>
      <c r="CS562" s="120"/>
      <c r="CT562" s="119"/>
      <c r="CU562" s="120"/>
      <c r="CV562" s="119"/>
      <c r="CW562" s="119" t="s">
        <v>1356</v>
      </c>
      <c r="CX562" s="119"/>
      <c r="CY562" s="120"/>
      <c r="CZ562" s="119"/>
      <c r="DA562" s="120"/>
      <c r="DB562" s="36" t="s">
        <v>7085</v>
      </c>
      <c r="DC562" s="59" t="s">
        <v>105</v>
      </c>
    </row>
    <row r="563" spans="1:107" s="40" customFormat="1" x14ac:dyDescent="0.3">
      <c r="A563" s="35" t="s">
        <v>4219</v>
      </c>
      <c r="B563" s="35" t="s">
        <v>5694</v>
      </c>
      <c r="C563" s="35" t="s">
        <v>5695</v>
      </c>
      <c r="D563" s="35" t="s">
        <v>5696</v>
      </c>
      <c r="E563" s="35" t="s">
        <v>70</v>
      </c>
      <c r="F563" s="35" t="s">
        <v>3036</v>
      </c>
      <c r="G563" s="35" t="s">
        <v>461</v>
      </c>
      <c r="H563" s="27" t="s">
        <v>6933</v>
      </c>
      <c r="I563" s="62">
        <v>1308</v>
      </c>
      <c r="J563" s="62">
        <v>130850</v>
      </c>
      <c r="K563" s="63">
        <v>4</v>
      </c>
      <c r="L563" s="35" t="s">
        <v>5697</v>
      </c>
      <c r="M563" s="35"/>
      <c r="N563" s="35" t="s">
        <v>5698</v>
      </c>
      <c r="O563" s="35"/>
      <c r="P563" s="35"/>
      <c r="Q563" s="35" t="s">
        <v>5699</v>
      </c>
      <c r="R563" s="35" t="s">
        <v>1688</v>
      </c>
      <c r="S563" s="35" t="s">
        <v>5700</v>
      </c>
      <c r="T563" s="35"/>
      <c r="U563" s="35"/>
      <c r="V563" s="35"/>
      <c r="W563" s="35" t="s">
        <v>5701</v>
      </c>
      <c r="X563" s="35"/>
      <c r="Y563" s="35" t="s">
        <v>5702</v>
      </c>
      <c r="Z563" s="35">
        <v>-80.749786999999998</v>
      </c>
      <c r="AA563" s="35">
        <v>-0.95938100000000004</v>
      </c>
      <c r="AB563" s="35">
        <v>130850006</v>
      </c>
      <c r="AC563" s="35">
        <v>130850006007</v>
      </c>
      <c r="AD563" s="35">
        <v>130850006007003</v>
      </c>
      <c r="AE563" s="63">
        <v>5</v>
      </c>
      <c r="AF563" s="63" t="s">
        <v>772</v>
      </c>
      <c r="AG563" s="29" t="s">
        <v>65</v>
      </c>
      <c r="AH563" s="75"/>
      <c r="AI563" s="65" t="s">
        <v>66</v>
      </c>
      <c r="AJ563" s="32" t="s">
        <v>6938</v>
      </c>
      <c r="AK563" s="33" t="s">
        <v>67</v>
      </c>
      <c r="AL563" s="34">
        <v>45603</v>
      </c>
      <c r="AM563" s="35" t="s">
        <v>66</v>
      </c>
      <c r="AN563" s="35"/>
      <c r="AO563" s="35"/>
      <c r="AP563" s="35"/>
      <c r="AQ563" s="37">
        <f t="shared" si="27"/>
        <v>0</v>
      </c>
      <c r="AR563" s="38">
        <f t="shared" si="28"/>
        <v>0</v>
      </c>
      <c r="AS563" s="39">
        <f t="shared" si="29"/>
        <v>0</v>
      </c>
      <c r="AT563" s="99"/>
      <c r="AU563" s="99" t="s">
        <v>1356</v>
      </c>
      <c r="AV563" s="99"/>
      <c r="AW563" s="100"/>
      <c r="AX563" s="99"/>
      <c r="AY563" s="101"/>
      <c r="AZ563" s="99"/>
      <c r="BA563" s="99" t="s">
        <v>1356</v>
      </c>
      <c r="BB563" s="99"/>
      <c r="BC563" s="101"/>
      <c r="BD563" s="99"/>
      <c r="BE563" s="101"/>
      <c r="BF563" s="99"/>
      <c r="BG563" s="99" t="s">
        <v>1356</v>
      </c>
      <c r="BH563" s="99"/>
      <c r="BI563" s="101"/>
      <c r="BJ563" s="99"/>
      <c r="BK563" s="101"/>
      <c r="BL563" s="99"/>
      <c r="BM563" s="99" t="s">
        <v>1356</v>
      </c>
      <c r="BN563" s="99"/>
      <c r="BO563" s="101"/>
      <c r="BP563" s="99"/>
      <c r="BQ563" s="101"/>
      <c r="BR563" s="99"/>
      <c r="BS563" s="99" t="s">
        <v>1356</v>
      </c>
      <c r="BT563" s="99"/>
      <c r="BU563" s="101"/>
      <c r="BV563" s="99"/>
      <c r="BW563" s="101"/>
      <c r="BX563" s="119"/>
      <c r="BY563" s="119" t="s">
        <v>1356</v>
      </c>
      <c r="BZ563" s="119"/>
      <c r="CA563" s="120"/>
      <c r="CB563" s="119"/>
      <c r="CC563" s="120"/>
      <c r="CD563" s="119"/>
      <c r="CE563" s="119" t="s">
        <v>1356</v>
      </c>
      <c r="CF563" s="119"/>
      <c r="CG563" s="120"/>
      <c r="CH563" s="119"/>
      <c r="CI563" s="120"/>
      <c r="CJ563" s="119"/>
      <c r="CK563" s="119" t="s">
        <v>1356</v>
      </c>
      <c r="CL563" s="119"/>
      <c r="CM563" s="120"/>
      <c r="CN563" s="119"/>
      <c r="CO563" s="120"/>
      <c r="CP563" s="119"/>
      <c r="CQ563" s="119" t="s">
        <v>1356</v>
      </c>
      <c r="CR563" s="119"/>
      <c r="CS563" s="120"/>
      <c r="CT563" s="119"/>
      <c r="CU563" s="120"/>
      <c r="CV563" s="119"/>
      <c r="CW563" s="119" t="s">
        <v>1356</v>
      </c>
      <c r="CX563" s="119"/>
      <c r="CY563" s="120"/>
      <c r="CZ563" s="119"/>
      <c r="DA563" s="120"/>
      <c r="DB563" s="36" t="s">
        <v>7085</v>
      </c>
      <c r="DC563" s="59" t="s">
        <v>6751</v>
      </c>
    </row>
    <row r="564" spans="1:107" s="40" customFormat="1" x14ac:dyDescent="0.3">
      <c r="A564" s="35" t="s">
        <v>4219</v>
      </c>
      <c r="B564" s="35" t="s">
        <v>5703</v>
      </c>
      <c r="C564" s="35" t="s">
        <v>5704</v>
      </c>
      <c r="D564" s="35" t="s">
        <v>5705</v>
      </c>
      <c r="E564" s="35" t="s">
        <v>70</v>
      </c>
      <c r="F564" s="35" t="s">
        <v>4289</v>
      </c>
      <c r="G564" s="35" t="s">
        <v>461</v>
      </c>
      <c r="H564" s="27" t="s">
        <v>6933</v>
      </c>
      <c r="I564" s="62">
        <v>1309</v>
      </c>
      <c r="J564" s="62">
        <v>130950</v>
      </c>
      <c r="K564" s="63">
        <v>4</v>
      </c>
      <c r="L564" s="35" t="s">
        <v>5706</v>
      </c>
      <c r="M564" s="35"/>
      <c r="N564" s="35" t="s">
        <v>5707</v>
      </c>
      <c r="O564" s="35" t="s">
        <v>5708</v>
      </c>
      <c r="P564" s="35" t="s">
        <v>5709</v>
      </c>
      <c r="Q564" s="35"/>
      <c r="R564" s="35" t="s">
        <v>60</v>
      </c>
      <c r="S564" s="35"/>
      <c r="T564" s="35"/>
      <c r="U564" s="35"/>
      <c r="V564" s="35"/>
      <c r="W564" s="35" t="s">
        <v>5710</v>
      </c>
      <c r="X564" s="35" t="s">
        <v>5711</v>
      </c>
      <c r="Y564" s="35" t="s">
        <v>5712</v>
      </c>
      <c r="Z564" s="35"/>
      <c r="AA564" s="35"/>
      <c r="AB564" s="35">
        <v>130950004</v>
      </c>
      <c r="AC564" s="35">
        <v>130950004005</v>
      </c>
      <c r="AD564" s="35">
        <v>130950004005080</v>
      </c>
      <c r="AE564" s="63">
        <v>5</v>
      </c>
      <c r="AF564" s="63" t="s">
        <v>772</v>
      </c>
      <c r="AG564" s="29" t="s">
        <v>65</v>
      </c>
      <c r="AH564" s="75"/>
      <c r="AI564" s="65" t="s">
        <v>65</v>
      </c>
      <c r="AJ564" s="32" t="s">
        <v>6939</v>
      </c>
      <c r="AK564" s="33" t="s">
        <v>92</v>
      </c>
      <c r="AL564" s="58"/>
      <c r="AM564" s="35"/>
      <c r="AN564" s="35"/>
      <c r="AO564" s="35"/>
      <c r="AP564" s="35"/>
      <c r="AQ564" s="37">
        <f t="shared" si="27"/>
        <v>0</v>
      </c>
      <c r="AR564" s="38">
        <f t="shared" si="28"/>
        <v>0</v>
      </c>
      <c r="AS564" s="39">
        <f t="shared" si="29"/>
        <v>0</v>
      </c>
      <c r="AT564" s="99"/>
      <c r="AU564" s="99" t="s">
        <v>1356</v>
      </c>
      <c r="AV564" s="99"/>
      <c r="AW564" s="100"/>
      <c r="AX564" s="99"/>
      <c r="AY564" s="101"/>
      <c r="AZ564" s="99"/>
      <c r="BA564" s="99" t="s">
        <v>1356</v>
      </c>
      <c r="BB564" s="99"/>
      <c r="BC564" s="101"/>
      <c r="BD564" s="99"/>
      <c r="BE564" s="101"/>
      <c r="BF564" s="99"/>
      <c r="BG564" s="99" t="s">
        <v>1356</v>
      </c>
      <c r="BH564" s="99"/>
      <c r="BI564" s="101"/>
      <c r="BJ564" s="99"/>
      <c r="BK564" s="101"/>
      <c r="BL564" s="99"/>
      <c r="BM564" s="99" t="s">
        <v>1356</v>
      </c>
      <c r="BN564" s="99"/>
      <c r="BO564" s="101"/>
      <c r="BP564" s="99"/>
      <c r="BQ564" s="101"/>
      <c r="BR564" s="99"/>
      <c r="BS564" s="99" t="s">
        <v>1356</v>
      </c>
      <c r="BT564" s="99"/>
      <c r="BU564" s="101"/>
      <c r="BV564" s="99"/>
      <c r="BW564" s="101"/>
      <c r="BX564" s="119"/>
      <c r="BY564" s="119" t="s">
        <v>1356</v>
      </c>
      <c r="BZ564" s="119"/>
      <c r="CA564" s="120"/>
      <c r="CB564" s="119"/>
      <c r="CC564" s="120"/>
      <c r="CD564" s="119"/>
      <c r="CE564" s="119" t="s">
        <v>1356</v>
      </c>
      <c r="CF564" s="119"/>
      <c r="CG564" s="120"/>
      <c r="CH564" s="119"/>
      <c r="CI564" s="120"/>
      <c r="CJ564" s="119"/>
      <c r="CK564" s="119" t="s">
        <v>1356</v>
      </c>
      <c r="CL564" s="119"/>
      <c r="CM564" s="120"/>
      <c r="CN564" s="119"/>
      <c r="CO564" s="120"/>
      <c r="CP564" s="119"/>
      <c r="CQ564" s="119" t="s">
        <v>1356</v>
      </c>
      <c r="CR564" s="119"/>
      <c r="CS564" s="120"/>
      <c r="CT564" s="119"/>
      <c r="CU564" s="120"/>
      <c r="CV564" s="119"/>
      <c r="CW564" s="119" t="s">
        <v>1356</v>
      </c>
      <c r="CX564" s="119"/>
      <c r="CY564" s="120"/>
      <c r="CZ564" s="119"/>
      <c r="DA564" s="120"/>
      <c r="DB564" s="35"/>
      <c r="DC564" s="59"/>
    </row>
    <row r="565" spans="1:107" s="40" customFormat="1" ht="14.55" customHeight="1" x14ac:dyDescent="0.3">
      <c r="A565" s="66" t="s">
        <v>3500</v>
      </c>
      <c r="B565" s="66" t="s">
        <v>3711</v>
      </c>
      <c r="C565" s="66" t="s">
        <v>3712</v>
      </c>
      <c r="D565" s="66" t="s">
        <v>1191</v>
      </c>
      <c r="E565" s="66" t="s">
        <v>1192</v>
      </c>
      <c r="F565" s="66" t="s">
        <v>108</v>
      </c>
      <c r="G565" s="68" t="s">
        <v>72</v>
      </c>
      <c r="H565" s="43" t="s">
        <v>251</v>
      </c>
      <c r="I565" s="68">
        <v>1701</v>
      </c>
      <c r="J565" s="68">
        <v>170150</v>
      </c>
      <c r="K565" s="69">
        <v>4</v>
      </c>
      <c r="L565" s="66" t="s">
        <v>621</v>
      </c>
      <c r="M565" s="66" t="s">
        <v>1193</v>
      </c>
      <c r="N565" s="66" t="s">
        <v>1194</v>
      </c>
      <c r="O565" s="66" t="s">
        <v>933</v>
      </c>
      <c r="P565" s="66"/>
      <c r="Q565" s="66" t="s">
        <v>1192</v>
      </c>
      <c r="R565" s="66" t="s">
        <v>60</v>
      </c>
      <c r="S565" s="66"/>
      <c r="T565" s="66"/>
      <c r="U565" s="66" t="s">
        <v>609</v>
      </c>
      <c r="V565" s="66"/>
      <c r="W565" s="66" t="s">
        <v>1195</v>
      </c>
      <c r="X565" s="66" t="s">
        <v>1196</v>
      </c>
      <c r="Y565" s="66" t="s">
        <v>1197</v>
      </c>
      <c r="Z565" s="66"/>
      <c r="AA565" s="66"/>
      <c r="AB565" s="66">
        <v>170150043</v>
      </c>
      <c r="AC565" s="66">
        <v>170150043008</v>
      </c>
      <c r="AD565" s="66">
        <v>170150043008004</v>
      </c>
      <c r="AE565" s="69">
        <v>5</v>
      </c>
      <c r="AF565" s="69" t="s">
        <v>772</v>
      </c>
      <c r="AG565" s="46" t="s">
        <v>66</v>
      </c>
      <c r="AH565" s="70" t="s">
        <v>1198</v>
      </c>
      <c r="AI565" s="71" t="s">
        <v>66</v>
      </c>
      <c r="AJ565" s="49" t="s">
        <v>6938</v>
      </c>
      <c r="AK565" s="50" t="s">
        <v>67</v>
      </c>
      <c r="AL565" s="58">
        <v>45586</v>
      </c>
      <c r="AM565" s="52" t="s">
        <v>66</v>
      </c>
      <c r="AN565" s="52"/>
      <c r="AO565" s="52"/>
      <c r="AP565" s="52"/>
      <c r="AQ565" s="53">
        <f t="shared" si="27"/>
        <v>4</v>
      </c>
      <c r="AR565" s="54">
        <f t="shared" si="28"/>
        <v>0</v>
      </c>
      <c r="AS565" s="55">
        <f t="shared" si="29"/>
        <v>4</v>
      </c>
      <c r="AT565" s="102" t="s">
        <v>528</v>
      </c>
      <c r="AU565" s="103" t="s">
        <v>3363</v>
      </c>
      <c r="AV565" s="104">
        <v>5.5</v>
      </c>
      <c r="AW565" s="105">
        <v>45586</v>
      </c>
      <c r="AX565" s="104">
        <v>5.5</v>
      </c>
      <c r="AY565" s="106">
        <v>45616</v>
      </c>
      <c r="AZ565" s="102" t="s">
        <v>1199</v>
      </c>
      <c r="BA565" s="103" t="s">
        <v>3364</v>
      </c>
      <c r="BB565" s="104">
        <v>8.6999999999999993</v>
      </c>
      <c r="BC565" s="106">
        <v>45586</v>
      </c>
      <c r="BD565" s="104">
        <v>8.6999999999999993</v>
      </c>
      <c r="BE565" s="106">
        <v>45616</v>
      </c>
      <c r="BF565" s="102" t="s">
        <v>1200</v>
      </c>
      <c r="BG565" s="103" t="s">
        <v>3365</v>
      </c>
      <c r="BH565" s="104">
        <v>5.05</v>
      </c>
      <c r="BI565" s="106">
        <v>45586</v>
      </c>
      <c r="BJ565" s="104">
        <v>5.05</v>
      </c>
      <c r="BK565" s="106">
        <v>45616</v>
      </c>
      <c r="BL565" s="102" t="s">
        <v>1201</v>
      </c>
      <c r="BM565" s="103" t="s">
        <v>2197</v>
      </c>
      <c r="BN565" s="104">
        <v>7.5</v>
      </c>
      <c r="BO565" s="106">
        <v>45586</v>
      </c>
      <c r="BP565" s="104">
        <v>7.5</v>
      </c>
      <c r="BQ565" s="106">
        <v>45616</v>
      </c>
      <c r="BR565" s="102"/>
      <c r="BS565" s="103" t="s">
        <v>1356</v>
      </c>
      <c r="BT565" s="104"/>
      <c r="BU565" s="106"/>
      <c r="BV565" s="104"/>
      <c r="BW565" s="106"/>
      <c r="BX565" s="121"/>
      <c r="BY565" s="122" t="s">
        <v>1356</v>
      </c>
      <c r="BZ565" s="123"/>
      <c r="CA565" s="124"/>
      <c r="CB565" s="123"/>
      <c r="CC565" s="124"/>
      <c r="CD565" s="121"/>
      <c r="CE565" s="122" t="s">
        <v>1356</v>
      </c>
      <c r="CF565" s="123"/>
      <c r="CG565" s="124"/>
      <c r="CH565" s="123"/>
      <c r="CI565" s="124"/>
      <c r="CJ565" s="121"/>
      <c r="CK565" s="122" t="s">
        <v>1356</v>
      </c>
      <c r="CL565" s="123"/>
      <c r="CM565" s="124"/>
      <c r="CN565" s="123"/>
      <c r="CO565" s="124"/>
      <c r="CP565" s="121"/>
      <c r="CQ565" s="122" t="s">
        <v>1356</v>
      </c>
      <c r="CR565" s="123"/>
      <c r="CS565" s="124"/>
      <c r="CT565" s="123"/>
      <c r="CU565" s="124"/>
      <c r="CV565" s="121"/>
      <c r="CW565" s="122" t="s">
        <v>1356</v>
      </c>
      <c r="CX565" s="123"/>
      <c r="CY565" s="124"/>
      <c r="CZ565" s="123"/>
      <c r="DA565" s="124"/>
      <c r="DB565" s="52" t="s">
        <v>6962</v>
      </c>
      <c r="DC565" s="73" t="s">
        <v>105</v>
      </c>
    </row>
    <row r="566" spans="1:107" s="40" customFormat="1" ht="14.55" customHeight="1" x14ac:dyDescent="0.3">
      <c r="A566" s="35" t="s">
        <v>4219</v>
      </c>
      <c r="B566" s="35" t="s">
        <v>5724</v>
      </c>
      <c r="C566" s="35" t="s">
        <v>5725</v>
      </c>
      <c r="D566" s="35" t="s">
        <v>5726</v>
      </c>
      <c r="E566" s="35" t="s">
        <v>5727</v>
      </c>
      <c r="F566" s="35" t="s">
        <v>825</v>
      </c>
      <c r="G566" s="35" t="s">
        <v>4237</v>
      </c>
      <c r="H566" s="27" t="s">
        <v>686</v>
      </c>
      <c r="I566" s="62">
        <v>901</v>
      </c>
      <c r="J566" s="62">
        <v>90150</v>
      </c>
      <c r="K566" s="63">
        <v>4</v>
      </c>
      <c r="L566" s="35" t="s">
        <v>4446</v>
      </c>
      <c r="M566" s="35" t="s">
        <v>258</v>
      </c>
      <c r="N566" s="35" t="s">
        <v>5390</v>
      </c>
      <c r="O566" s="35" t="s">
        <v>5728</v>
      </c>
      <c r="P566" s="35" t="s">
        <v>5390</v>
      </c>
      <c r="Q566" s="35"/>
      <c r="R566" s="35" t="s">
        <v>60</v>
      </c>
      <c r="S566" s="35"/>
      <c r="T566" s="35"/>
      <c r="U566" s="35"/>
      <c r="V566" s="35"/>
      <c r="W566" s="35" t="s">
        <v>5729</v>
      </c>
      <c r="X566" s="35" t="s">
        <v>5730</v>
      </c>
      <c r="Y566" s="35" t="s">
        <v>5731</v>
      </c>
      <c r="Z566" s="35"/>
      <c r="AA566" s="35"/>
      <c r="AB566" s="35">
        <v>90150517</v>
      </c>
      <c r="AC566" s="35">
        <v>90150517006</v>
      </c>
      <c r="AD566" s="35">
        <v>90150517006017</v>
      </c>
      <c r="AE566" s="63">
        <v>5</v>
      </c>
      <c r="AF566" s="63" t="s">
        <v>772</v>
      </c>
      <c r="AG566" s="29" t="s">
        <v>65</v>
      </c>
      <c r="AH566" s="75"/>
      <c r="AI566" s="65" t="s">
        <v>65</v>
      </c>
      <c r="AJ566" s="32" t="s">
        <v>6938</v>
      </c>
      <c r="AK566" s="33" t="s">
        <v>92</v>
      </c>
      <c r="AL566" s="34">
        <v>45586</v>
      </c>
      <c r="AM566" s="35"/>
      <c r="AN566" s="35"/>
      <c r="AO566" s="35"/>
      <c r="AP566" s="35"/>
      <c r="AQ566" s="37">
        <f t="shared" si="27"/>
        <v>0</v>
      </c>
      <c r="AR566" s="38">
        <f t="shared" si="28"/>
        <v>0</v>
      </c>
      <c r="AS566" s="39">
        <f t="shared" si="29"/>
        <v>0</v>
      </c>
      <c r="AT566" s="99"/>
      <c r="AU566" s="99" t="s">
        <v>1356</v>
      </c>
      <c r="AV566" s="99"/>
      <c r="AW566" s="100"/>
      <c r="AX566" s="99"/>
      <c r="AY566" s="101"/>
      <c r="AZ566" s="99"/>
      <c r="BA566" s="99" t="s">
        <v>1356</v>
      </c>
      <c r="BB566" s="99"/>
      <c r="BC566" s="101"/>
      <c r="BD566" s="99"/>
      <c r="BE566" s="101"/>
      <c r="BF566" s="99"/>
      <c r="BG566" s="99" t="s">
        <v>1356</v>
      </c>
      <c r="BH566" s="99"/>
      <c r="BI566" s="101"/>
      <c r="BJ566" s="99"/>
      <c r="BK566" s="101"/>
      <c r="BL566" s="99"/>
      <c r="BM566" s="99" t="s">
        <v>1356</v>
      </c>
      <c r="BN566" s="99"/>
      <c r="BO566" s="101"/>
      <c r="BP566" s="99"/>
      <c r="BQ566" s="101"/>
      <c r="BR566" s="99"/>
      <c r="BS566" s="99" t="s">
        <v>1356</v>
      </c>
      <c r="BT566" s="99"/>
      <c r="BU566" s="101"/>
      <c r="BV566" s="99"/>
      <c r="BW566" s="101"/>
      <c r="BX566" s="119"/>
      <c r="BY566" s="119" t="s">
        <v>1356</v>
      </c>
      <c r="BZ566" s="119"/>
      <c r="CA566" s="120"/>
      <c r="CB566" s="119"/>
      <c r="CC566" s="120"/>
      <c r="CD566" s="119"/>
      <c r="CE566" s="119" t="s">
        <v>1356</v>
      </c>
      <c r="CF566" s="119"/>
      <c r="CG566" s="120"/>
      <c r="CH566" s="119"/>
      <c r="CI566" s="120"/>
      <c r="CJ566" s="119"/>
      <c r="CK566" s="119" t="s">
        <v>1356</v>
      </c>
      <c r="CL566" s="119"/>
      <c r="CM566" s="120"/>
      <c r="CN566" s="119"/>
      <c r="CO566" s="120"/>
      <c r="CP566" s="119"/>
      <c r="CQ566" s="119" t="s">
        <v>1356</v>
      </c>
      <c r="CR566" s="119"/>
      <c r="CS566" s="120"/>
      <c r="CT566" s="119"/>
      <c r="CU566" s="120"/>
      <c r="CV566" s="119"/>
      <c r="CW566" s="119" t="s">
        <v>1356</v>
      </c>
      <c r="CX566" s="119"/>
      <c r="CY566" s="120"/>
      <c r="CZ566" s="119"/>
      <c r="DA566" s="120"/>
      <c r="DB566" s="36" t="s">
        <v>7085</v>
      </c>
      <c r="DC566" s="59" t="s">
        <v>92</v>
      </c>
    </row>
    <row r="567" spans="1:107" s="40" customFormat="1" ht="14.55" customHeight="1" x14ac:dyDescent="0.3">
      <c r="A567" s="66" t="s">
        <v>3500</v>
      </c>
      <c r="B567" s="66" t="s">
        <v>3713</v>
      </c>
      <c r="C567" s="66" t="s">
        <v>3714</v>
      </c>
      <c r="D567" s="66" t="s">
        <v>1202</v>
      </c>
      <c r="E567" s="66" t="s">
        <v>70</v>
      </c>
      <c r="F567" s="66" t="s">
        <v>220</v>
      </c>
      <c r="G567" s="68" t="s">
        <v>72</v>
      </c>
      <c r="H567" s="43" t="s">
        <v>251</v>
      </c>
      <c r="I567" s="68">
        <v>1701</v>
      </c>
      <c r="J567" s="68">
        <v>170150</v>
      </c>
      <c r="K567" s="69">
        <v>4</v>
      </c>
      <c r="L567" s="66" t="s">
        <v>1203</v>
      </c>
      <c r="M567" s="66" t="s">
        <v>1204</v>
      </c>
      <c r="N567" s="66" t="s">
        <v>580</v>
      </c>
      <c r="O567" s="66"/>
      <c r="P567" s="66"/>
      <c r="Q567" s="66" t="s">
        <v>1205</v>
      </c>
      <c r="R567" s="66" t="s">
        <v>60</v>
      </c>
      <c r="S567" s="66"/>
      <c r="T567" s="66"/>
      <c r="U567" s="66" t="s">
        <v>1206</v>
      </c>
      <c r="V567" s="66"/>
      <c r="W567" s="66" t="s">
        <v>1207</v>
      </c>
      <c r="X567" s="66" t="s">
        <v>1208</v>
      </c>
      <c r="Y567" s="66" t="s">
        <v>1209</v>
      </c>
      <c r="Z567" s="66">
        <v>-78.473427000000001</v>
      </c>
      <c r="AA567" s="66">
        <v>-0.101317</v>
      </c>
      <c r="AB567" s="66">
        <v>170150043</v>
      </c>
      <c r="AC567" s="66">
        <v>170150043008</v>
      </c>
      <c r="AD567" s="66">
        <v>170150043008003</v>
      </c>
      <c r="AE567" s="69">
        <v>5</v>
      </c>
      <c r="AF567" s="69" t="s">
        <v>772</v>
      </c>
      <c r="AG567" s="46" t="s">
        <v>66</v>
      </c>
      <c r="AH567" s="70" t="s">
        <v>1210</v>
      </c>
      <c r="AI567" s="71" t="s">
        <v>66</v>
      </c>
      <c r="AJ567" s="49" t="s">
        <v>6938</v>
      </c>
      <c r="AK567" s="50" t="s">
        <v>67</v>
      </c>
      <c r="AL567" s="58">
        <v>45586</v>
      </c>
      <c r="AM567" s="52" t="s">
        <v>66</v>
      </c>
      <c r="AN567" s="52"/>
      <c r="AO567" s="52"/>
      <c r="AP567" s="52"/>
      <c r="AQ567" s="53">
        <f t="shared" si="27"/>
        <v>3</v>
      </c>
      <c r="AR567" s="54">
        <f t="shared" si="28"/>
        <v>0</v>
      </c>
      <c r="AS567" s="55">
        <f t="shared" si="29"/>
        <v>3</v>
      </c>
      <c r="AT567" s="102" t="s">
        <v>1211</v>
      </c>
      <c r="AU567" s="103" t="s">
        <v>3344</v>
      </c>
      <c r="AV567" s="104">
        <v>18.260000000000002</v>
      </c>
      <c r="AW567" s="105">
        <v>45586</v>
      </c>
      <c r="AX567" s="104">
        <v>18.260000000000002</v>
      </c>
      <c r="AY567" s="106">
        <v>45616</v>
      </c>
      <c r="AZ567" s="102" t="s">
        <v>637</v>
      </c>
      <c r="BA567" s="103" t="s">
        <v>6729</v>
      </c>
      <c r="BB567" s="104">
        <v>12.32</v>
      </c>
      <c r="BC567" s="106">
        <v>45586</v>
      </c>
      <c r="BD567" s="104">
        <v>12.32</v>
      </c>
      <c r="BE567" s="106">
        <v>45616</v>
      </c>
      <c r="BF567" s="102" t="s">
        <v>1212</v>
      </c>
      <c r="BG567" s="103" t="s">
        <v>1853</v>
      </c>
      <c r="BH567" s="104">
        <v>86.54</v>
      </c>
      <c r="BI567" s="106">
        <v>45586</v>
      </c>
      <c r="BJ567" s="104">
        <v>86.54</v>
      </c>
      <c r="BK567" s="106">
        <v>45616</v>
      </c>
      <c r="BL567" s="102"/>
      <c r="BM567" s="103" t="s">
        <v>1356</v>
      </c>
      <c r="BN567" s="104"/>
      <c r="BO567" s="106"/>
      <c r="BP567" s="104"/>
      <c r="BQ567" s="106"/>
      <c r="BR567" s="102"/>
      <c r="BS567" s="103" t="s">
        <v>1356</v>
      </c>
      <c r="BT567" s="104"/>
      <c r="BU567" s="106"/>
      <c r="BV567" s="104"/>
      <c r="BW567" s="106"/>
      <c r="BX567" s="121"/>
      <c r="BY567" s="122" t="s">
        <v>1356</v>
      </c>
      <c r="BZ567" s="123"/>
      <c r="CA567" s="124"/>
      <c r="CB567" s="123"/>
      <c r="CC567" s="124"/>
      <c r="CD567" s="121"/>
      <c r="CE567" s="122" t="s">
        <v>1356</v>
      </c>
      <c r="CF567" s="123"/>
      <c r="CG567" s="124"/>
      <c r="CH567" s="123"/>
      <c r="CI567" s="124"/>
      <c r="CJ567" s="121"/>
      <c r="CK567" s="122" t="s">
        <v>1356</v>
      </c>
      <c r="CL567" s="123"/>
      <c r="CM567" s="124"/>
      <c r="CN567" s="123"/>
      <c r="CO567" s="124"/>
      <c r="CP567" s="121"/>
      <c r="CQ567" s="122" t="s">
        <v>1356</v>
      </c>
      <c r="CR567" s="123"/>
      <c r="CS567" s="124"/>
      <c r="CT567" s="123"/>
      <c r="CU567" s="124"/>
      <c r="CV567" s="121"/>
      <c r="CW567" s="122" t="s">
        <v>1356</v>
      </c>
      <c r="CX567" s="123"/>
      <c r="CY567" s="124"/>
      <c r="CZ567" s="123"/>
      <c r="DA567" s="124"/>
      <c r="DB567" s="52" t="s">
        <v>6962</v>
      </c>
      <c r="DC567" s="73" t="s">
        <v>105</v>
      </c>
    </row>
    <row r="568" spans="1:107" s="40" customFormat="1" x14ac:dyDescent="0.3">
      <c r="A568" s="35" t="s">
        <v>4219</v>
      </c>
      <c r="B568" s="35" t="s">
        <v>5740</v>
      </c>
      <c r="C568" s="35" t="s">
        <v>5741</v>
      </c>
      <c r="D568" s="35" t="s">
        <v>5742</v>
      </c>
      <c r="E568" s="35" t="s">
        <v>5743</v>
      </c>
      <c r="F568" s="35" t="s">
        <v>56</v>
      </c>
      <c r="G568" s="35" t="s">
        <v>4237</v>
      </c>
      <c r="H568" s="27" t="s">
        <v>686</v>
      </c>
      <c r="I568" s="62">
        <v>916</v>
      </c>
      <c r="J568" s="62">
        <v>91650</v>
      </c>
      <c r="K568" s="63">
        <v>4</v>
      </c>
      <c r="L568" s="35" t="s">
        <v>5744</v>
      </c>
      <c r="M568" s="35" t="s">
        <v>258</v>
      </c>
      <c r="N568" s="35" t="s">
        <v>4290</v>
      </c>
      <c r="O568" s="35"/>
      <c r="P568" s="35"/>
      <c r="Q568" s="35"/>
      <c r="R568" s="35"/>
      <c r="S568" s="35"/>
      <c r="T568" s="35"/>
      <c r="U568" s="35"/>
      <c r="V568" s="35"/>
      <c r="W568" s="35" t="s">
        <v>5745</v>
      </c>
      <c r="X568" s="35" t="s">
        <v>5746</v>
      </c>
      <c r="Y568" s="35" t="s">
        <v>5747</v>
      </c>
      <c r="Z568" s="35">
        <v>-79.865700000000004</v>
      </c>
      <c r="AA568" s="35">
        <v>-2.1387330000000002</v>
      </c>
      <c r="AB568" s="35">
        <v>91650016</v>
      </c>
      <c r="AC568" s="35">
        <v>91650016001</v>
      </c>
      <c r="AD568" s="35">
        <v>91650016001001</v>
      </c>
      <c r="AE568" s="63">
        <v>5</v>
      </c>
      <c r="AF568" s="63" t="s">
        <v>772</v>
      </c>
      <c r="AG568" s="29" t="s">
        <v>65</v>
      </c>
      <c r="AH568" s="75"/>
      <c r="AI568" s="65" t="s">
        <v>66</v>
      </c>
      <c r="AJ568" s="32" t="s">
        <v>6938</v>
      </c>
      <c r="AK568" s="33" t="s">
        <v>67</v>
      </c>
      <c r="AL568" s="34">
        <v>45603</v>
      </c>
      <c r="AM568" s="35" t="s">
        <v>66</v>
      </c>
      <c r="AN568" s="35"/>
      <c r="AO568" s="35"/>
      <c r="AP568" s="35"/>
      <c r="AQ568" s="37">
        <f t="shared" si="27"/>
        <v>0</v>
      </c>
      <c r="AR568" s="38">
        <f t="shared" si="28"/>
        <v>0</v>
      </c>
      <c r="AS568" s="39">
        <f t="shared" si="29"/>
        <v>0</v>
      </c>
      <c r="AT568" s="99"/>
      <c r="AU568" s="99" t="s">
        <v>1356</v>
      </c>
      <c r="AV568" s="99"/>
      <c r="AW568" s="100"/>
      <c r="AX568" s="99"/>
      <c r="AY568" s="101"/>
      <c r="AZ568" s="99"/>
      <c r="BA568" s="99" t="s">
        <v>1356</v>
      </c>
      <c r="BB568" s="99"/>
      <c r="BC568" s="101"/>
      <c r="BD568" s="99"/>
      <c r="BE568" s="101"/>
      <c r="BF568" s="99"/>
      <c r="BG568" s="99" t="s">
        <v>1356</v>
      </c>
      <c r="BH568" s="99"/>
      <c r="BI568" s="101"/>
      <c r="BJ568" s="99"/>
      <c r="BK568" s="101"/>
      <c r="BL568" s="99"/>
      <c r="BM568" s="99" t="s">
        <v>1356</v>
      </c>
      <c r="BN568" s="99"/>
      <c r="BO568" s="101"/>
      <c r="BP568" s="99"/>
      <c r="BQ568" s="101"/>
      <c r="BR568" s="99"/>
      <c r="BS568" s="99" t="s">
        <v>1356</v>
      </c>
      <c r="BT568" s="99"/>
      <c r="BU568" s="101"/>
      <c r="BV568" s="99"/>
      <c r="BW568" s="101"/>
      <c r="BX568" s="119"/>
      <c r="BY568" s="119" t="s">
        <v>1356</v>
      </c>
      <c r="BZ568" s="119"/>
      <c r="CA568" s="120"/>
      <c r="CB568" s="119"/>
      <c r="CC568" s="120"/>
      <c r="CD568" s="119"/>
      <c r="CE568" s="119" t="s">
        <v>1356</v>
      </c>
      <c r="CF568" s="119"/>
      <c r="CG568" s="120"/>
      <c r="CH568" s="119"/>
      <c r="CI568" s="120"/>
      <c r="CJ568" s="119"/>
      <c r="CK568" s="119" t="s">
        <v>1356</v>
      </c>
      <c r="CL568" s="119"/>
      <c r="CM568" s="120"/>
      <c r="CN568" s="119"/>
      <c r="CO568" s="120"/>
      <c r="CP568" s="119"/>
      <c r="CQ568" s="119" t="s">
        <v>1356</v>
      </c>
      <c r="CR568" s="119"/>
      <c r="CS568" s="120"/>
      <c r="CT568" s="119"/>
      <c r="CU568" s="120"/>
      <c r="CV568" s="119"/>
      <c r="CW568" s="119" t="s">
        <v>1356</v>
      </c>
      <c r="CX568" s="119"/>
      <c r="CY568" s="120"/>
      <c r="CZ568" s="119"/>
      <c r="DA568" s="120"/>
      <c r="DB568" s="36" t="s">
        <v>7085</v>
      </c>
      <c r="DC568" s="59" t="s">
        <v>105</v>
      </c>
    </row>
    <row r="569" spans="1:107" s="40" customFormat="1" x14ac:dyDescent="0.3">
      <c r="A569" s="35" t="s">
        <v>4219</v>
      </c>
      <c r="B569" s="35" t="s">
        <v>5748</v>
      </c>
      <c r="C569" s="35" t="s">
        <v>5749</v>
      </c>
      <c r="D569" s="35" t="s">
        <v>5750</v>
      </c>
      <c r="E569" s="35" t="s">
        <v>5751</v>
      </c>
      <c r="F569" s="35" t="s">
        <v>4289</v>
      </c>
      <c r="G569" s="35" t="s">
        <v>4230</v>
      </c>
      <c r="H569" s="27" t="s">
        <v>6934</v>
      </c>
      <c r="I569" s="62">
        <v>2401</v>
      </c>
      <c r="J569" s="62">
        <v>240153</v>
      </c>
      <c r="K569" s="63">
        <v>4</v>
      </c>
      <c r="L569" s="35" t="s">
        <v>5752</v>
      </c>
      <c r="M569" s="35"/>
      <c r="N569" s="35" t="s">
        <v>5753</v>
      </c>
      <c r="O569" s="35" t="s">
        <v>693</v>
      </c>
      <c r="P569" s="35"/>
      <c r="Q569" s="35"/>
      <c r="R569" s="35" t="s">
        <v>60</v>
      </c>
      <c r="S569" s="35"/>
      <c r="T569" s="35"/>
      <c r="U569" s="35" t="s">
        <v>5754</v>
      </c>
      <c r="V569" s="35"/>
      <c r="W569" s="35" t="s">
        <v>5752</v>
      </c>
      <c r="X569" s="35" t="s">
        <v>5755</v>
      </c>
      <c r="Y569" s="35" t="s">
        <v>5756</v>
      </c>
      <c r="Z569" s="35"/>
      <c r="AA569" s="35"/>
      <c r="AB569" s="35">
        <v>240153999</v>
      </c>
      <c r="AC569" s="35">
        <v>240153999001</v>
      </c>
      <c r="AD569" s="35">
        <v>240153999001002</v>
      </c>
      <c r="AE569" s="63">
        <v>5</v>
      </c>
      <c r="AF569" s="63" t="s">
        <v>772</v>
      </c>
      <c r="AG569" s="29" t="s">
        <v>65</v>
      </c>
      <c r="AH569" s="75"/>
      <c r="AI569" s="65" t="s">
        <v>65</v>
      </c>
      <c r="AJ569" s="32" t="s">
        <v>6939</v>
      </c>
      <c r="AK569" s="33" t="s">
        <v>92</v>
      </c>
      <c r="AL569" s="34"/>
      <c r="AM569" s="35"/>
      <c r="AN569" s="35"/>
      <c r="AO569" s="35"/>
      <c r="AP569" s="35"/>
      <c r="AQ569" s="37">
        <f t="shared" si="27"/>
        <v>0</v>
      </c>
      <c r="AR569" s="38">
        <f t="shared" si="28"/>
        <v>0</v>
      </c>
      <c r="AS569" s="39">
        <f t="shared" si="29"/>
        <v>0</v>
      </c>
      <c r="AT569" s="99"/>
      <c r="AU569" s="99" t="s">
        <v>1356</v>
      </c>
      <c r="AV569" s="99"/>
      <c r="AW569" s="100"/>
      <c r="AX569" s="99"/>
      <c r="AY569" s="101"/>
      <c r="AZ569" s="99"/>
      <c r="BA569" s="99" t="s">
        <v>1356</v>
      </c>
      <c r="BB569" s="99"/>
      <c r="BC569" s="101"/>
      <c r="BD569" s="99"/>
      <c r="BE569" s="101"/>
      <c r="BF569" s="99"/>
      <c r="BG569" s="99" t="s">
        <v>1356</v>
      </c>
      <c r="BH569" s="99"/>
      <c r="BI569" s="101"/>
      <c r="BJ569" s="99"/>
      <c r="BK569" s="101"/>
      <c r="BL569" s="99"/>
      <c r="BM569" s="99" t="s">
        <v>1356</v>
      </c>
      <c r="BN569" s="99"/>
      <c r="BO569" s="101"/>
      <c r="BP569" s="99"/>
      <c r="BQ569" s="101"/>
      <c r="BR569" s="99"/>
      <c r="BS569" s="99" t="s">
        <v>1356</v>
      </c>
      <c r="BT569" s="99"/>
      <c r="BU569" s="101"/>
      <c r="BV569" s="99"/>
      <c r="BW569" s="101"/>
      <c r="BX569" s="119"/>
      <c r="BY569" s="119" t="s">
        <v>1356</v>
      </c>
      <c r="BZ569" s="119"/>
      <c r="CA569" s="120"/>
      <c r="CB569" s="119"/>
      <c r="CC569" s="120"/>
      <c r="CD569" s="119"/>
      <c r="CE569" s="119" t="s">
        <v>1356</v>
      </c>
      <c r="CF569" s="119"/>
      <c r="CG569" s="120"/>
      <c r="CH569" s="119"/>
      <c r="CI569" s="120"/>
      <c r="CJ569" s="119"/>
      <c r="CK569" s="119" t="s">
        <v>1356</v>
      </c>
      <c r="CL569" s="119"/>
      <c r="CM569" s="120"/>
      <c r="CN569" s="119"/>
      <c r="CO569" s="120"/>
      <c r="CP569" s="119"/>
      <c r="CQ569" s="119" t="s">
        <v>1356</v>
      </c>
      <c r="CR569" s="119"/>
      <c r="CS569" s="120"/>
      <c r="CT569" s="119"/>
      <c r="CU569" s="120"/>
      <c r="CV569" s="119"/>
      <c r="CW569" s="119" t="s">
        <v>1356</v>
      </c>
      <c r="CX569" s="119"/>
      <c r="CY569" s="120"/>
      <c r="CZ569" s="119"/>
      <c r="DA569" s="120"/>
      <c r="DB569" s="35"/>
      <c r="DC569" s="59"/>
    </row>
    <row r="570" spans="1:107" s="40" customFormat="1" ht="14.55" customHeight="1" x14ac:dyDescent="0.3">
      <c r="A570" s="66" t="s">
        <v>3500</v>
      </c>
      <c r="B570" s="66" t="s">
        <v>3717</v>
      </c>
      <c r="C570" s="66" t="s">
        <v>3718</v>
      </c>
      <c r="D570" s="66" t="s">
        <v>1222</v>
      </c>
      <c r="E570" s="66" t="s">
        <v>1223</v>
      </c>
      <c r="F570" s="66" t="s">
        <v>210</v>
      </c>
      <c r="G570" s="68" t="s">
        <v>72</v>
      </c>
      <c r="H570" s="43" t="s">
        <v>251</v>
      </c>
      <c r="I570" s="68">
        <v>1705</v>
      </c>
      <c r="J570" s="68">
        <v>170550</v>
      </c>
      <c r="K570" s="69">
        <v>4</v>
      </c>
      <c r="L570" s="66" t="s">
        <v>1224</v>
      </c>
      <c r="M570" s="66" t="s">
        <v>258</v>
      </c>
      <c r="N570" s="66" t="s">
        <v>1225</v>
      </c>
      <c r="O570" s="66" t="s">
        <v>338</v>
      </c>
      <c r="P570" s="66" t="s">
        <v>1226</v>
      </c>
      <c r="Q570" s="66"/>
      <c r="R570" s="66" t="s">
        <v>60</v>
      </c>
      <c r="S570" s="66"/>
      <c r="T570" s="66" t="s">
        <v>1227</v>
      </c>
      <c r="U570" s="66" t="s">
        <v>1228</v>
      </c>
      <c r="V570" s="66"/>
      <c r="W570" s="66" t="s">
        <v>1229</v>
      </c>
      <c r="X570" s="66" t="s">
        <v>1230</v>
      </c>
      <c r="Y570" s="66" t="s">
        <v>1231</v>
      </c>
      <c r="Z570" s="66"/>
      <c r="AA570" s="66"/>
      <c r="AB570" s="66">
        <v>170550999</v>
      </c>
      <c r="AC570" s="66">
        <v>170550999003</v>
      </c>
      <c r="AD570" s="66"/>
      <c r="AE570" s="69">
        <v>5</v>
      </c>
      <c r="AF570" s="69" t="s">
        <v>772</v>
      </c>
      <c r="AG570" s="46" t="s">
        <v>66</v>
      </c>
      <c r="AH570" s="70" t="s">
        <v>1232</v>
      </c>
      <c r="AI570" s="71" t="s">
        <v>66</v>
      </c>
      <c r="AJ570" s="49" t="s">
        <v>6938</v>
      </c>
      <c r="AK570" s="50" t="s">
        <v>67</v>
      </c>
      <c r="AL570" s="58">
        <v>45586</v>
      </c>
      <c r="AM570" s="52" t="s">
        <v>66</v>
      </c>
      <c r="AN570" s="52"/>
      <c r="AO570" s="52"/>
      <c r="AP570" s="52"/>
      <c r="AQ570" s="53">
        <f t="shared" si="27"/>
        <v>4</v>
      </c>
      <c r="AR570" s="54">
        <f t="shared" si="28"/>
        <v>0</v>
      </c>
      <c r="AS570" s="55">
        <f t="shared" si="29"/>
        <v>4</v>
      </c>
      <c r="AT570" s="102" t="s">
        <v>879</v>
      </c>
      <c r="AU570" s="103" t="s">
        <v>6702</v>
      </c>
      <c r="AV570" s="104">
        <v>7.75</v>
      </c>
      <c r="AW570" s="105">
        <v>45586</v>
      </c>
      <c r="AX570" s="104">
        <v>7.75</v>
      </c>
      <c r="AY570" s="106">
        <v>45616</v>
      </c>
      <c r="AZ570" s="102" t="s">
        <v>879</v>
      </c>
      <c r="BA570" s="103" t="s">
        <v>6702</v>
      </c>
      <c r="BB570" s="104">
        <v>15.27</v>
      </c>
      <c r="BC570" s="106">
        <v>45586</v>
      </c>
      <c r="BD570" s="104">
        <v>15.27</v>
      </c>
      <c r="BE570" s="106">
        <v>45616</v>
      </c>
      <c r="BF570" s="102" t="s">
        <v>217</v>
      </c>
      <c r="BG570" s="103" t="s">
        <v>6703</v>
      </c>
      <c r="BH570" s="104">
        <v>17.86</v>
      </c>
      <c r="BI570" s="106">
        <v>45586</v>
      </c>
      <c r="BJ570" s="104">
        <v>17.86</v>
      </c>
      <c r="BK570" s="106">
        <v>45616</v>
      </c>
      <c r="BL570" s="102" t="s">
        <v>217</v>
      </c>
      <c r="BM570" s="103" t="s">
        <v>6703</v>
      </c>
      <c r="BN570" s="111">
        <v>15.462899999999999</v>
      </c>
      <c r="BO570" s="106">
        <v>45586</v>
      </c>
      <c r="BP570" s="104">
        <v>15</v>
      </c>
      <c r="BQ570" s="106">
        <v>45616</v>
      </c>
      <c r="BR570" s="102"/>
      <c r="BS570" s="103" t="s">
        <v>1356</v>
      </c>
      <c r="BT570" s="104"/>
      <c r="BU570" s="106"/>
      <c r="BV570" s="104"/>
      <c r="BW570" s="106"/>
      <c r="BX570" s="121"/>
      <c r="BY570" s="122" t="s">
        <v>1356</v>
      </c>
      <c r="BZ570" s="123"/>
      <c r="CA570" s="124"/>
      <c r="CB570" s="123"/>
      <c r="CC570" s="124"/>
      <c r="CD570" s="121"/>
      <c r="CE570" s="122" t="s">
        <v>1356</v>
      </c>
      <c r="CF570" s="123"/>
      <c r="CG570" s="124"/>
      <c r="CH570" s="123"/>
      <c r="CI570" s="124"/>
      <c r="CJ570" s="121"/>
      <c r="CK570" s="122" t="s">
        <v>1356</v>
      </c>
      <c r="CL570" s="123"/>
      <c r="CM570" s="124"/>
      <c r="CN570" s="123"/>
      <c r="CO570" s="124"/>
      <c r="CP570" s="121"/>
      <c r="CQ570" s="122" t="s">
        <v>1356</v>
      </c>
      <c r="CR570" s="123"/>
      <c r="CS570" s="124"/>
      <c r="CT570" s="123"/>
      <c r="CU570" s="124"/>
      <c r="CV570" s="121"/>
      <c r="CW570" s="122" t="s">
        <v>1356</v>
      </c>
      <c r="CX570" s="123"/>
      <c r="CY570" s="124"/>
      <c r="CZ570" s="123"/>
      <c r="DA570" s="124"/>
      <c r="DB570" s="52" t="s">
        <v>6962</v>
      </c>
      <c r="DC570" s="73" t="s">
        <v>105</v>
      </c>
    </row>
    <row r="571" spans="1:107" s="40" customFormat="1" ht="14.55" customHeight="1" x14ac:dyDescent="0.3">
      <c r="A571" s="66" t="s">
        <v>3500</v>
      </c>
      <c r="B571" s="66" t="s">
        <v>3719</v>
      </c>
      <c r="C571" s="66" t="s">
        <v>3720</v>
      </c>
      <c r="D571" s="66" t="s">
        <v>1233</v>
      </c>
      <c r="E571" s="66" t="s">
        <v>1234</v>
      </c>
      <c r="F571" s="66" t="s">
        <v>256</v>
      </c>
      <c r="G571" s="68" t="s">
        <v>72</v>
      </c>
      <c r="H571" s="43" t="s">
        <v>251</v>
      </c>
      <c r="I571" s="68">
        <v>1701</v>
      </c>
      <c r="J571" s="68">
        <v>170177</v>
      </c>
      <c r="K571" s="69">
        <v>4</v>
      </c>
      <c r="L571" s="66" t="s">
        <v>1235</v>
      </c>
      <c r="M571" s="66" t="s">
        <v>1236</v>
      </c>
      <c r="N571" s="66" t="s">
        <v>1237</v>
      </c>
      <c r="O571" s="66"/>
      <c r="P571" s="66" t="s">
        <v>1238</v>
      </c>
      <c r="Q571" s="66" t="s">
        <v>1239</v>
      </c>
      <c r="R571" s="66" t="s">
        <v>60</v>
      </c>
      <c r="S571" s="66"/>
      <c r="T571" s="66" t="s">
        <v>1238</v>
      </c>
      <c r="U571" s="66" t="s">
        <v>955</v>
      </c>
      <c r="V571" s="66"/>
      <c r="W571" s="66" t="s">
        <v>1240</v>
      </c>
      <c r="X571" s="66" t="s">
        <v>1241</v>
      </c>
      <c r="Y571" s="66" t="s">
        <v>1242</v>
      </c>
      <c r="Z571" s="66"/>
      <c r="AA571" s="66"/>
      <c r="AB571" s="66">
        <v>170177006</v>
      </c>
      <c r="AC571" s="66">
        <v>170177006004</v>
      </c>
      <c r="AD571" s="66">
        <v>170177006004002</v>
      </c>
      <c r="AE571" s="69">
        <v>5</v>
      </c>
      <c r="AF571" s="69" t="s">
        <v>772</v>
      </c>
      <c r="AG571" s="46" t="s">
        <v>66</v>
      </c>
      <c r="AH571" s="70" t="s">
        <v>1243</v>
      </c>
      <c r="AI571" s="71" t="s">
        <v>66</v>
      </c>
      <c r="AJ571" s="49" t="s">
        <v>6938</v>
      </c>
      <c r="AK571" s="50" t="s">
        <v>67</v>
      </c>
      <c r="AL571" s="58">
        <v>45586</v>
      </c>
      <c r="AM571" s="52" t="s">
        <v>66</v>
      </c>
      <c r="AN571" s="52"/>
      <c r="AO571" s="52"/>
      <c r="AP571" s="52"/>
      <c r="AQ571" s="53">
        <f t="shared" si="27"/>
        <v>3</v>
      </c>
      <c r="AR571" s="54">
        <f t="shared" si="28"/>
        <v>0</v>
      </c>
      <c r="AS571" s="55">
        <f t="shared" si="29"/>
        <v>3</v>
      </c>
      <c r="AT571" s="102" t="s">
        <v>699</v>
      </c>
      <c r="AU571" s="103" t="s">
        <v>6730</v>
      </c>
      <c r="AV571" s="104">
        <v>2.33</v>
      </c>
      <c r="AW571" s="105">
        <v>45586</v>
      </c>
      <c r="AX571" s="104">
        <v>2.33</v>
      </c>
      <c r="AY571" s="106">
        <v>45616</v>
      </c>
      <c r="AZ571" s="102" t="s">
        <v>1100</v>
      </c>
      <c r="BA571" s="103" t="s">
        <v>6716</v>
      </c>
      <c r="BB571" s="104">
        <v>4</v>
      </c>
      <c r="BC571" s="106">
        <v>45586</v>
      </c>
      <c r="BD571" s="104">
        <v>4</v>
      </c>
      <c r="BE571" s="106">
        <v>45616</v>
      </c>
      <c r="BF571" s="102" t="s">
        <v>1099</v>
      </c>
      <c r="BG571" s="103" t="s">
        <v>6715</v>
      </c>
      <c r="BH571" s="104">
        <v>4.13</v>
      </c>
      <c r="BI571" s="106">
        <v>45586</v>
      </c>
      <c r="BJ571" s="104">
        <v>4.13</v>
      </c>
      <c r="BK571" s="106">
        <v>45616</v>
      </c>
      <c r="BL571" s="102"/>
      <c r="BM571" s="103" t="s">
        <v>1356</v>
      </c>
      <c r="BN571" s="104"/>
      <c r="BO571" s="106"/>
      <c r="BP571" s="104"/>
      <c r="BQ571" s="106"/>
      <c r="BR571" s="102"/>
      <c r="BS571" s="103" t="s">
        <v>1356</v>
      </c>
      <c r="BT571" s="104"/>
      <c r="BU571" s="106"/>
      <c r="BV571" s="104"/>
      <c r="BW571" s="106"/>
      <c r="BX571" s="121"/>
      <c r="BY571" s="122" t="s">
        <v>1356</v>
      </c>
      <c r="BZ571" s="123"/>
      <c r="CA571" s="124"/>
      <c r="CB571" s="123"/>
      <c r="CC571" s="124"/>
      <c r="CD571" s="121"/>
      <c r="CE571" s="122" t="s">
        <v>1356</v>
      </c>
      <c r="CF571" s="123"/>
      <c r="CG571" s="124"/>
      <c r="CH571" s="123"/>
      <c r="CI571" s="124"/>
      <c r="CJ571" s="121"/>
      <c r="CK571" s="122" t="s">
        <v>1356</v>
      </c>
      <c r="CL571" s="123"/>
      <c r="CM571" s="124"/>
      <c r="CN571" s="123"/>
      <c r="CO571" s="124"/>
      <c r="CP571" s="121"/>
      <c r="CQ571" s="122" t="s">
        <v>1356</v>
      </c>
      <c r="CR571" s="123"/>
      <c r="CS571" s="124"/>
      <c r="CT571" s="123"/>
      <c r="CU571" s="124"/>
      <c r="CV571" s="121"/>
      <c r="CW571" s="122" t="s">
        <v>1356</v>
      </c>
      <c r="CX571" s="123"/>
      <c r="CY571" s="124"/>
      <c r="CZ571" s="123"/>
      <c r="DA571" s="124"/>
      <c r="DB571" s="52" t="s">
        <v>6962</v>
      </c>
      <c r="DC571" s="73" t="s">
        <v>105</v>
      </c>
    </row>
    <row r="572" spans="1:107" s="40" customFormat="1" ht="14.55" customHeight="1" x14ac:dyDescent="0.3">
      <c r="A572" s="35" t="s">
        <v>4219</v>
      </c>
      <c r="B572" s="35" t="s">
        <v>5776</v>
      </c>
      <c r="C572" s="35" t="s">
        <v>5777</v>
      </c>
      <c r="D572" s="35" t="s">
        <v>5778</v>
      </c>
      <c r="E572" s="35" t="s">
        <v>70</v>
      </c>
      <c r="F572" s="35" t="s">
        <v>439</v>
      </c>
      <c r="G572" s="35" t="s">
        <v>4237</v>
      </c>
      <c r="H572" s="27" t="s">
        <v>686</v>
      </c>
      <c r="I572" s="62">
        <v>907</v>
      </c>
      <c r="J572" s="62">
        <v>90750</v>
      </c>
      <c r="K572" s="63">
        <v>4</v>
      </c>
      <c r="L572" s="35" t="s">
        <v>5779</v>
      </c>
      <c r="M572" s="35" t="s">
        <v>258</v>
      </c>
      <c r="N572" s="35"/>
      <c r="O572" s="35" t="s">
        <v>2512</v>
      </c>
      <c r="P572" s="35"/>
      <c r="Q572" s="35" t="s">
        <v>5780</v>
      </c>
      <c r="R572" s="35" t="s">
        <v>4603</v>
      </c>
      <c r="S572" s="35"/>
      <c r="T572" s="35"/>
      <c r="U572" s="35" t="s">
        <v>5781</v>
      </c>
      <c r="V572" s="35"/>
      <c r="W572" s="35" t="s">
        <v>5782</v>
      </c>
      <c r="X572" s="35" t="s">
        <v>5783</v>
      </c>
      <c r="Y572" s="35" t="s">
        <v>5784</v>
      </c>
      <c r="Z572" s="35">
        <v>-79.809823930263519</v>
      </c>
      <c r="AA572" s="35">
        <v>-2.2140307570222379</v>
      </c>
      <c r="AB572" s="35">
        <v>90750072</v>
      </c>
      <c r="AC572" s="35">
        <v>90750072007</v>
      </c>
      <c r="AD572" s="35">
        <v>90750072007010</v>
      </c>
      <c r="AE572" s="63">
        <v>5</v>
      </c>
      <c r="AF572" s="63" t="s">
        <v>772</v>
      </c>
      <c r="AG572" s="29" t="s">
        <v>65</v>
      </c>
      <c r="AH572" s="75"/>
      <c r="AI572" s="65" t="s">
        <v>66</v>
      </c>
      <c r="AJ572" s="32" t="s">
        <v>6938</v>
      </c>
      <c r="AK572" s="33" t="s">
        <v>67</v>
      </c>
      <c r="AL572" s="58">
        <v>45568</v>
      </c>
      <c r="AM572" s="35" t="s">
        <v>66</v>
      </c>
      <c r="AN572" s="35"/>
      <c r="AO572" s="35"/>
      <c r="AP572" s="35"/>
      <c r="AQ572" s="37">
        <f t="shared" si="27"/>
        <v>0</v>
      </c>
      <c r="AR572" s="38">
        <f t="shared" si="28"/>
        <v>0</v>
      </c>
      <c r="AS572" s="39">
        <f t="shared" si="29"/>
        <v>0</v>
      </c>
      <c r="AT572" s="99"/>
      <c r="AU572" s="99" t="s">
        <v>1356</v>
      </c>
      <c r="AV572" s="99"/>
      <c r="AW572" s="100"/>
      <c r="AX572" s="99"/>
      <c r="AY572" s="101"/>
      <c r="AZ572" s="99"/>
      <c r="BA572" s="99" t="s">
        <v>1356</v>
      </c>
      <c r="BB572" s="99"/>
      <c r="BC572" s="101"/>
      <c r="BD572" s="99"/>
      <c r="BE572" s="101"/>
      <c r="BF572" s="99"/>
      <c r="BG572" s="99" t="s">
        <v>1356</v>
      </c>
      <c r="BH572" s="99"/>
      <c r="BI572" s="101"/>
      <c r="BJ572" s="99"/>
      <c r="BK572" s="101"/>
      <c r="BL572" s="99"/>
      <c r="BM572" s="99" t="s">
        <v>1356</v>
      </c>
      <c r="BN572" s="99"/>
      <c r="BO572" s="101"/>
      <c r="BP572" s="99"/>
      <c r="BQ572" s="101"/>
      <c r="BR572" s="99"/>
      <c r="BS572" s="99" t="s">
        <v>1356</v>
      </c>
      <c r="BT572" s="99"/>
      <c r="BU572" s="101"/>
      <c r="BV572" s="99"/>
      <c r="BW572" s="101"/>
      <c r="BX572" s="119"/>
      <c r="BY572" s="119" t="s">
        <v>1356</v>
      </c>
      <c r="BZ572" s="119"/>
      <c r="CA572" s="120"/>
      <c r="CB572" s="119"/>
      <c r="CC572" s="120"/>
      <c r="CD572" s="119"/>
      <c r="CE572" s="119" t="s">
        <v>1356</v>
      </c>
      <c r="CF572" s="119"/>
      <c r="CG572" s="120"/>
      <c r="CH572" s="119"/>
      <c r="CI572" s="120"/>
      <c r="CJ572" s="119"/>
      <c r="CK572" s="119" t="s">
        <v>1356</v>
      </c>
      <c r="CL572" s="119"/>
      <c r="CM572" s="120"/>
      <c r="CN572" s="119"/>
      <c r="CO572" s="120"/>
      <c r="CP572" s="119"/>
      <c r="CQ572" s="119" t="s">
        <v>1356</v>
      </c>
      <c r="CR572" s="119"/>
      <c r="CS572" s="120"/>
      <c r="CT572" s="119"/>
      <c r="CU572" s="120"/>
      <c r="CV572" s="119"/>
      <c r="CW572" s="119" t="s">
        <v>1356</v>
      </c>
      <c r="CX572" s="119"/>
      <c r="CY572" s="120"/>
      <c r="CZ572" s="119"/>
      <c r="DA572" s="120"/>
      <c r="DB572" s="36" t="s">
        <v>7085</v>
      </c>
      <c r="DC572" s="59" t="s">
        <v>105</v>
      </c>
    </row>
    <row r="573" spans="1:107" s="40" customFormat="1" ht="14.55" customHeight="1" x14ac:dyDescent="0.3">
      <c r="A573" s="35" t="s">
        <v>4219</v>
      </c>
      <c r="B573" s="35" t="s">
        <v>5785</v>
      </c>
      <c r="C573" s="35" t="s">
        <v>5786</v>
      </c>
      <c r="D573" s="35" t="s">
        <v>5787</v>
      </c>
      <c r="E573" s="35" t="s">
        <v>5787</v>
      </c>
      <c r="F573" s="35" t="s">
        <v>220</v>
      </c>
      <c r="G573" s="35" t="s">
        <v>4237</v>
      </c>
      <c r="H573" s="27" t="s">
        <v>686</v>
      </c>
      <c r="I573" s="62">
        <v>901</v>
      </c>
      <c r="J573" s="62">
        <v>90150</v>
      </c>
      <c r="K573" s="63">
        <v>4</v>
      </c>
      <c r="L573" s="35" t="s">
        <v>5789</v>
      </c>
      <c r="M573" s="35"/>
      <c r="N573" s="35"/>
      <c r="O573" s="35" t="s">
        <v>5790</v>
      </c>
      <c r="P573" s="35"/>
      <c r="Q573" s="35"/>
      <c r="R573" s="35"/>
      <c r="S573" s="35"/>
      <c r="T573" s="35"/>
      <c r="U573" s="35"/>
      <c r="V573" s="35"/>
      <c r="W573" s="35" t="s">
        <v>5791</v>
      </c>
      <c r="X573" s="35" t="s">
        <v>5792</v>
      </c>
      <c r="Y573" s="35" t="s">
        <v>5793</v>
      </c>
      <c r="Z573" s="35"/>
      <c r="AA573" s="35"/>
      <c r="AB573" s="35">
        <v>90150689</v>
      </c>
      <c r="AC573" s="35">
        <v>90150689005</v>
      </c>
      <c r="AD573" s="35">
        <v>90150689005001</v>
      </c>
      <c r="AE573" s="63">
        <v>5</v>
      </c>
      <c r="AF573" s="63" t="s">
        <v>772</v>
      </c>
      <c r="AG573" s="29" t="s">
        <v>65</v>
      </c>
      <c r="AH573" s="75"/>
      <c r="AI573" s="65" t="s">
        <v>65</v>
      </c>
      <c r="AJ573" s="32" t="s">
        <v>6938</v>
      </c>
      <c r="AK573" s="33" t="s">
        <v>92</v>
      </c>
      <c r="AL573" s="34">
        <v>45589</v>
      </c>
      <c r="AM573" s="35"/>
      <c r="AN573" s="35"/>
      <c r="AO573" s="35"/>
      <c r="AP573" s="35"/>
      <c r="AQ573" s="37">
        <f t="shared" si="27"/>
        <v>0</v>
      </c>
      <c r="AR573" s="38">
        <f t="shared" si="28"/>
        <v>0</v>
      </c>
      <c r="AS573" s="39">
        <f t="shared" si="29"/>
        <v>0</v>
      </c>
      <c r="AT573" s="99"/>
      <c r="AU573" s="99" t="s">
        <v>1356</v>
      </c>
      <c r="AV573" s="99"/>
      <c r="AW573" s="100"/>
      <c r="AX573" s="99"/>
      <c r="AY573" s="101"/>
      <c r="AZ573" s="99"/>
      <c r="BA573" s="99" t="s">
        <v>1356</v>
      </c>
      <c r="BB573" s="99"/>
      <c r="BC573" s="101"/>
      <c r="BD573" s="99"/>
      <c r="BE573" s="101"/>
      <c r="BF573" s="99"/>
      <c r="BG573" s="99" t="s">
        <v>1356</v>
      </c>
      <c r="BH573" s="99"/>
      <c r="BI573" s="101"/>
      <c r="BJ573" s="99"/>
      <c r="BK573" s="101"/>
      <c r="BL573" s="99"/>
      <c r="BM573" s="99" t="s">
        <v>1356</v>
      </c>
      <c r="BN573" s="99"/>
      <c r="BO573" s="101"/>
      <c r="BP573" s="99"/>
      <c r="BQ573" s="101"/>
      <c r="BR573" s="99"/>
      <c r="BS573" s="99" t="s">
        <v>1356</v>
      </c>
      <c r="BT573" s="99"/>
      <c r="BU573" s="101"/>
      <c r="BV573" s="99"/>
      <c r="BW573" s="101"/>
      <c r="BX573" s="119"/>
      <c r="BY573" s="119" t="s">
        <v>1356</v>
      </c>
      <c r="BZ573" s="119"/>
      <c r="CA573" s="120"/>
      <c r="CB573" s="119"/>
      <c r="CC573" s="120"/>
      <c r="CD573" s="119"/>
      <c r="CE573" s="119" t="s">
        <v>1356</v>
      </c>
      <c r="CF573" s="119"/>
      <c r="CG573" s="120"/>
      <c r="CH573" s="119"/>
      <c r="CI573" s="120"/>
      <c r="CJ573" s="119"/>
      <c r="CK573" s="119" t="s">
        <v>1356</v>
      </c>
      <c r="CL573" s="119"/>
      <c r="CM573" s="120"/>
      <c r="CN573" s="119"/>
      <c r="CO573" s="120"/>
      <c r="CP573" s="119"/>
      <c r="CQ573" s="119" t="s">
        <v>1356</v>
      </c>
      <c r="CR573" s="119"/>
      <c r="CS573" s="120"/>
      <c r="CT573" s="119"/>
      <c r="CU573" s="120"/>
      <c r="CV573" s="119"/>
      <c r="CW573" s="119" t="s">
        <v>1356</v>
      </c>
      <c r="CX573" s="119"/>
      <c r="CY573" s="120"/>
      <c r="CZ573" s="119"/>
      <c r="DA573" s="120"/>
      <c r="DB573" s="36" t="s">
        <v>7085</v>
      </c>
      <c r="DC573" s="59" t="s">
        <v>92</v>
      </c>
    </row>
    <row r="574" spans="1:107" s="40" customFormat="1" ht="14.55" customHeight="1" x14ac:dyDescent="0.3">
      <c r="A574" s="35" t="s">
        <v>4219</v>
      </c>
      <c r="B574" s="35" t="s">
        <v>5794</v>
      </c>
      <c r="C574" s="35" t="s">
        <v>5795</v>
      </c>
      <c r="D574" s="35" t="s">
        <v>5796</v>
      </c>
      <c r="E574" s="35" t="s">
        <v>5797</v>
      </c>
      <c r="F574" s="35" t="s">
        <v>651</v>
      </c>
      <c r="G574" s="35" t="s">
        <v>4237</v>
      </c>
      <c r="H574" s="27" t="s">
        <v>686</v>
      </c>
      <c r="I574" s="62">
        <v>901</v>
      </c>
      <c r="J574" s="62">
        <v>90150</v>
      </c>
      <c r="K574" s="63">
        <v>4</v>
      </c>
      <c r="L574" s="35" t="s">
        <v>5798</v>
      </c>
      <c r="M574" s="35" t="s">
        <v>5799</v>
      </c>
      <c r="N574" s="35"/>
      <c r="O574" s="35" t="s">
        <v>5800</v>
      </c>
      <c r="P574" s="35"/>
      <c r="Q574" s="35"/>
      <c r="R574" s="35"/>
      <c r="S574" s="35"/>
      <c r="T574" s="35"/>
      <c r="U574" s="35"/>
      <c r="V574" s="35" t="s">
        <v>5801</v>
      </c>
      <c r="W574" s="35" t="s">
        <v>5802</v>
      </c>
      <c r="X574" s="35" t="s">
        <v>5803</v>
      </c>
      <c r="Y574" s="35" t="s">
        <v>5804</v>
      </c>
      <c r="Z574" s="35">
        <v>-79.953552999999999</v>
      </c>
      <c r="AA574" s="35">
        <v>-2.0563760000000002</v>
      </c>
      <c r="AB574" s="35">
        <v>90150050</v>
      </c>
      <c r="AC574" s="35">
        <v>90150050005</v>
      </c>
      <c r="AD574" s="35">
        <v>90150050005003</v>
      </c>
      <c r="AE574" s="63">
        <v>5</v>
      </c>
      <c r="AF574" s="63" t="s">
        <v>772</v>
      </c>
      <c r="AG574" s="29" t="s">
        <v>65</v>
      </c>
      <c r="AH574" s="75"/>
      <c r="AI574" s="65" t="s">
        <v>65</v>
      </c>
      <c r="AJ574" s="32" t="s">
        <v>6938</v>
      </c>
      <c r="AK574" s="33" t="s">
        <v>92</v>
      </c>
      <c r="AL574" s="58">
        <v>45569</v>
      </c>
      <c r="AM574" s="35"/>
      <c r="AN574" s="35"/>
      <c r="AO574" s="35"/>
      <c r="AP574" s="35"/>
      <c r="AQ574" s="37">
        <f t="shared" si="27"/>
        <v>0</v>
      </c>
      <c r="AR574" s="38">
        <f t="shared" si="28"/>
        <v>0</v>
      </c>
      <c r="AS574" s="39">
        <f t="shared" si="29"/>
        <v>0</v>
      </c>
      <c r="AT574" s="99"/>
      <c r="AU574" s="99" t="s">
        <v>1356</v>
      </c>
      <c r="AV574" s="99"/>
      <c r="AW574" s="100"/>
      <c r="AX574" s="99"/>
      <c r="AY574" s="101"/>
      <c r="AZ574" s="99"/>
      <c r="BA574" s="99" t="s">
        <v>1356</v>
      </c>
      <c r="BB574" s="99"/>
      <c r="BC574" s="101"/>
      <c r="BD574" s="99"/>
      <c r="BE574" s="101"/>
      <c r="BF574" s="99"/>
      <c r="BG574" s="99" t="s">
        <v>1356</v>
      </c>
      <c r="BH574" s="99"/>
      <c r="BI574" s="101"/>
      <c r="BJ574" s="99"/>
      <c r="BK574" s="101"/>
      <c r="BL574" s="99"/>
      <c r="BM574" s="99" t="s">
        <v>1356</v>
      </c>
      <c r="BN574" s="99"/>
      <c r="BO574" s="101"/>
      <c r="BP574" s="99"/>
      <c r="BQ574" s="101"/>
      <c r="BR574" s="99"/>
      <c r="BS574" s="99" t="s">
        <v>1356</v>
      </c>
      <c r="BT574" s="99"/>
      <c r="BU574" s="101"/>
      <c r="BV574" s="99"/>
      <c r="BW574" s="101"/>
      <c r="BX574" s="119"/>
      <c r="BY574" s="119" t="s">
        <v>1356</v>
      </c>
      <c r="BZ574" s="119"/>
      <c r="CA574" s="120"/>
      <c r="CB574" s="119"/>
      <c r="CC574" s="120"/>
      <c r="CD574" s="119"/>
      <c r="CE574" s="119" t="s">
        <v>1356</v>
      </c>
      <c r="CF574" s="119"/>
      <c r="CG574" s="120"/>
      <c r="CH574" s="119"/>
      <c r="CI574" s="120"/>
      <c r="CJ574" s="119"/>
      <c r="CK574" s="119" t="s">
        <v>1356</v>
      </c>
      <c r="CL574" s="119"/>
      <c r="CM574" s="120"/>
      <c r="CN574" s="119"/>
      <c r="CO574" s="120"/>
      <c r="CP574" s="119"/>
      <c r="CQ574" s="119" t="s">
        <v>1356</v>
      </c>
      <c r="CR574" s="119"/>
      <c r="CS574" s="120"/>
      <c r="CT574" s="119"/>
      <c r="CU574" s="120"/>
      <c r="CV574" s="119"/>
      <c r="CW574" s="119" t="s">
        <v>1356</v>
      </c>
      <c r="CX574" s="119"/>
      <c r="CY574" s="120"/>
      <c r="CZ574" s="119"/>
      <c r="DA574" s="120"/>
      <c r="DB574" s="36" t="s">
        <v>7085</v>
      </c>
      <c r="DC574" s="59" t="s">
        <v>92</v>
      </c>
    </row>
    <row r="575" spans="1:107" s="40" customFormat="1" x14ac:dyDescent="0.3">
      <c r="A575" s="35" t="s">
        <v>4219</v>
      </c>
      <c r="B575" s="35" t="s">
        <v>5805</v>
      </c>
      <c r="C575" s="35" t="s">
        <v>5806</v>
      </c>
      <c r="D575" s="35" t="s">
        <v>5807</v>
      </c>
      <c r="E575" s="35" t="s">
        <v>5808</v>
      </c>
      <c r="F575" s="35" t="s">
        <v>1585</v>
      </c>
      <c r="G575" s="35" t="s">
        <v>4237</v>
      </c>
      <c r="H575" s="27" t="s">
        <v>686</v>
      </c>
      <c r="I575" s="62">
        <v>901</v>
      </c>
      <c r="J575" s="62">
        <v>90150</v>
      </c>
      <c r="K575" s="63">
        <v>4</v>
      </c>
      <c r="L575" s="35" t="s">
        <v>4483</v>
      </c>
      <c r="M575" s="35"/>
      <c r="N575" s="35" t="s">
        <v>5809</v>
      </c>
      <c r="O575" s="35" t="s">
        <v>4532</v>
      </c>
      <c r="P575" s="35" t="s">
        <v>4483</v>
      </c>
      <c r="Q575" s="35"/>
      <c r="R575" s="35" t="s">
        <v>60</v>
      </c>
      <c r="S575" s="35" t="s">
        <v>60</v>
      </c>
      <c r="T575" s="35" t="s">
        <v>5810</v>
      </c>
      <c r="U575" s="35" t="s">
        <v>5811</v>
      </c>
      <c r="V575" s="35"/>
      <c r="W575" s="35" t="s">
        <v>5812</v>
      </c>
      <c r="X575" s="35" t="s">
        <v>5813</v>
      </c>
      <c r="Y575" s="35" t="s">
        <v>5814</v>
      </c>
      <c r="Z575" s="35"/>
      <c r="AA575" s="35"/>
      <c r="AB575" s="35">
        <v>90150670</v>
      </c>
      <c r="AC575" s="35">
        <v>90150670001</v>
      </c>
      <c r="AD575" s="35">
        <v>90150670001007</v>
      </c>
      <c r="AE575" s="63">
        <v>5</v>
      </c>
      <c r="AF575" s="63" t="s">
        <v>772</v>
      </c>
      <c r="AG575" s="29" t="s">
        <v>65</v>
      </c>
      <c r="AH575" s="75"/>
      <c r="AI575" s="65" t="s">
        <v>66</v>
      </c>
      <c r="AJ575" s="32" t="s">
        <v>6938</v>
      </c>
      <c r="AK575" s="33" t="s">
        <v>67</v>
      </c>
      <c r="AL575" s="34">
        <v>45573</v>
      </c>
      <c r="AM575" s="35" t="s">
        <v>66</v>
      </c>
      <c r="AN575" s="35"/>
      <c r="AO575" s="35"/>
      <c r="AP575" s="35"/>
      <c r="AQ575" s="37">
        <f t="shared" si="27"/>
        <v>0</v>
      </c>
      <c r="AR575" s="38">
        <f t="shared" si="28"/>
        <v>0</v>
      </c>
      <c r="AS575" s="39">
        <f t="shared" si="29"/>
        <v>0</v>
      </c>
      <c r="AT575" s="99"/>
      <c r="AU575" s="99" t="s">
        <v>1356</v>
      </c>
      <c r="AV575" s="99"/>
      <c r="AW575" s="100"/>
      <c r="AX575" s="99"/>
      <c r="AY575" s="101"/>
      <c r="AZ575" s="99"/>
      <c r="BA575" s="99" t="s">
        <v>1356</v>
      </c>
      <c r="BB575" s="99"/>
      <c r="BC575" s="101"/>
      <c r="BD575" s="99"/>
      <c r="BE575" s="101"/>
      <c r="BF575" s="99"/>
      <c r="BG575" s="99" t="s">
        <v>1356</v>
      </c>
      <c r="BH575" s="99"/>
      <c r="BI575" s="101"/>
      <c r="BJ575" s="99"/>
      <c r="BK575" s="101"/>
      <c r="BL575" s="99"/>
      <c r="BM575" s="99" t="s">
        <v>1356</v>
      </c>
      <c r="BN575" s="99"/>
      <c r="BO575" s="101"/>
      <c r="BP575" s="99"/>
      <c r="BQ575" s="101"/>
      <c r="BR575" s="99"/>
      <c r="BS575" s="99" t="s">
        <v>1356</v>
      </c>
      <c r="BT575" s="99"/>
      <c r="BU575" s="101"/>
      <c r="BV575" s="99"/>
      <c r="BW575" s="101"/>
      <c r="BX575" s="119"/>
      <c r="BY575" s="119" t="s">
        <v>1356</v>
      </c>
      <c r="BZ575" s="119"/>
      <c r="CA575" s="120"/>
      <c r="CB575" s="119"/>
      <c r="CC575" s="120"/>
      <c r="CD575" s="119"/>
      <c r="CE575" s="119" t="s">
        <v>1356</v>
      </c>
      <c r="CF575" s="119"/>
      <c r="CG575" s="120"/>
      <c r="CH575" s="119"/>
      <c r="CI575" s="120"/>
      <c r="CJ575" s="119"/>
      <c r="CK575" s="119" t="s">
        <v>1356</v>
      </c>
      <c r="CL575" s="119"/>
      <c r="CM575" s="120"/>
      <c r="CN575" s="119"/>
      <c r="CO575" s="120"/>
      <c r="CP575" s="119"/>
      <c r="CQ575" s="119" t="s">
        <v>1356</v>
      </c>
      <c r="CR575" s="119"/>
      <c r="CS575" s="120"/>
      <c r="CT575" s="119"/>
      <c r="CU575" s="120"/>
      <c r="CV575" s="119"/>
      <c r="CW575" s="119" t="s">
        <v>1356</v>
      </c>
      <c r="CX575" s="119"/>
      <c r="CY575" s="120"/>
      <c r="CZ575" s="119"/>
      <c r="DA575" s="120"/>
      <c r="DB575" s="36" t="s">
        <v>7085</v>
      </c>
      <c r="DC575" s="59" t="s">
        <v>6751</v>
      </c>
    </row>
    <row r="576" spans="1:107" s="40" customFormat="1" ht="14.55" customHeight="1" x14ac:dyDescent="0.3">
      <c r="A576" s="35" t="s">
        <v>4219</v>
      </c>
      <c r="B576" s="35" t="s">
        <v>5815</v>
      </c>
      <c r="C576" s="35" t="s">
        <v>5816</v>
      </c>
      <c r="D576" s="35" t="s">
        <v>5817</v>
      </c>
      <c r="E576" s="35" t="s">
        <v>5818</v>
      </c>
      <c r="F576" s="35" t="s">
        <v>420</v>
      </c>
      <c r="G576" s="35" t="s">
        <v>4237</v>
      </c>
      <c r="H576" s="27" t="s">
        <v>686</v>
      </c>
      <c r="I576" s="62">
        <v>901</v>
      </c>
      <c r="J576" s="62">
        <v>90150</v>
      </c>
      <c r="K576" s="63">
        <v>4</v>
      </c>
      <c r="L576" s="35" t="s">
        <v>5819</v>
      </c>
      <c r="M576" s="35" t="s">
        <v>5820</v>
      </c>
      <c r="N576" s="35" t="s">
        <v>5821</v>
      </c>
      <c r="O576" s="35" t="s">
        <v>4901</v>
      </c>
      <c r="P576" s="35" t="s">
        <v>5822</v>
      </c>
      <c r="Q576" s="35" t="s">
        <v>5823</v>
      </c>
      <c r="R576" s="35" t="s">
        <v>60</v>
      </c>
      <c r="S576" s="35"/>
      <c r="T576" s="35" t="s">
        <v>4485</v>
      </c>
      <c r="U576" s="35"/>
      <c r="V576" s="35" t="s">
        <v>5824</v>
      </c>
      <c r="W576" s="35" t="s">
        <v>5825</v>
      </c>
      <c r="X576" s="35" t="s">
        <v>5826</v>
      </c>
      <c r="Y576" s="35" t="s">
        <v>5827</v>
      </c>
      <c r="Z576" s="35"/>
      <c r="AA576" s="35"/>
      <c r="AB576" s="35">
        <v>90150517</v>
      </c>
      <c r="AC576" s="35">
        <v>90150517007</v>
      </c>
      <c r="AD576" s="35">
        <v>90150517007003</v>
      </c>
      <c r="AE576" s="63">
        <v>5</v>
      </c>
      <c r="AF576" s="63" t="s">
        <v>772</v>
      </c>
      <c r="AG576" s="29" t="s">
        <v>65</v>
      </c>
      <c r="AH576" s="75"/>
      <c r="AI576" s="65" t="s">
        <v>65</v>
      </c>
      <c r="AJ576" s="32" t="s">
        <v>6938</v>
      </c>
      <c r="AK576" s="33" t="s">
        <v>92</v>
      </c>
      <c r="AL576" s="34">
        <v>45575</v>
      </c>
      <c r="AM576" s="35"/>
      <c r="AN576" s="35"/>
      <c r="AO576" s="35"/>
      <c r="AP576" s="35"/>
      <c r="AQ576" s="37">
        <f t="shared" si="27"/>
        <v>0</v>
      </c>
      <c r="AR576" s="38">
        <f t="shared" si="28"/>
        <v>0</v>
      </c>
      <c r="AS576" s="39">
        <f t="shared" si="29"/>
        <v>0</v>
      </c>
      <c r="AT576" s="99"/>
      <c r="AU576" s="99" t="s">
        <v>1356</v>
      </c>
      <c r="AV576" s="99"/>
      <c r="AW576" s="100"/>
      <c r="AX576" s="99"/>
      <c r="AY576" s="101"/>
      <c r="AZ576" s="99"/>
      <c r="BA576" s="99" t="s">
        <v>1356</v>
      </c>
      <c r="BB576" s="99"/>
      <c r="BC576" s="101"/>
      <c r="BD576" s="99"/>
      <c r="BE576" s="101"/>
      <c r="BF576" s="99"/>
      <c r="BG576" s="99" t="s">
        <v>1356</v>
      </c>
      <c r="BH576" s="99"/>
      <c r="BI576" s="101"/>
      <c r="BJ576" s="99"/>
      <c r="BK576" s="101"/>
      <c r="BL576" s="99"/>
      <c r="BM576" s="99" t="s">
        <v>1356</v>
      </c>
      <c r="BN576" s="99"/>
      <c r="BO576" s="101"/>
      <c r="BP576" s="99"/>
      <c r="BQ576" s="101"/>
      <c r="BR576" s="99"/>
      <c r="BS576" s="99" t="s">
        <v>1356</v>
      </c>
      <c r="BT576" s="99"/>
      <c r="BU576" s="101"/>
      <c r="BV576" s="99"/>
      <c r="BW576" s="101"/>
      <c r="BX576" s="119"/>
      <c r="BY576" s="119" t="s">
        <v>1356</v>
      </c>
      <c r="BZ576" s="119"/>
      <c r="CA576" s="120"/>
      <c r="CB576" s="119"/>
      <c r="CC576" s="120"/>
      <c r="CD576" s="119"/>
      <c r="CE576" s="119" t="s">
        <v>1356</v>
      </c>
      <c r="CF576" s="119"/>
      <c r="CG576" s="120"/>
      <c r="CH576" s="119"/>
      <c r="CI576" s="120"/>
      <c r="CJ576" s="119"/>
      <c r="CK576" s="119" t="s">
        <v>1356</v>
      </c>
      <c r="CL576" s="119"/>
      <c r="CM576" s="120"/>
      <c r="CN576" s="119"/>
      <c r="CO576" s="120"/>
      <c r="CP576" s="119"/>
      <c r="CQ576" s="119" t="s">
        <v>1356</v>
      </c>
      <c r="CR576" s="119"/>
      <c r="CS576" s="120"/>
      <c r="CT576" s="119"/>
      <c r="CU576" s="120"/>
      <c r="CV576" s="119"/>
      <c r="CW576" s="119" t="s">
        <v>1356</v>
      </c>
      <c r="CX576" s="119"/>
      <c r="CY576" s="120"/>
      <c r="CZ576" s="119"/>
      <c r="DA576" s="120"/>
      <c r="DB576" s="36" t="s">
        <v>7085</v>
      </c>
      <c r="DC576" s="59" t="s">
        <v>92</v>
      </c>
    </row>
    <row r="577" spans="1:107" s="40" customFormat="1" x14ac:dyDescent="0.3">
      <c r="A577" s="35" t="s">
        <v>4219</v>
      </c>
      <c r="B577" s="35" t="s">
        <v>5828</v>
      </c>
      <c r="C577" s="35" t="s">
        <v>5829</v>
      </c>
      <c r="D577" s="35" t="s">
        <v>5830</v>
      </c>
      <c r="E577" s="35" t="s">
        <v>5831</v>
      </c>
      <c r="F577" s="35" t="s">
        <v>3036</v>
      </c>
      <c r="G577" s="35" t="s">
        <v>4237</v>
      </c>
      <c r="H577" s="27" t="s">
        <v>686</v>
      </c>
      <c r="I577" s="62">
        <v>907</v>
      </c>
      <c r="J577" s="62">
        <v>90750</v>
      </c>
      <c r="K577" s="63">
        <v>4</v>
      </c>
      <c r="L577" s="35" t="s">
        <v>5832</v>
      </c>
      <c r="M577" s="35" t="s">
        <v>2403</v>
      </c>
      <c r="N577" s="35" t="s">
        <v>810</v>
      </c>
      <c r="O577" s="35"/>
      <c r="P577" s="35"/>
      <c r="Q577" s="35"/>
      <c r="R577" s="35" t="s">
        <v>60</v>
      </c>
      <c r="S577" s="35"/>
      <c r="T577" s="35" t="s">
        <v>5833</v>
      </c>
      <c r="U577" s="35"/>
      <c r="V577" s="35"/>
      <c r="W577" s="35" t="s">
        <v>5834</v>
      </c>
      <c r="X577" s="35" t="s">
        <v>5835</v>
      </c>
      <c r="Y577" s="35" t="s">
        <v>5836</v>
      </c>
      <c r="Z577" s="35"/>
      <c r="AA577" s="35"/>
      <c r="AB577" s="35">
        <v>90750046</v>
      </c>
      <c r="AC577" s="35">
        <v>90750046010</v>
      </c>
      <c r="AD577" s="35">
        <v>90750046010001</v>
      </c>
      <c r="AE577" s="63">
        <v>5</v>
      </c>
      <c r="AF577" s="63" t="s">
        <v>772</v>
      </c>
      <c r="AG577" s="29" t="s">
        <v>65</v>
      </c>
      <c r="AH577" s="75"/>
      <c r="AI577" s="65" t="s">
        <v>66</v>
      </c>
      <c r="AJ577" s="32" t="s">
        <v>6938</v>
      </c>
      <c r="AK577" s="33" t="s">
        <v>67</v>
      </c>
      <c r="AL577" s="34">
        <v>45575</v>
      </c>
      <c r="AM577" s="35" t="s">
        <v>66</v>
      </c>
      <c r="AN577" s="35"/>
      <c r="AO577" s="35"/>
      <c r="AP577" s="35"/>
      <c r="AQ577" s="37">
        <f t="shared" si="27"/>
        <v>0</v>
      </c>
      <c r="AR577" s="38">
        <f t="shared" si="28"/>
        <v>0</v>
      </c>
      <c r="AS577" s="39">
        <f t="shared" si="29"/>
        <v>0</v>
      </c>
      <c r="AT577" s="99"/>
      <c r="AU577" s="99" t="s">
        <v>1356</v>
      </c>
      <c r="AV577" s="99"/>
      <c r="AW577" s="100"/>
      <c r="AX577" s="99"/>
      <c r="AY577" s="101"/>
      <c r="AZ577" s="99"/>
      <c r="BA577" s="99" t="s">
        <v>1356</v>
      </c>
      <c r="BB577" s="99"/>
      <c r="BC577" s="101"/>
      <c r="BD577" s="99"/>
      <c r="BE577" s="101"/>
      <c r="BF577" s="99"/>
      <c r="BG577" s="99" t="s">
        <v>1356</v>
      </c>
      <c r="BH577" s="99"/>
      <c r="BI577" s="101"/>
      <c r="BJ577" s="99"/>
      <c r="BK577" s="101"/>
      <c r="BL577" s="99"/>
      <c r="BM577" s="99" t="s">
        <v>1356</v>
      </c>
      <c r="BN577" s="99"/>
      <c r="BO577" s="101"/>
      <c r="BP577" s="99"/>
      <c r="BQ577" s="101"/>
      <c r="BR577" s="99"/>
      <c r="BS577" s="99" t="s">
        <v>1356</v>
      </c>
      <c r="BT577" s="99"/>
      <c r="BU577" s="101"/>
      <c r="BV577" s="99"/>
      <c r="BW577" s="101"/>
      <c r="BX577" s="119"/>
      <c r="BY577" s="119" t="s">
        <v>1356</v>
      </c>
      <c r="BZ577" s="119"/>
      <c r="CA577" s="120"/>
      <c r="CB577" s="119"/>
      <c r="CC577" s="120"/>
      <c r="CD577" s="119"/>
      <c r="CE577" s="119" t="s">
        <v>1356</v>
      </c>
      <c r="CF577" s="119"/>
      <c r="CG577" s="120"/>
      <c r="CH577" s="119"/>
      <c r="CI577" s="120"/>
      <c r="CJ577" s="119"/>
      <c r="CK577" s="119" t="s">
        <v>1356</v>
      </c>
      <c r="CL577" s="119"/>
      <c r="CM577" s="120"/>
      <c r="CN577" s="119"/>
      <c r="CO577" s="120"/>
      <c r="CP577" s="119"/>
      <c r="CQ577" s="119" t="s">
        <v>1356</v>
      </c>
      <c r="CR577" s="119"/>
      <c r="CS577" s="120"/>
      <c r="CT577" s="119"/>
      <c r="CU577" s="120"/>
      <c r="CV577" s="119"/>
      <c r="CW577" s="119" t="s">
        <v>1356</v>
      </c>
      <c r="CX577" s="119"/>
      <c r="CY577" s="120"/>
      <c r="CZ577" s="119"/>
      <c r="DA577" s="120"/>
      <c r="DB577" s="36" t="s">
        <v>7085</v>
      </c>
      <c r="DC577" s="59" t="s">
        <v>6751</v>
      </c>
    </row>
    <row r="578" spans="1:107" s="40" customFormat="1" ht="14.55" customHeight="1" x14ac:dyDescent="0.3">
      <c r="A578" s="66" t="s">
        <v>3500</v>
      </c>
      <c r="B578" s="66" t="s">
        <v>3721</v>
      </c>
      <c r="C578" s="66" t="s">
        <v>3722</v>
      </c>
      <c r="D578" s="66" t="s">
        <v>1244</v>
      </c>
      <c r="E578" s="66" t="s">
        <v>1245</v>
      </c>
      <c r="F578" s="66" t="s">
        <v>256</v>
      </c>
      <c r="G578" s="68" t="s">
        <v>72</v>
      </c>
      <c r="H578" s="43" t="s">
        <v>251</v>
      </c>
      <c r="I578" s="68">
        <v>1701</v>
      </c>
      <c r="J578" s="68">
        <v>170150</v>
      </c>
      <c r="K578" s="69">
        <v>4</v>
      </c>
      <c r="L578" s="66" t="s">
        <v>1246</v>
      </c>
      <c r="M578" s="66" t="s">
        <v>1247</v>
      </c>
      <c r="N578" s="66" t="s">
        <v>401</v>
      </c>
      <c r="O578" s="66"/>
      <c r="P578" s="66"/>
      <c r="Q578" s="66"/>
      <c r="R578" s="66" t="s">
        <v>60</v>
      </c>
      <c r="S578" s="66"/>
      <c r="T578" s="66"/>
      <c r="U578" s="66"/>
      <c r="V578" s="66"/>
      <c r="W578" s="66" t="s">
        <v>1248</v>
      </c>
      <c r="X578" s="66" t="s">
        <v>1249</v>
      </c>
      <c r="Y578" s="66" t="s">
        <v>1250</v>
      </c>
      <c r="Z578" s="66"/>
      <c r="AA578" s="66"/>
      <c r="AB578" s="66">
        <v>170150112</v>
      </c>
      <c r="AC578" s="66">
        <v>170150112013</v>
      </c>
      <c r="AD578" s="66">
        <v>170150112013002</v>
      </c>
      <c r="AE578" s="69">
        <v>5</v>
      </c>
      <c r="AF578" s="69" t="s">
        <v>772</v>
      </c>
      <c r="AG578" s="46" t="s">
        <v>66</v>
      </c>
      <c r="AH578" s="70" t="s">
        <v>1251</v>
      </c>
      <c r="AI578" s="71" t="s">
        <v>66</v>
      </c>
      <c r="AJ578" s="49" t="s">
        <v>6938</v>
      </c>
      <c r="AK578" s="50" t="s">
        <v>67</v>
      </c>
      <c r="AL578" s="58">
        <v>45586</v>
      </c>
      <c r="AM578" s="52" t="s">
        <v>66</v>
      </c>
      <c r="AN578" s="52"/>
      <c r="AO578" s="52"/>
      <c r="AP578" s="52"/>
      <c r="AQ578" s="53">
        <f t="shared" si="27"/>
        <v>5</v>
      </c>
      <c r="AR578" s="54">
        <f t="shared" si="28"/>
        <v>0</v>
      </c>
      <c r="AS578" s="55">
        <f t="shared" si="29"/>
        <v>5</v>
      </c>
      <c r="AT578" s="102" t="s">
        <v>1252</v>
      </c>
      <c r="AU578" s="103" t="s">
        <v>6731</v>
      </c>
      <c r="AV578" s="104">
        <v>34.729999999999997</v>
      </c>
      <c r="AW578" s="105">
        <v>45586</v>
      </c>
      <c r="AX578" s="104">
        <v>34.450000000000003</v>
      </c>
      <c r="AY578" s="106">
        <v>45616</v>
      </c>
      <c r="AZ578" s="102" t="s">
        <v>699</v>
      </c>
      <c r="BA578" s="103" t="s">
        <v>6730</v>
      </c>
      <c r="BB578" s="104">
        <v>1.52</v>
      </c>
      <c r="BC578" s="106">
        <v>45586</v>
      </c>
      <c r="BD578" s="104">
        <v>1.49</v>
      </c>
      <c r="BE578" s="106">
        <v>45616</v>
      </c>
      <c r="BF578" s="102" t="s">
        <v>1253</v>
      </c>
      <c r="BG578" s="103" t="s">
        <v>6732</v>
      </c>
      <c r="BH578" s="104">
        <v>22.1</v>
      </c>
      <c r="BI578" s="106">
        <v>45586</v>
      </c>
      <c r="BJ578" s="104">
        <v>21.68</v>
      </c>
      <c r="BK578" s="106">
        <v>45616</v>
      </c>
      <c r="BL578" s="102" t="s">
        <v>1254</v>
      </c>
      <c r="BM578" s="103" t="s">
        <v>6733</v>
      </c>
      <c r="BN578" s="104">
        <v>2.25</v>
      </c>
      <c r="BO578" s="106">
        <v>45586</v>
      </c>
      <c r="BP578" s="104">
        <v>2.89</v>
      </c>
      <c r="BQ578" s="106">
        <v>45616</v>
      </c>
      <c r="BR578" s="102" t="s">
        <v>1255</v>
      </c>
      <c r="BS578" s="103" t="s">
        <v>6734</v>
      </c>
      <c r="BT578" s="104">
        <v>5.07</v>
      </c>
      <c r="BU578" s="106">
        <v>45586</v>
      </c>
      <c r="BV578" s="104">
        <v>4.9000000000000004</v>
      </c>
      <c r="BW578" s="106">
        <v>45616</v>
      </c>
      <c r="BX578" s="121"/>
      <c r="BY578" s="122" t="s">
        <v>1356</v>
      </c>
      <c r="BZ578" s="123"/>
      <c r="CA578" s="124"/>
      <c r="CB578" s="123"/>
      <c r="CC578" s="124"/>
      <c r="CD578" s="121"/>
      <c r="CE578" s="122" t="s">
        <v>1356</v>
      </c>
      <c r="CF578" s="123"/>
      <c r="CG578" s="124"/>
      <c r="CH578" s="123"/>
      <c r="CI578" s="124"/>
      <c r="CJ578" s="121"/>
      <c r="CK578" s="122" t="s">
        <v>1356</v>
      </c>
      <c r="CL578" s="123"/>
      <c r="CM578" s="124"/>
      <c r="CN578" s="123"/>
      <c r="CO578" s="124"/>
      <c r="CP578" s="121"/>
      <c r="CQ578" s="122" t="s">
        <v>1356</v>
      </c>
      <c r="CR578" s="123"/>
      <c r="CS578" s="124"/>
      <c r="CT578" s="123"/>
      <c r="CU578" s="124"/>
      <c r="CV578" s="121"/>
      <c r="CW578" s="122" t="s">
        <v>1356</v>
      </c>
      <c r="CX578" s="123"/>
      <c r="CY578" s="124"/>
      <c r="CZ578" s="123"/>
      <c r="DA578" s="124"/>
      <c r="DB578" s="52" t="s">
        <v>6962</v>
      </c>
      <c r="DC578" s="73" t="s">
        <v>105</v>
      </c>
    </row>
    <row r="579" spans="1:107" s="40" customFormat="1" ht="14.55" customHeight="1" x14ac:dyDescent="0.3">
      <c r="A579" s="66" t="s">
        <v>3500</v>
      </c>
      <c r="B579" s="66" t="s">
        <v>3724</v>
      </c>
      <c r="C579" s="66" t="s">
        <v>3725</v>
      </c>
      <c r="D579" s="66" t="s">
        <v>1266</v>
      </c>
      <c r="E579" s="66" t="s">
        <v>1267</v>
      </c>
      <c r="F579" s="66" t="s">
        <v>210</v>
      </c>
      <c r="G579" s="68" t="s">
        <v>72</v>
      </c>
      <c r="H579" s="43" t="s">
        <v>251</v>
      </c>
      <c r="I579" s="68">
        <v>1701</v>
      </c>
      <c r="J579" s="68">
        <v>170152</v>
      </c>
      <c r="K579" s="69">
        <v>4</v>
      </c>
      <c r="L579" s="66" t="s">
        <v>1268</v>
      </c>
      <c r="M579" s="66" t="s">
        <v>1269</v>
      </c>
      <c r="N579" s="66" t="s">
        <v>1270</v>
      </c>
      <c r="O579" s="66"/>
      <c r="P579" s="66"/>
      <c r="Q579" s="66"/>
      <c r="R579" s="66" t="s">
        <v>60</v>
      </c>
      <c r="S579" s="66"/>
      <c r="T579" s="66"/>
      <c r="U579" s="66" t="s">
        <v>1271</v>
      </c>
      <c r="V579" s="66"/>
      <c r="W579" s="66" t="s">
        <v>1272</v>
      </c>
      <c r="X579" s="66" t="s">
        <v>1273</v>
      </c>
      <c r="Y579" s="66" t="s">
        <v>1274</v>
      </c>
      <c r="Z579" s="66"/>
      <c r="AA579" s="66"/>
      <c r="AB579" s="66">
        <v>170152914</v>
      </c>
      <c r="AC579" s="66">
        <v>170152914001</v>
      </c>
      <c r="AD579" s="66">
        <v>170152914001004</v>
      </c>
      <c r="AE579" s="69">
        <v>5</v>
      </c>
      <c r="AF579" s="69" t="s">
        <v>772</v>
      </c>
      <c r="AG579" s="46" t="s">
        <v>66</v>
      </c>
      <c r="AH579" s="70" t="s">
        <v>1275</v>
      </c>
      <c r="AI579" s="71" t="s">
        <v>66</v>
      </c>
      <c r="AJ579" s="49" t="s">
        <v>6938</v>
      </c>
      <c r="AK579" s="50" t="s">
        <v>67</v>
      </c>
      <c r="AL579" s="58">
        <v>45586</v>
      </c>
      <c r="AM579" s="52" t="s">
        <v>66</v>
      </c>
      <c r="AN579" s="52"/>
      <c r="AO579" s="52"/>
      <c r="AP579" s="52"/>
      <c r="AQ579" s="53">
        <f t="shared" si="27"/>
        <v>2</v>
      </c>
      <c r="AR579" s="54">
        <f t="shared" si="28"/>
        <v>0</v>
      </c>
      <c r="AS579" s="55">
        <f t="shared" si="29"/>
        <v>2</v>
      </c>
      <c r="AT579" s="102" t="s">
        <v>1276</v>
      </c>
      <c r="AU579" s="103" t="s">
        <v>6735</v>
      </c>
      <c r="AV579" s="104">
        <v>10.89</v>
      </c>
      <c r="AW579" s="105">
        <v>45586</v>
      </c>
      <c r="AX579" s="104">
        <v>10.89</v>
      </c>
      <c r="AY579" s="106">
        <v>45616</v>
      </c>
      <c r="AZ579" s="102" t="s">
        <v>1277</v>
      </c>
      <c r="BA579" s="103" t="s">
        <v>6736</v>
      </c>
      <c r="BB579" s="104">
        <v>3</v>
      </c>
      <c r="BC579" s="106">
        <v>45586</v>
      </c>
      <c r="BD579" s="104">
        <v>3</v>
      </c>
      <c r="BE579" s="106">
        <v>45616</v>
      </c>
      <c r="BF579" s="102"/>
      <c r="BG579" s="103" t="s">
        <v>1356</v>
      </c>
      <c r="BH579" s="104"/>
      <c r="BI579" s="106"/>
      <c r="BJ579" s="104"/>
      <c r="BK579" s="106"/>
      <c r="BL579" s="102"/>
      <c r="BM579" s="103" t="s">
        <v>1356</v>
      </c>
      <c r="BN579" s="104"/>
      <c r="BO579" s="106"/>
      <c r="BP579" s="104"/>
      <c r="BQ579" s="106"/>
      <c r="BR579" s="102"/>
      <c r="BS579" s="103" t="s">
        <v>1356</v>
      </c>
      <c r="BT579" s="104"/>
      <c r="BU579" s="106"/>
      <c r="BV579" s="104"/>
      <c r="BW579" s="106"/>
      <c r="BX579" s="121"/>
      <c r="BY579" s="122" t="s">
        <v>1356</v>
      </c>
      <c r="BZ579" s="123"/>
      <c r="CA579" s="124"/>
      <c r="CB579" s="123"/>
      <c r="CC579" s="124"/>
      <c r="CD579" s="121"/>
      <c r="CE579" s="122" t="s">
        <v>1356</v>
      </c>
      <c r="CF579" s="123"/>
      <c r="CG579" s="124"/>
      <c r="CH579" s="123"/>
      <c r="CI579" s="124"/>
      <c r="CJ579" s="121"/>
      <c r="CK579" s="122" t="s">
        <v>1356</v>
      </c>
      <c r="CL579" s="123"/>
      <c r="CM579" s="124"/>
      <c r="CN579" s="123"/>
      <c r="CO579" s="124"/>
      <c r="CP579" s="121"/>
      <c r="CQ579" s="122" t="s">
        <v>1356</v>
      </c>
      <c r="CR579" s="123"/>
      <c r="CS579" s="124"/>
      <c r="CT579" s="123"/>
      <c r="CU579" s="124"/>
      <c r="CV579" s="121"/>
      <c r="CW579" s="122" t="s">
        <v>1356</v>
      </c>
      <c r="CX579" s="123"/>
      <c r="CY579" s="124"/>
      <c r="CZ579" s="123"/>
      <c r="DA579" s="124"/>
      <c r="DB579" s="52" t="s">
        <v>6962</v>
      </c>
      <c r="DC579" s="73" t="s">
        <v>105</v>
      </c>
    </row>
    <row r="580" spans="1:107" s="40" customFormat="1" x14ac:dyDescent="0.3">
      <c r="A580" s="35" t="s">
        <v>4219</v>
      </c>
      <c r="B580" s="35" t="s">
        <v>5857</v>
      </c>
      <c r="C580" s="35" t="s">
        <v>5858</v>
      </c>
      <c r="D580" s="35" t="s">
        <v>5859</v>
      </c>
      <c r="E580" s="35" t="s">
        <v>5860</v>
      </c>
      <c r="F580" s="35" t="s">
        <v>4289</v>
      </c>
      <c r="G580" s="35" t="s">
        <v>461</v>
      </c>
      <c r="H580" s="27" t="s">
        <v>6933</v>
      </c>
      <c r="I580" s="62">
        <v>1321</v>
      </c>
      <c r="J580" s="62">
        <v>132150</v>
      </c>
      <c r="K580" s="63">
        <v>4</v>
      </c>
      <c r="L580" s="35" t="s">
        <v>5861</v>
      </c>
      <c r="M580" s="35"/>
      <c r="N580" s="35" t="s">
        <v>5861</v>
      </c>
      <c r="O580" s="35" t="s">
        <v>933</v>
      </c>
      <c r="P580" s="35"/>
      <c r="Q580" s="35"/>
      <c r="R580" s="35" t="s">
        <v>60</v>
      </c>
      <c r="S580" s="35"/>
      <c r="T580" s="35"/>
      <c r="U580" s="35"/>
      <c r="V580" s="35"/>
      <c r="W580" s="35" t="s">
        <v>5862</v>
      </c>
      <c r="X580" s="35" t="s">
        <v>5863</v>
      </c>
      <c r="Y580" s="35" t="s">
        <v>5864</v>
      </c>
      <c r="Z580" s="35">
        <v>-80.634683999999993</v>
      </c>
      <c r="AA580" s="35">
        <v>-0.97369099999999997</v>
      </c>
      <c r="AB580" s="35">
        <v>132150003</v>
      </c>
      <c r="AC580" s="35">
        <v>132150003012</v>
      </c>
      <c r="AD580" s="35">
        <v>132150003012025</v>
      </c>
      <c r="AE580" s="63">
        <v>5</v>
      </c>
      <c r="AF580" s="63" t="s">
        <v>772</v>
      </c>
      <c r="AG580" s="29" t="s">
        <v>65</v>
      </c>
      <c r="AH580" s="75"/>
      <c r="AI580" s="65" t="s">
        <v>66</v>
      </c>
      <c r="AJ580" s="32" t="s">
        <v>6938</v>
      </c>
      <c r="AK580" s="33" t="s">
        <v>67</v>
      </c>
      <c r="AL580" s="34">
        <v>45584</v>
      </c>
      <c r="AM580" s="35" t="s">
        <v>66</v>
      </c>
      <c r="AN580" s="35"/>
      <c r="AO580" s="35"/>
      <c r="AP580" s="35"/>
      <c r="AQ580" s="37">
        <f t="shared" si="27"/>
        <v>0</v>
      </c>
      <c r="AR580" s="38">
        <f t="shared" si="28"/>
        <v>0</v>
      </c>
      <c r="AS580" s="39">
        <f t="shared" si="29"/>
        <v>0</v>
      </c>
      <c r="AT580" s="99"/>
      <c r="AU580" s="99" t="s">
        <v>1356</v>
      </c>
      <c r="AV580" s="99"/>
      <c r="AW580" s="100"/>
      <c r="AX580" s="99"/>
      <c r="AY580" s="101"/>
      <c r="AZ580" s="99"/>
      <c r="BA580" s="99" t="s">
        <v>1356</v>
      </c>
      <c r="BB580" s="99"/>
      <c r="BC580" s="101"/>
      <c r="BD580" s="99"/>
      <c r="BE580" s="101"/>
      <c r="BF580" s="99"/>
      <c r="BG580" s="99" t="s">
        <v>1356</v>
      </c>
      <c r="BH580" s="99"/>
      <c r="BI580" s="101"/>
      <c r="BJ580" s="99"/>
      <c r="BK580" s="101"/>
      <c r="BL580" s="99"/>
      <c r="BM580" s="99" t="s">
        <v>1356</v>
      </c>
      <c r="BN580" s="99"/>
      <c r="BO580" s="101"/>
      <c r="BP580" s="99"/>
      <c r="BQ580" s="101"/>
      <c r="BR580" s="99"/>
      <c r="BS580" s="99" t="s">
        <v>1356</v>
      </c>
      <c r="BT580" s="99"/>
      <c r="BU580" s="101"/>
      <c r="BV580" s="99"/>
      <c r="BW580" s="101"/>
      <c r="BX580" s="119"/>
      <c r="BY580" s="119" t="s">
        <v>1356</v>
      </c>
      <c r="BZ580" s="119"/>
      <c r="CA580" s="120"/>
      <c r="CB580" s="119"/>
      <c r="CC580" s="120"/>
      <c r="CD580" s="119"/>
      <c r="CE580" s="119" t="s">
        <v>1356</v>
      </c>
      <c r="CF580" s="119"/>
      <c r="CG580" s="120"/>
      <c r="CH580" s="119"/>
      <c r="CI580" s="120"/>
      <c r="CJ580" s="119"/>
      <c r="CK580" s="119" t="s">
        <v>1356</v>
      </c>
      <c r="CL580" s="119"/>
      <c r="CM580" s="120"/>
      <c r="CN580" s="119"/>
      <c r="CO580" s="120"/>
      <c r="CP580" s="119"/>
      <c r="CQ580" s="119" t="s">
        <v>1356</v>
      </c>
      <c r="CR580" s="119"/>
      <c r="CS580" s="120"/>
      <c r="CT580" s="119"/>
      <c r="CU580" s="120"/>
      <c r="CV580" s="119"/>
      <c r="CW580" s="119" t="s">
        <v>1356</v>
      </c>
      <c r="CX580" s="119"/>
      <c r="CY580" s="120"/>
      <c r="CZ580" s="119"/>
      <c r="DA580" s="120"/>
      <c r="DB580" s="36" t="s">
        <v>7085</v>
      </c>
      <c r="DC580" s="59" t="s">
        <v>6751</v>
      </c>
    </row>
    <row r="581" spans="1:107" s="40" customFormat="1" ht="14.55" customHeight="1" x14ac:dyDescent="0.3">
      <c r="A581" s="66" t="s">
        <v>3500</v>
      </c>
      <c r="B581" s="66" t="s">
        <v>3726</v>
      </c>
      <c r="C581" s="66" t="s">
        <v>3727</v>
      </c>
      <c r="D581" s="66" t="s">
        <v>1278</v>
      </c>
      <c r="E581" s="66" t="s">
        <v>1279</v>
      </c>
      <c r="F581" s="66" t="s">
        <v>142</v>
      </c>
      <c r="G581" s="68" t="s">
        <v>72</v>
      </c>
      <c r="H581" s="43" t="s">
        <v>251</v>
      </c>
      <c r="I581" s="68">
        <v>1701</v>
      </c>
      <c r="J581" s="68">
        <v>170155</v>
      </c>
      <c r="K581" s="69">
        <v>4</v>
      </c>
      <c r="L581" s="66" t="s">
        <v>1280</v>
      </c>
      <c r="M581" s="66" t="s">
        <v>1281</v>
      </c>
      <c r="N581" s="66" t="s">
        <v>1282</v>
      </c>
      <c r="O581" s="66"/>
      <c r="P581" s="66"/>
      <c r="Q581" s="66"/>
      <c r="R581" s="66" t="s">
        <v>60</v>
      </c>
      <c r="S581" s="66"/>
      <c r="T581" s="66"/>
      <c r="U581" s="66" t="s">
        <v>1020</v>
      </c>
      <c r="V581" s="66"/>
      <c r="W581" s="66" t="s">
        <v>1283</v>
      </c>
      <c r="X581" s="66" t="s">
        <v>1284</v>
      </c>
      <c r="Y581" s="66" t="s">
        <v>1285</v>
      </c>
      <c r="Z581" s="66"/>
      <c r="AA581" s="66"/>
      <c r="AB581" s="66">
        <v>170155040</v>
      </c>
      <c r="AC581" s="66">
        <v>170155040005</v>
      </c>
      <c r="AD581" s="66">
        <v>170155040005001</v>
      </c>
      <c r="AE581" s="69">
        <v>5</v>
      </c>
      <c r="AF581" s="69" t="s">
        <v>772</v>
      </c>
      <c r="AG581" s="46" t="s">
        <v>66</v>
      </c>
      <c r="AH581" s="70" t="s">
        <v>1286</v>
      </c>
      <c r="AI581" s="71" t="s">
        <v>66</v>
      </c>
      <c r="AJ581" s="49" t="s">
        <v>6938</v>
      </c>
      <c r="AK581" s="50" t="s">
        <v>67</v>
      </c>
      <c r="AL581" s="58">
        <v>45586</v>
      </c>
      <c r="AM581" s="52" t="s">
        <v>66</v>
      </c>
      <c r="AN581" s="52"/>
      <c r="AO581" s="52"/>
      <c r="AP581" s="52"/>
      <c r="AQ581" s="53">
        <f t="shared" si="27"/>
        <v>3</v>
      </c>
      <c r="AR581" s="54">
        <f t="shared" si="28"/>
        <v>0</v>
      </c>
      <c r="AS581" s="55">
        <f t="shared" si="29"/>
        <v>3</v>
      </c>
      <c r="AT581" s="102" t="s">
        <v>540</v>
      </c>
      <c r="AU581" s="103" t="s">
        <v>2205</v>
      </c>
      <c r="AV581" s="104">
        <v>8.5</v>
      </c>
      <c r="AW581" s="105">
        <v>45586</v>
      </c>
      <c r="AX581" s="104">
        <v>8.5</v>
      </c>
      <c r="AY581" s="106">
        <v>45616</v>
      </c>
      <c r="AZ581" s="102" t="s">
        <v>540</v>
      </c>
      <c r="BA581" s="103" t="s">
        <v>2205</v>
      </c>
      <c r="BB581" s="104">
        <v>9.1999999999999993</v>
      </c>
      <c r="BC581" s="106">
        <v>45586</v>
      </c>
      <c r="BD581" s="104">
        <v>9.1999999999999993</v>
      </c>
      <c r="BE581" s="106">
        <v>45616</v>
      </c>
      <c r="BF581" s="102" t="s">
        <v>540</v>
      </c>
      <c r="BG581" s="103" t="s">
        <v>2205</v>
      </c>
      <c r="BH581" s="104">
        <v>9.2899999999999991</v>
      </c>
      <c r="BI581" s="106">
        <v>45586</v>
      </c>
      <c r="BJ581" s="104">
        <v>9.2899999999999991</v>
      </c>
      <c r="BK581" s="106">
        <v>45616</v>
      </c>
      <c r="BL581" s="102"/>
      <c r="BM581" s="103" t="s">
        <v>1356</v>
      </c>
      <c r="BN581" s="104"/>
      <c r="BO581" s="106"/>
      <c r="BP581" s="104"/>
      <c r="BQ581" s="106"/>
      <c r="BR581" s="102"/>
      <c r="BS581" s="103" t="s">
        <v>1356</v>
      </c>
      <c r="BT581" s="104"/>
      <c r="BU581" s="106"/>
      <c r="BV581" s="104"/>
      <c r="BW581" s="106"/>
      <c r="BX581" s="121"/>
      <c r="BY581" s="122" t="s">
        <v>1356</v>
      </c>
      <c r="BZ581" s="123"/>
      <c r="CA581" s="124"/>
      <c r="CB581" s="123"/>
      <c r="CC581" s="124"/>
      <c r="CD581" s="121"/>
      <c r="CE581" s="122" t="s">
        <v>1356</v>
      </c>
      <c r="CF581" s="123"/>
      <c r="CG581" s="124"/>
      <c r="CH581" s="123"/>
      <c r="CI581" s="124"/>
      <c r="CJ581" s="121"/>
      <c r="CK581" s="122" t="s">
        <v>1356</v>
      </c>
      <c r="CL581" s="123"/>
      <c r="CM581" s="124"/>
      <c r="CN581" s="123"/>
      <c r="CO581" s="124"/>
      <c r="CP581" s="121"/>
      <c r="CQ581" s="122" t="s">
        <v>1356</v>
      </c>
      <c r="CR581" s="123"/>
      <c r="CS581" s="124"/>
      <c r="CT581" s="123"/>
      <c r="CU581" s="124"/>
      <c r="CV581" s="121"/>
      <c r="CW581" s="122" t="s">
        <v>1356</v>
      </c>
      <c r="CX581" s="123"/>
      <c r="CY581" s="124"/>
      <c r="CZ581" s="123"/>
      <c r="DA581" s="124"/>
      <c r="DB581" s="52" t="s">
        <v>6962</v>
      </c>
      <c r="DC581" s="73" t="s">
        <v>105</v>
      </c>
    </row>
    <row r="582" spans="1:107" s="40" customFormat="1" ht="14.55" customHeight="1" x14ac:dyDescent="0.3">
      <c r="A582" s="66" t="s">
        <v>3500</v>
      </c>
      <c r="B582" s="66" t="s">
        <v>3730</v>
      </c>
      <c r="C582" s="66" t="s">
        <v>3731</v>
      </c>
      <c r="D582" s="66" t="s">
        <v>1295</v>
      </c>
      <c r="E582" s="66" t="s">
        <v>1296</v>
      </c>
      <c r="F582" s="66" t="s">
        <v>134</v>
      </c>
      <c r="G582" s="68" t="s">
        <v>72</v>
      </c>
      <c r="H582" s="43" t="s">
        <v>251</v>
      </c>
      <c r="I582" s="68">
        <v>1705</v>
      </c>
      <c r="J582" s="68">
        <v>170550</v>
      </c>
      <c r="K582" s="69">
        <v>4</v>
      </c>
      <c r="L582" s="66" t="s">
        <v>1297</v>
      </c>
      <c r="M582" s="66" t="s">
        <v>258</v>
      </c>
      <c r="N582" s="66" t="s">
        <v>1298</v>
      </c>
      <c r="O582" s="66" t="s">
        <v>60</v>
      </c>
      <c r="P582" s="66"/>
      <c r="Q582" s="66" t="s">
        <v>1296</v>
      </c>
      <c r="R582" s="66" t="s">
        <v>60</v>
      </c>
      <c r="S582" s="66"/>
      <c r="T582" s="66"/>
      <c r="U582" s="66" t="s">
        <v>1299</v>
      </c>
      <c r="V582" s="66"/>
      <c r="W582" s="66" t="s">
        <v>1300</v>
      </c>
      <c r="X582" s="66" t="s">
        <v>1301</v>
      </c>
      <c r="Y582" s="66" t="s">
        <v>1302</v>
      </c>
      <c r="Z582" s="66"/>
      <c r="AA582" s="66"/>
      <c r="AB582" s="66">
        <v>170550020</v>
      </c>
      <c r="AC582" s="66">
        <v>170550020013</v>
      </c>
      <c r="AD582" s="66">
        <v>170550020013001</v>
      </c>
      <c r="AE582" s="69">
        <v>5</v>
      </c>
      <c r="AF582" s="69" t="s">
        <v>772</v>
      </c>
      <c r="AG582" s="46" t="s">
        <v>66</v>
      </c>
      <c r="AH582" s="70" t="s">
        <v>1303</v>
      </c>
      <c r="AI582" s="71" t="s">
        <v>66</v>
      </c>
      <c r="AJ582" s="49" t="s">
        <v>6938</v>
      </c>
      <c r="AK582" s="50" t="s">
        <v>67</v>
      </c>
      <c r="AL582" s="58">
        <v>45586</v>
      </c>
      <c r="AM582" s="52" t="s">
        <v>66</v>
      </c>
      <c r="AN582" s="52"/>
      <c r="AO582" s="52"/>
      <c r="AP582" s="52"/>
      <c r="AQ582" s="53">
        <f t="shared" ref="AQ582:AQ645" si="30">+COUNTA(AT582,AZ582,BF582,BL582,BR582)</f>
        <v>2</v>
      </c>
      <c r="AR582" s="54">
        <f t="shared" ref="AR582:AR645" si="31">+COUNTA(BX582,CD582,CJ582,CP582,CV582)</f>
        <v>0</v>
      </c>
      <c r="AS582" s="55">
        <f t="shared" ref="AS582:AS645" si="32">+AQ582+AR582</f>
        <v>2</v>
      </c>
      <c r="AT582" s="102" t="s">
        <v>1304</v>
      </c>
      <c r="AU582" s="103" t="s">
        <v>2626</v>
      </c>
      <c r="AV582" s="104">
        <v>8.02</v>
      </c>
      <c r="AW582" s="105">
        <v>45586</v>
      </c>
      <c r="AX582" s="104">
        <v>8.02</v>
      </c>
      <c r="AY582" s="106">
        <v>45616</v>
      </c>
      <c r="AZ582" s="102" t="s">
        <v>1305</v>
      </c>
      <c r="BA582" s="103" t="s">
        <v>6737</v>
      </c>
      <c r="BB582" s="104">
        <v>5.6</v>
      </c>
      <c r="BC582" s="106">
        <v>45586</v>
      </c>
      <c r="BD582" s="104">
        <v>5.6</v>
      </c>
      <c r="BE582" s="106">
        <v>45616</v>
      </c>
      <c r="BF582" s="102"/>
      <c r="BG582" s="103" t="s">
        <v>1356</v>
      </c>
      <c r="BH582" s="104"/>
      <c r="BI582" s="106"/>
      <c r="BJ582" s="104"/>
      <c r="BK582" s="106"/>
      <c r="BL582" s="102"/>
      <c r="BM582" s="103" t="s">
        <v>1356</v>
      </c>
      <c r="BN582" s="104"/>
      <c r="BO582" s="106"/>
      <c r="BP582" s="104"/>
      <c r="BQ582" s="106"/>
      <c r="BR582" s="102"/>
      <c r="BS582" s="103" t="s">
        <v>1356</v>
      </c>
      <c r="BT582" s="104"/>
      <c r="BU582" s="106"/>
      <c r="BV582" s="104"/>
      <c r="BW582" s="106"/>
      <c r="BX582" s="121"/>
      <c r="BY582" s="122" t="s">
        <v>1356</v>
      </c>
      <c r="BZ582" s="123"/>
      <c r="CA582" s="124"/>
      <c r="CB582" s="123"/>
      <c r="CC582" s="124"/>
      <c r="CD582" s="121"/>
      <c r="CE582" s="122" t="s">
        <v>1356</v>
      </c>
      <c r="CF582" s="123"/>
      <c r="CG582" s="124"/>
      <c r="CH582" s="123"/>
      <c r="CI582" s="124"/>
      <c r="CJ582" s="121"/>
      <c r="CK582" s="122" t="s">
        <v>1356</v>
      </c>
      <c r="CL582" s="123"/>
      <c r="CM582" s="124"/>
      <c r="CN582" s="123"/>
      <c r="CO582" s="124"/>
      <c r="CP582" s="121"/>
      <c r="CQ582" s="122" t="s">
        <v>1356</v>
      </c>
      <c r="CR582" s="123"/>
      <c r="CS582" s="124"/>
      <c r="CT582" s="123"/>
      <c r="CU582" s="124"/>
      <c r="CV582" s="121"/>
      <c r="CW582" s="122" t="s">
        <v>1356</v>
      </c>
      <c r="CX582" s="123"/>
      <c r="CY582" s="124"/>
      <c r="CZ582" s="123"/>
      <c r="DA582" s="124"/>
      <c r="DB582" s="52" t="s">
        <v>6962</v>
      </c>
      <c r="DC582" s="73" t="s">
        <v>105</v>
      </c>
    </row>
    <row r="583" spans="1:107" s="40" customFormat="1" ht="14.55" customHeight="1" x14ac:dyDescent="0.3">
      <c r="A583" s="35" t="s">
        <v>4219</v>
      </c>
      <c r="B583" s="35" t="s">
        <v>5882</v>
      </c>
      <c r="C583" s="35" t="s">
        <v>5883</v>
      </c>
      <c r="D583" s="35" t="s">
        <v>5884</v>
      </c>
      <c r="E583" s="35" t="s">
        <v>70</v>
      </c>
      <c r="F583" s="35" t="s">
        <v>56</v>
      </c>
      <c r="G583" s="35" t="s">
        <v>4237</v>
      </c>
      <c r="H583" s="27" t="s">
        <v>686</v>
      </c>
      <c r="I583" s="62">
        <v>901</v>
      </c>
      <c r="J583" s="62">
        <v>90150</v>
      </c>
      <c r="K583" s="63">
        <v>4</v>
      </c>
      <c r="L583" s="35" t="s">
        <v>4483</v>
      </c>
      <c r="M583" s="35" t="s">
        <v>5877</v>
      </c>
      <c r="N583" s="35" t="s">
        <v>258</v>
      </c>
      <c r="O583" s="35" t="s">
        <v>4655</v>
      </c>
      <c r="P583" s="35" t="s">
        <v>5885</v>
      </c>
      <c r="Q583" s="35"/>
      <c r="R583" s="35"/>
      <c r="S583" s="35"/>
      <c r="T583" s="35"/>
      <c r="U583" s="35"/>
      <c r="V583" s="35" t="s">
        <v>5886</v>
      </c>
      <c r="W583" s="35" t="s">
        <v>5887</v>
      </c>
      <c r="X583" s="35" t="s">
        <v>5888</v>
      </c>
      <c r="Y583" s="35" t="s">
        <v>5889</v>
      </c>
      <c r="Z583" s="35"/>
      <c r="AA583" s="35"/>
      <c r="AB583" s="35">
        <v>90150483</v>
      </c>
      <c r="AC583" s="35">
        <v>90150483009</v>
      </c>
      <c r="AD583" s="35">
        <v>90150483009001</v>
      </c>
      <c r="AE583" s="63">
        <v>5</v>
      </c>
      <c r="AF583" s="63" t="s">
        <v>772</v>
      </c>
      <c r="AG583" s="29" t="s">
        <v>65</v>
      </c>
      <c r="AH583" s="75"/>
      <c r="AI583" s="65" t="s">
        <v>66</v>
      </c>
      <c r="AJ583" s="32" t="s">
        <v>6938</v>
      </c>
      <c r="AK583" s="33" t="s">
        <v>67</v>
      </c>
      <c r="AL583" s="34">
        <v>45573</v>
      </c>
      <c r="AM583" s="35" t="s">
        <v>66</v>
      </c>
      <c r="AN583" s="35"/>
      <c r="AO583" s="35"/>
      <c r="AP583" s="35"/>
      <c r="AQ583" s="37">
        <f t="shared" si="30"/>
        <v>0</v>
      </c>
      <c r="AR583" s="38">
        <f t="shared" si="31"/>
        <v>0</v>
      </c>
      <c r="AS583" s="39">
        <f t="shared" si="32"/>
        <v>0</v>
      </c>
      <c r="AT583" s="99"/>
      <c r="AU583" s="99" t="s">
        <v>1356</v>
      </c>
      <c r="AV583" s="99"/>
      <c r="AW583" s="100"/>
      <c r="AX583" s="99"/>
      <c r="AY583" s="101"/>
      <c r="AZ583" s="99"/>
      <c r="BA583" s="99" t="s">
        <v>1356</v>
      </c>
      <c r="BB583" s="99"/>
      <c r="BC583" s="101"/>
      <c r="BD583" s="99"/>
      <c r="BE583" s="101"/>
      <c r="BF583" s="99"/>
      <c r="BG583" s="99" t="s">
        <v>1356</v>
      </c>
      <c r="BH583" s="99"/>
      <c r="BI583" s="101"/>
      <c r="BJ583" s="99"/>
      <c r="BK583" s="101"/>
      <c r="BL583" s="99"/>
      <c r="BM583" s="99" t="s">
        <v>1356</v>
      </c>
      <c r="BN583" s="99"/>
      <c r="BO583" s="101"/>
      <c r="BP583" s="99"/>
      <c r="BQ583" s="101"/>
      <c r="BR583" s="99"/>
      <c r="BS583" s="99" t="s">
        <v>1356</v>
      </c>
      <c r="BT583" s="99"/>
      <c r="BU583" s="101"/>
      <c r="BV583" s="99"/>
      <c r="BW583" s="101"/>
      <c r="BX583" s="119"/>
      <c r="BY583" s="119" t="s">
        <v>1356</v>
      </c>
      <c r="BZ583" s="119"/>
      <c r="CA583" s="120"/>
      <c r="CB583" s="119"/>
      <c r="CC583" s="120"/>
      <c r="CD583" s="119"/>
      <c r="CE583" s="119" t="s">
        <v>1356</v>
      </c>
      <c r="CF583" s="119"/>
      <c r="CG583" s="120"/>
      <c r="CH583" s="119"/>
      <c r="CI583" s="120"/>
      <c r="CJ583" s="119"/>
      <c r="CK583" s="119" t="s">
        <v>1356</v>
      </c>
      <c r="CL583" s="119"/>
      <c r="CM583" s="120"/>
      <c r="CN583" s="119"/>
      <c r="CO583" s="120"/>
      <c r="CP583" s="119"/>
      <c r="CQ583" s="119" t="s">
        <v>1356</v>
      </c>
      <c r="CR583" s="119"/>
      <c r="CS583" s="120"/>
      <c r="CT583" s="119"/>
      <c r="CU583" s="120"/>
      <c r="CV583" s="119"/>
      <c r="CW583" s="119" t="s">
        <v>1356</v>
      </c>
      <c r="CX583" s="119"/>
      <c r="CY583" s="120"/>
      <c r="CZ583" s="119"/>
      <c r="DA583" s="120"/>
      <c r="DB583" s="36" t="s">
        <v>7085</v>
      </c>
      <c r="DC583" s="59" t="s">
        <v>105</v>
      </c>
    </row>
    <row r="584" spans="1:107" s="40" customFormat="1" x14ac:dyDescent="0.3">
      <c r="A584" s="35" t="s">
        <v>4219</v>
      </c>
      <c r="B584" s="35" t="s">
        <v>5890</v>
      </c>
      <c r="C584" s="35" t="s">
        <v>5891</v>
      </c>
      <c r="D584" s="35" t="s">
        <v>5892</v>
      </c>
      <c r="E584" s="35" t="s">
        <v>5893</v>
      </c>
      <c r="F584" s="35" t="s">
        <v>4289</v>
      </c>
      <c r="G584" s="35" t="s">
        <v>4237</v>
      </c>
      <c r="H584" s="27" t="s">
        <v>686</v>
      </c>
      <c r="I584" s="62">
        <v>901</v>
      </c>
      <c r="J584" s="62">
        <v>90150</v>
      </c>
      <c r="K584" s="63">
        <v>4</v>
      </c>
      <c r="L584" s="35" t="s">
        <v>5894</v>
      </c>
      <c r="M584" s="35" t="s">
        <v>5194</v>
      </c>
      <c r="N584" s="35" t="s">
        <v>5895</v>
      </c>
      <c r="O584" s="35"/>
      <c r="P584" s="35"/>
      <c r="Q584" s="35"/>
      <c r="R584" s="35" t="s">
        <v>60</v>
      </c>
      <c r="S584" s="35"/>
      <c r="T584" s="35"/>
      <c r="U584" s="35" t="s">
        <v>5896</v>
      </c>
      <c r="V584" s="35"/>
      <c r="W584" s="35" t="s">
        <v>5897</v>
      </c>
      <c r="X584" s="35" t="s">
        <v>5898</v>
      </c>
      <c r="Y584" s="35" t="s">
        <v>5899</v>
      </c>
      <c r="Z584" s="35"/>
      <c r="AA584" s="35"/>
      <c r="AB584" s="35">
        <v>90150148</v>
      </c>
      <c r="AC584" s="35">
        <v>90150148007</v>
      </c>
      <c r="AD584" s="35">
        <v>90150148007002</v>
      </c>
      <c r="AE584" s="63">
        <v>5</v>
      </c>
      <c r="AF584" s="63" t="s">
        <v>772</v>
      </c>
      <c r="AG584" s="29" t="s">
        <v>65</v>
      </c>
      <c r="AH584" s="75"/>
      <c r="AI584" s="65" t="s">
        <v>66</v>
      </c>
      <c r="AJ584" s="32" t="s">
        <v>6938</v>
      </c>
      <c r="AK584" s="33" t="s">
        <v>67</v>
      </c>
      <c r="AL584" s="34">
        <v>45567</v>
      </c>
      <c r="AM584" s="35" t="s">
        <v>66</v>
      </c>
      <c r="AN584" s="35"/>
      <c r="AO584" s="35"/>
      <c r="AP584" s="35"/>
      <c r="AQ584" s="37">
        <f t="shared" si="30"/>
        <v>0</v>
      </c>
      <c r="AR584" s="38">
        <f t="shared" si="31"/>
        <v>0</v>
      </c>
      <c r="AS584" s="39">
        <f t="shared" si="32"/>
        <v>0</v>
      </c>
      <c r="AT584" s="99"/>
      <c r="AU584" s="99" t="s">
        <v>1356</v>
      </c>
      <c r="AV584" s="99"/>
      <c r="AW584" s="100"/>
      <c r="AX584" s="99"/>
      <c r="AY584" s="101"/>
      <c r="AZ584" s="99"/>
      <c r="BA584" s="99" t="s">
        <v>1356</v>
      </c>
      <c r="BB584" s="99"/>
      <c r="BC584" s="101"/>
      <c r="BD584" s="99"/>
      <c r="BE584" s="101"/>
      <c r="BF584" s="99"/>
      <c r="BG584" s="99" t="s">
        <v>1356</v>
      </c>
      <c r="BH584" s="99"/>
      <c r="BI584" s="101"/>
      <c r="BJ584" s="99"/>
      <c r="BK584" s="101"/>
      <c r="BL584" s="99"/>
      <c r="BM584" s="99" t="s">
        <v>1356</v>
      </c>
      <c r="BN584" s="99"/>
      <c r="BO584" s="101"/>
      <c r="BP584" s="99"/>
      <c r="BQ584" s="101"/>
      <c r="BR584" s="99"/>
      <c r="BS584" s="99" t="s">
        <v>1356</v>
      </c>
      <c r="BT584" s="99"/>
      <c r="BU584" s="101"/>
      <c r="BV584" s="99"/>
      <c r="BW584" s="101"/>
      <c r="BX584" s="119"/>
      <c r="BY584" s="119" t="s">
        <v>1356</v>
      </c>
      <c r="BZ584" s="119"/>
      <c r="CA584" s="120"/>
      <c r="CB584" s="119"/>
      <c r="CC584" s="120"/>
      <c r="CD584" s="119"/>
      <c r="CE584" s="119" t="s">
        <v>1356</v>
      </c>
      <c r="CF584" s="119"/>
      <c r="CG584" s="120"/>
      <c r="CH584" s="119"/>
      <c r="CI584" s="120"/>
      <c r="CJ584" s="119"/>
      <c r="CK584" s="119" t="s">
        <v>1356</v>
      </c>
      <c r="CL584" s="119"/>
      <c r="CM584" s="120"/>
      <c r="CN584" s="119"/>
      <c r="CO584" s="120"/>
      <c r="CP584" s="119"/>
      <c r="CQ584" s="119" t="s">
        <v>1356</v>
      </c>
      <c r="CR584" s="119"/>
      <c r="CS584" s="120"/>
      <c r="CT584" s="119"/>
      <c r="CU584" s="120"/>
      <c r="CV584" s="119"/>
      <c r="CW584" s="119" t="s">
        <v>1356</v>
      </c>
      <c r="CX584" s="119"/>
      <c r="CY584" s="120"/>
      <c r="CZ584" s="119"/>
      <c r="DA584" s="120"/>
      <c r="DB584" s="36" t="s">
        <v>7085</v>
      </c>
      <c r="DC584" s="59" t="s">
        <v>2935</v>
      </c>
    </row>
    <row r="585" spans="1:107" s="40" customFormat="1" ht="14.55" customHeight="1" x14ac:dyDescent="0.3">
      <c r="A585" s="66" t="s">
        <v>3500</v>
      </c>
      <c r="B585" s="66" t="s">
        <v>3732</v>
      </c>
      <c r="C585" s="66" t="s">
        <v>3733</v>
      </c>
      <c r="D585" s="66" t="s">
        <v>1306</v>
      </c>
      <c r="E585" s="66" t="s">
        <v>1306</v>
      </c>
      <c r="F585" s="66" t="s">
        <v>220</v>
      </c>
      <c r="G585" s="68" t="s">
        <v>72</v>
      </c>
      <c r="H585" s="43" t="s">
        <v>251</v>
      </c>
      <c r="I585" s="68">
        <v>1701</v>
      </c>
      <c r="J585" s="68">
        <v>170150</v>
      </c>
      <c r="K585" s="69">
        <v>4</v>
      </c>
      <c r="L585" s="66" t="s">
        <v>1307</v>
      </c>
      <c r="M585" s="66" t="s">
        <v>1308</v>
      </c>
      <c r="N585" s="66" t="s">
        <v>850</v>
      </c>
      <c r="O585" s="66"/>
      <c r="P585" s="66"/>
      <c r="Q585" s="66" t="s">
        <v>1309</v>
      </c>
      <c r="R585" s="66" t="s">
        <v>60</v>
      </c>
      <c r="S585" s="66"/>
      <c r="T585" s="66"/>
      <c r="U585" s="66" t="s">
        <v>1310</v>
      </c>
      <c r="V585" s="66"/>
      <c r="W585" s="66" t="s">
        <v>1311</v>
      </c>
      <c r="X585" s="66" t="s">
        <v>1312</v>
      </c>
      <c r="Y585" s="66" t="s">
        <v>1313</v>
      </c>
      <c r="Z585" s="66"/>
      <c r="AA585" s="66"/>
      <c r="AB585" s="66">
        <v>170150356</v>
      </c>
      <c r="AC585" s="66">
        <v>170150356006</v>
      </c>
      <c r="AD585" s="66">
        <v>170150356006004</v>
      </c>
      <c r="AE585" s="69">
        <v>5</v>
      </c>
      <c r="AF585" s="69" t="s">
        <v>772</v>
      </c>
      <c r="AG585" s="46" t="s">
        <v>66</v>
      </c>
      <c r="AH585" s="70" t="s">
        <v>1314</v>
      </c>
      <c r="AI585" s="71" t="s">
        <v>66</v>
      </c>
      <c r="AJ585" s="49" t="s">
        <v>6938</v>
      </c>
      <c r="AK585" s="50" t="s">
        <v>67</v>
      </c>
      <c r="AL585" s="58">
        <v>45586</v>
      </c>
      <c r="AM585" s="52" t="s">
        <v>66</v>
      </c>
      <c r="AN585" s="52"/>
      <c r="AO585" s="52"/>
      <c r="AP585" s="52"/>
      <c r="AQ585" s="53">
        <f t="shared" si="30"/>
        <v>3</v>
      </c>
      <c r="AR585" s="54">
        <f t="shared" si="31"/>
        <v>0</v>
      </c>
      <c r="AS585" s="55">
        <f t="shared" si="32"/>
        <v>3</v>
      </c>
      <c r="AT585" s="102" t="s">
        <v>1211</v>
      </c>
      <c r="AU585" s="103" t="s">
        <v>3344</v>
      </c>
      <c r="AV585" s="104">
        <v>48.47</v>
      </c>
      <c r="AW585" s="105">
        <v>45586</v>
      </c>
      <c r="AX585" s="104">
        <v>48.47</v>
      </c>
      <c r="AY585" s="106">
        <v>45616</v>
      </c>
      <c r="AZ585" s="102" t="s">
        <v>637</v>
      </c>
      <c r="BA585" s="103" t="s">
        <v>6729</v>
      </c>
      <c r="BB585" s="104">
        <v>22.09</v>
      </c>
      <c r="BC585" s="106">
        <v>45586</v>
      </c>
      <c r="BD585" s="104">
        <v>22.09</v>
      </c>
      <c r="BE585" s="106">
        <v>45616</v>
      </c>
      <c r="BF585" s="102" t="s">
        <v>636</v>
      </c>
      <c r="BG585" s="103" t="s">
        <v>3354</v>
      </c>
      <c r="BH585" s="104">
        <v>78.39</v>
      </c>
      <c r="BI585" s="106">
        <v>45586</v>
      </c>
      <c r="BJ585" s="104">
        <v>78.39</v>
      </c>
      <c r="BK585" s="106">
        <v>45616</v>
      </c>
      <c r="BL585" s="102"/>
      <c r="BM585" s="103" t="s">
        <v>1356</v>
      </c>
      <c r="BN585" s="104"/>
      <c r="BO585" s="106"/>
      <c r="BP585" s="104"/>
      <c r="BQ585" s="106"/>
      <c r="BR585" s="102"/>
      <c r="BS585" s="103" t="s">
        <v>1356</v>
      </c>
      <c r="BT585" s="104"/>
      <c r="BU585" s="106"/>
      <c r="BV585" s="104"/>
      <c r="BW585" s="106"/>
      <c r="BX585" s="121"/>
      <c r="BY585" s="122" t="s">
        <v>1356</v>
      </c>
      <c r="BZ585" s="123"/>
      <c r="CA585" s="124"/>
      <c r="CB585" s="123"/>
      <c r="CC585" s="124"/>
      <c r="CD585" s="121"/>
      <c r="CE585" s="122" t="s">
        <v>1356</v>
      </c>
      <c r="CF585" s="123"/>
      <c r="CG585" s="124"/>
      <c r="CH585" s="123"/>
      <c r="CI585" s="124"/>
      <c r="CJ585" s="121"/>
      <c r="CK585" s="122" t="s">
        <v>1356</v>
      </c>
      <c r="CL585" s="123"/>
      <c r="CM585" s="124"/>
      <c r="CN585" s="123"/>
      <c r="CO585" s="124"/>
      <c r="CP585" s="121"/>
      <c r="CQ585" s="122" t="s">
        <v>1356</v>
      </c>
      <c r="CR585" s="123"/>
      <c r="CS585" s="124"/>
      <c r="CT585" s="123"/>
      <c r="CU585" s="124"/>
      <c r="CV585" s="121"/>
      <c r="CW585" s="122" t="s">
        <v>1356</v>
      </c>
      <c r="CX585" s="123"/>
      <c r="CY585" s="124"/>
      <c r="CZ585" s="123"/>
      <c r="DA585" s="124"/>
      <c r="DB585" s="52" t="s">
        <v>6962</v>
      </c>
      <c r="DC585" s="73" t="s">
        <v>105</v>
      </c>
    </row>
    <row r="586" spans="1:107" s="40" customFormat="1" ht="14.55" customHeight="1" x14ac:dyDescent="0.3">
      <c r="A586" s="66" t="s">
        <v>3500</v>
      </c>
      <c r="B586" s="66" t="s">
        <v>3734</v>
      </c>
      <c r="C586" s="66" t="s">
        <v>3735</v>
      </c>
      <c r="D586" s="66" t="s">
        <v>1315</v>
      </c>
      <c r="E586" s="66" t="s">
        <v>1316</v>
      </c>
      <c r="F586" s="66" t="s">
        <v>327</v>
      </c>
      <c r="G586" s="68" t="s">
        <v>72</v>
      </c>
      <c r="H586" s="43" t="s">
        <v>251</v>
      </c>
      <c r="I586" s="68">
        <v>1701</v>
      </c>
      <c r="J586" s="68">
        <v>170155</v>
      </c>
      <c r="K586" s="69">
        <v>4</v>
      </c>
      <c r="L586" s="66" t="s">
        <v>1317</v>
      </c>
      <c r="M586" s="66" t="s">
        <v>258</v>
      </c>
      <c r="N586" s="66" t="s">
        <v>1318</v>
      </c>
      <c r="O586" s="66" t="s">
        <v>1319</v>
      </c>
      <c r="P586" s="66"/>
      <c r="Q586" s="66" t="s">
        <v>1320</v>
      </c>
      <c r="R586" s="66"/>
      <c r="S586" s="66"/>
      <c r="T586" s="66"/>
      <c r="U586" s="66" t="s">
        <v>1321</v>
      </c>
      <c r="V586" s="66"/>
      <c r="W586" s="66" t="s">
        <v>1322</v>
      </c>
      <c r="X586" s="66" t="s">
        <v>1323</v>
      </c>
      <c r="Y586" s="66" t="s">
        <v>1324</v>
      </c>
      <c r="Z586" s="66">
        <v>-78.450670000000002</v>
      </c>
      <c r="AA586" s="66">
        <v>-0.10788499999999999</v>
      </c>
      <c r="AB586" s="66">
        <v>170155045</v>
      </c>
      <c r="AC586" s="66">
        <v>170155045007</v>
      </c>
      <c r="AD586" s="66">
        <v>170155045007001</v>
      </c>
      <c r="AE586" s="69">
        <v>5</v>
      </c>
      <c r="AF586" s="69" t="s">
        <v>772</v>
      </c>
      <c r="AG586" s="46" t="s">
        <v>66</v>
      </c>
      <c r="AH586" s="70" t="s">
        <v>1325</v>
      </c>
      <c r="AI586" s="71" t="s">
        <v>66</v>
      </c>
      <c r="AJ586" s="49" t="s">
        <v>6938</v>
      </c>
      <c r="AK586" s="50" t="s">
        <v>67</v>
      </c>
      <c r="AL586" s="58">
        <v>45586</v>
      </c>
      <c r="AM586" s="52" t="s">
        <v>66</v>
      </c>
      <c r="AN586" s="52"/>
      <c r="AO586" s="52"/>
      <c r="AP586" s="52"/>
      <c r="AQ586" s="53">
        <f t="shared" si="30"/>
        <v>3</v>
      </c>
      <c r="AR586" s="54">
        <f t="shared" si="31"/>
        <v>0</v>
      </c>
      <c r="AS586" s="55">
        <f t="shared" si="32"/>
        <v>3</v>
      </c>
      <c r="AT586" s="102" t="s">
        <v>1326</v>
      </c>
      <c r="AU586" s="103" t="s">
        <v>6738</v>
      </c>
      <c r="AV586" s="104">
        <v>18810</v>
      </c>
      <c r="AW586" s="105">
        <v>45586</v>
      </c>
      <c r="AX586" s="104">
        <v>18810</v>
      </c>
      <c r="AY586" s="106">
        <v>45616</v>
      </c>
      <c r="AZ586" s="102" t="s">
        <v>1326</v>
      </c>
      <c r="BA586" s="103" t="s">
        <v>6738</v>
      </c>
      <c r="BB586" s="104">
        <v>1030</v>
      </c>
      <c r="BC586" s="106">
        <v>45586</v>
      </c>
      <c r="BD586" s="104">
        <v>1030</v>
      </c>
      <c r="BE586" s="106">
        <v>45616</v>
      </c>
      <c r="BF586" s="102" t="s">
        <v>1326</v>
      </c>
      <c r="BG586" s="103" t="s">
        <v>6738</v>
      </c>
      <c r="BH586" s="104">
        <v>23950</v>
      </c>
      <c r="BI586" s="106">
        <v>45586</v>
      </c>
      <c r="BJ586" s="104">
        <v>23950</v>
      </c>
      <c r="BK586" s="106">
        <v>45616</v>
      </c>
      <c r="BL586" s="102"/>
      <c r="BM586" s="103" t="s">
        <v>1356</v>
      </c>
      <c r="BN586" s="104"/>
      <c r="BO586" s="106"/>
      <c r="BP586" s="104"/>
      <c r="BQ586" s="106"/>
      <c r="BR586" s="102"/>
      <c r="BS586" s="103" t="s">
        <v>1356</v>
      </c>
      <c r="BT586" s="104"/>
      <c r="BU586" s="106"/>
      <c r="BV586" s="104"/>
      <c r="BW586" s="106"/>
      <c r="BX586" s="121"/>
      <c r="BY586" s="122" t="s">
        <v>1356</v>
      </c>
      <c r="BZ586" s="123"/>
      <c r="CA586" s="124"/>
      <c r="CB586" s="123"/>
      <c r="CC586" s="124"/>
      <c r="CD586" s="121"/>
      <c r="CE586" s="122" t="s">
        <v>1356</v>
      </c>
      <c r="CF586" s="123"/>
      <c r="CG586" s="124"/>
      <c r="CH586" s="123"/>
      <c r="CI586" s="124"/>
      <c r="CJ586" s="121"/>
      <c r="CK586" s="122" t="s">
        <v>1356</v>
      </c>
      <c r="CL586" s="123"/>
      <c r="CM586" s="124"/>
      <c r="CN586" s="123"/>
      <c r="CO586" s="124"/>
      <c r="CP586" s="121"/>
      <c r="CQ586" s="122" t="s">
        <v>1356</v>
      </c>
      <c r="CR586" s="123"/>
      <c r="CS586" s="124"/>
      <c r="CT586" s="123"/>
      <c r="CU586" s="124"/>
      <c r="CV586" s="121"/>
      <c r="CW586" s="122" t="s">
        <v>1356</v>
      </c>
      <c r="CX586" s="123"/>
      <c r="CY586" s="124"/>
      <c r="CZ586" s="123"/>
      <c r="DA586" s="124"/>
      <c r="DB586" s="52" t="s">
        <v>6962</v>
      </c>
      <c r="DC586" s="73" t="s">
        <v>105</v>
      </c>
    </row>
    <row r="587" spans="1:107" s="40" customFormat="1" ht="14.55" customHeight="1" x14ac:dyDescent="0.3">
      <c r="A587" s="35" t="s">
        <v>4219</v>
      </c>
      <c r="B587" s="35" t="s">
        <v>5920</v>
      </c>
      <c r="C587" s="35" t="s">
        <v>5921</v>
      </c>
      <c r="D587" s="35" t="s">
        <v>5922</v>
      </c>
      <c r="E587" s="35" t="s">
        <v>5923</v>
      </c>
      <c r="F587" s="35" t="s">
        <v>309</v>
      </c>
      <c r="G587" s="35" t="s">
        <v>4237</v>
      </c>
      <c r="H587" s="27" t="s">
        <v>686</v>
      </c>
      <c r="I587" s="62">
        <v>906</v>
      </c>
      <c r="J587" s="62">
        <v>90650</v>
      </c>
      <c r="K587" s="63">
        <v>4</v>
      </c>
      <c r="L587" s="35" t="s">
        <v>5924</v>
      </c>
      <c r="M587" s="35"/>
      <c r="N587" s="35" t="s">
        <v>810</v>
      </c>
      <c r="O587" s="35" t="s">
        <v>260</v>
      </c>
      <c r="P587" s="35" t="s">
        <v>5925</v>
      </c>
      <c r="Q587" s="35"/>
      <c r="R587" s="35" t="s">
        <v>60</v>
      </c>
      <c r="S587" s="35"/>
      <c r="T587" s="35" t="s">
        <v>5926</v>
      </c>
      <c r="U587" s="35"/>
      <c r="V587" s="35"/>
      <c r="W587" s="35" t="s">
        <v>5927</v>
      </c>
      <c r="X587" s="35" t="s">
        <v>5928</v>
      </c>
      <c r="Y587" s="35" t="s">
        <v>5929</v>
      </c>
      <c r="Z587" s="35"/>
      <c r="AA587" s="35"/>
      <c r="AB587" s="35">
        <v>90650999</v>
      </c>
      <c r="AC587" s="35">
        <v>90650999068</v>
      </c>
      <c r="AD587" s="35"/>
      <c r="AE587" s="63">
        <v>5</v>
      </c>
      <c r="AF587" s="63" t="s">
        <v>772</v>
      </c>
      <c r="AG587" s="29" t="s">
        <v>65</v>
      </c>
      <c r="AH587" s="75"/>
      <c r="AI587" s="65" t="s">
        <v>66</v>
      </c>
      <c r="AJ587" s="32" t="s">
        <v>6938</v>
      </c>
      <c r="AK587" s="33" t="s">
        <v>67</v>
      </c>
      <c r="AL587" s="34">
        <v>45585</v>
      </c>
      <c r="AM587" s="35" t="s">
        <v>66</v>
      </c>
      <c r="AN587" s="35"/>
      <c r="AO587" s="35"/>
      <c r="AP587" s="35"/>
      <c r="AQ587" s="37">
        <f t="shared" si="30"/>
        <v>0</v>
      </c>
      <c r="AR587" s="38">
        <f t="shared" si="31"/>
        <v>0</v>
      </c>
      <c r="AS587" s="39">
        <f t="shared" si="32"/>
        <v>0</v>
      </c>
      <c r="AT587" s="99"/>
      <c r="AU587" s="99" t="s">
        <v>1356</v>
      </c>
      <c r="AV587" s="99"/>
      <c r="AW587" s="100"/>
      <c r="AX587" s="99"/>
      <c r="AY587" s="101"/>
      <c r="AZ587" s="99"/>
      <c r="BA587" s="99" t="s">
        <v>1356</v>
      </c>
      <c r="BB587" s="99"/>
      <c r="BC587" s="101"/>
      <c r="BD587" s="99"/>
      <c r="BE587" s="101"/>
      <c r="BF587" s="99"/>
      <c r="BG587" s="99" t="s">
        <v>1356</v>
      </c>
      <c r="BH587" s="99"/>
      <c r="BI587" s="101"/>
      <c r="BJ587" s="99"/>
      <c r="BK587" s="101"/>
      <c r="BL587" s="99"/>
      <c r="BM587" s="99" t="s">
        <v>1356</v>
      </c>
      <c r="BN587" s="99"/>
      <c r="BO587" s="101"/>
      <c r="BP587" s="99"/>
      <c r="BQ587" s="101"/>
      <c r="BR587" s="99"/>
      <c r="BS587" s="99" t="s">
        <v>1356</v>
      </c>
      <c r="BT587" s="99"/>
      <c r="BU587" s="101"/>
      <c r="BV587" s="99"/>
      <c r="BW587" s="101"/>
      <c r="BX587" s="119"/>
      <c r="BY587" s="119" t="s">
        <v>1356</v>
      </c>
      <c r="BZ587" s="119"/>
      <c r="CA587" s="120"/>
      <c r="CB587" s="119"/>
      <c r="CC587" s="120"/>
      <c r="CD587" s="119"/>
      <c r="CE587" s="119" t="s">
        <v>1356</v>
      </c>
      <c r="CF587" s="119"/>
      <c r="CG587" s="120"/>
      <c r="CH587" s="119"/>
      <c r="CI587" s="120"/>
      <c r="CJ587" s="119"/>
      <c r="CK587" s="119" t="s">
        <v>1356</v>
      </c>
      <c r="CL587" s="119"/>
      <c r="CM587" s="120"/>
      <c r="CN587" s="119"/>
      <c r="CO587" s="120"/>
      <c r="CP587" s="119"/>
      <c r="CQ587" s="119" t="s">
        <v>1356</v>
      </c>
      <c r="CR587" s="119"/>
      <c r="CS587" s="120"/>
      <c r="CT587" s="119"/>
      <c r="CU587" s="120"/>
      <c r="CV587" s="119"/>
      <c r="CW587" s="119" t="s">
        <v>1356</v>
      </c>
      <c r="CX587" s="119"/>
      <c r="CY587" s="120"/>
      <c r="CZ587" s="119"/>
      <c r="DA587" s="120"/>
      <c r="DB587" s="36" t="s">
        <v>7085</v>
      </c>
      <c r="DC587" s="59" t="s">
        <v>105</v>
      </c>
    </row>
    <row r="588" spans="1:107" s="40" customFormat="1" ht="14.55" customHeight="1" x14ac:dyDescent="0.3">
      <c r="A588" s="66" t="s">
        <v>3500</v>
      </c>
      <c r="B588" s="66" t="s">
        <v>3736</v>
      </c>
      <c r="C588" s="66" t="s">
        <v>3737</v>
      </c>
      <c r="D588" s="66" t="s">
        <v>1327</v>
      </c>
      <c r="E588" s="66" t="s">
        <v>1328</v>
      </c>
      <c r="F588" s="66" t="s">
        <v>1329</v>
      </c>
      <c r="G588" s="68" t="s">
        <v>72</v>
      </c>
      <c r="H588" s="43" t="s">
        <v>251</v>
      </c>
      <c r="I588" s="68">
        <v>1701</v>
      </c>
      <c r="J588" s="68">
        <v>170150</v>
      </c>
      <c r="K588" s="69">
        <v>4</v>
      </c>
      <c r="L588" s="66" t="s">
        <v>692</v>
      </c>
      <c r="M588" s="66" t="s">
        <v>1330</v>
      </c>
      <c r="N588" s="66" t="s">
        <v>1331</v>
      </c>
      <c r="O588" s="66"/>
      <c r="P588" s="66"/>
      <c r="Q588" s="66"/>
      <c r="R588" s="66" t="s">
        <v>60</v>
      </c>
      <c r="S588" s="66"/>
      <c r="T588" s="66"/>
      <c r="U588" s="66" t="s">
        <v>609</v>
      </c>
      <c r="V588" s="66"/>
      <c r="W588" s="66" t="s">
        <v>1332</v>
      </c>
      <c r="X588" s="66" t="s">
        <v>1333</v>
      </c>
      <c r="Y588" s="66" t="s">
        <v>1334</v>
      </c>
      <c r="Z588" s="66"/>
      <c r="AA588" s="66"/>
      <c r="AB588" s="66">
        <v>170150043</v>
      </c>
      <c r="AC588" s="66">
        <v>170150043008</v>
      </c>
      <c r="AD588" s="66">
        <v>170150043008007</v>
      </c>
      <c r="AE588" s="69">
        <v>5</v>
      </c>
      <c r="AF588" s="69" t="s">
        <v>772</v>
      </c>
      <c r="AG588" s="46" t="s">
        <v>66</v>
      </c>
      <c r="AH588" s="70" t="s">
        <v>1335</v>
      </c>
      <c r="AI588" s="71" t="s">
        <v>66</v>
      </c>
      <c r="AJ588" s="49" t="s">
        <v>6938</v>
      </c>
      <c r="AK588" s="50" t="s">
        <v>67</v>
      </c>
      <c r="AL588" s="58">
        <v>45586</v>
      </c>
      <c r="AM588" s="52" t="s">
        <v>66</v>
      </c>
      <c r="AN588" s="52"/>
      <c r="AO588" s="52"/>
      <c r="AP588" s="52"/>
      <c r="AQ588" s="53">
        <f t="shared" si="30"/>
        <v>1</v>
      </c>
      <c r="AR588" s="54">
        <f t="shared" si="31"/>
        <v>0</v>
      </c>
      <c r="AS588" s="55">
        <f t="shared" si="32"/>
        <v>1</v>
      </c>
      <c r="AT588" s="102" t="s">
        <v>1336</v>
      </c>
      <c r="AU588" s="103" t="s">
        <v>1381</v>
      </c>
      <c r="AV588" s="104">
        <v>112.05</v>
      </c>
      <c r="AW588" s="105">
        <v>45586</v>
      </c>
      <c r="AX588" s="104">
        <v>112.05</v>
      </c>
      <c r="AY588" s="106">
        <v>45616</v>
      </c>
      <c r="AZ588" s="102"/>
      <c r="BA588" s="103" t="s">
        <v>1356</v>
      </c>
      <c r="BB588" s="104"/>
      <c r="BC588" s="106"/>
      <c r="BD588" s="104"/>
      <c r="BE588" s="106"/>
      <c r="BF588" s="102"/>
      <c r="BG588" s="103" t="s">
        <v>1356</v>
      </c>
      <c r="BH588" s="104"/>
      <c r="BI588" s="106"/>
      <c r="BJ588" s="104"/>
      <c r="BK588" s="106"/>
      <c r="BL588" s="102"/>
      <c r="BM588" s="103" t="s">
        <v>1356</v>
      </c>
      <c r="BN588" s="104"/>
      <c r="BO588" s="106"/>
      <c r="BP588" s="104"/>
      <c r="BQ588" s="106"/>
      <c r="BR588" s="102"/>
      <c r="BS588" s="103" t="s">
        <v>1356</v>
      </c>
      <c r="BT588" s="104"/>
      <c r="BU588" s="106"/>
      <c r="BV588" s="104"/>
      <c r="BW588" s="106"/>
      <c r="BX588" s="121"/>
      <c r="BY588" s="122" t="s">
        <v>1356</v>
      </c>
      <c r="BZ588" s="123"/>
      <c r="CA588" s="124"/>
      <c r="CB588" s="123"/>
      <c r="CC588" s="124"/>
      <c r="CD588" s="121"/>
      <c r="CE588" s="122" t="s">
        <v>1356</v>
      </c>
      <c r="CF588" s="123"/>
      <c r="CG588" s="124"/>
      <c r="CH588" s="123"/>
      <c r="CI588" s="124"/>
      <c r="CJ588" s="121"/>
      <c r="CK588" s="122" t="s">
        <v>1356</v>
      </c>
      <c r="CL588" s="123"/>
      <c r="CM588" s="124"/>
      <c r="CN588" s="123"/>
      <c r="CO588" s="124"/>
      <c r="CP588" s="121"/>
      <c r="CQ588" s="122" t="s">
        <v>1356</v>
      </c>
      <c r="CR588" s="123"/>
      <c r="CS588" s="124"/>
      <c r="CT588" s="123"/>
      <c r="CU588" s="124"/>
      <c r="CV588" s="121"/>
      <c r="CW588" s="122" t="s">
        <v>1356</v>
      </c>
      <c r="CX588" s="123"/>
      <c r="CY588" s="124"/>
      <c r="CZ588" s="123"/>
      <c r="DA588" s="124"/>
      <c r="DB588" s="52" t="s">
        <v>6962</v>
      </c>
      <c r="DC588" s="73" t="s">
        <v>105</v>
      </c>
    </row>
    <row r="589" spans="1:107" s="40" customFormat="1" ht="14.55" customHeight="1" x14ac:dyDescent="0.3">
      <c r="A589" s="35" t="s">
        <v>4219</v>
      </c>
      <c r="B589" s="35" t="s">
        <v>5940</v>
      </c>
      <c r="C589" s="35" t="s">
        <v>5941</v>
      </c>
      <c r="D589" s="35" t="s">
        <v>5942</v>
      </c>
      <c r="E589" s="35" t="s">
        <v>5943</v>
      </c>
      <c r="F589" s="35" t="s">
        <v>825</v>
      </c>
      <c r="G589" s="35" t="s">
        <v>4237</v>
      </c>
      <c r="H589" s="27" t="s">
        <v>686</v>
      </c>
      <c r="I589" s="62">
        <v>901</v>
      </c>
      <c r="J589" s="62">
        <v>90150</v>
      </c>
      <c r="K589" s="63">
        <v>4</v>
      </c>
      <c r="L589" s="35" t="s">
        <v>4446</v>
      </c>
      <c r="M589" s="35"/>
      <c r="N589" s="35" t="s">
        <v>5944</v>
      </c>
      <c r="O589" s="35" t="s">
        <v>862</v>
      </c>
      <c r="P589" s="35"/>
      <c r="Q589" s="35"/>
      <c r="R589" s="35"/>
      <c r="S589" s="35"/>
      <c r="T589" s="35"/>
      <c r="U589" s="35" t="s">
        <v>4485</v>
      </c>
      <c r="V589" s="35"/>
      <c r="W589" s="35" t="s">
        <v>5945</v>
      </c>
      <c r="X589" s="35" t="s">
        <v>5946</v>
      </c>
      <c r="Y589" s="35" t="s">
        <v>5947</v>
      </c>
      <c r="Z589" s="35"/>
      <c r="AA589" s="35"/>
      <c r="AB589" s="35">
        <v>90150517</v>
      </c>
      <c r="AC589" s="35">
        <v>90150517007</v>
      </c>
      <c r="AD589" s="35">
        <v>90150517007003</v>
      </c>
      <c r="AE589" s="63">
        <v>5</v>
      </c>
      <c r="AF589" s="63" t="s">
        <v>772</v>
      </c>
      <c r="AG589" s="29" t="s">
        <v>65</v>
      </c>
      <c r="AH589" s="75"/>
      <c r="AI589" s="65" t="s">
        <v>65</v>
      </c>
      <c r="AJ589" s="32" t="s">
        <v>6938</v>
      </c>
      <c r="AK589" s="33" t="s">
        <v>92</v>
      </c>
      <c r="AL589" s="76" t="s">
        <v>5788</v>
      </c>
      <c r="AM589" s="35"/>
      <c r="AN589" s="35"/>
      <c r="AO589" s="35"/>
      <c r="AP589" s="35"/>
      <c r="AQ589" s="37">
        <f t="shared" si="30"/>
        <v>0</v>
      </c>
      <c r="AR589" s="38">
        <f t="shared" si="31"/>
        <v>0</v>
      </c>
      <c r="AS589" s="39">
        <f t="shared" si="32"/>
        <v>0</v>
      </c>
      <c r="AT589" s="99"/>
      <c r="AU589" s="99" t="s">
        <v>1356</v>
      </c>
      <c r="AV589" s="99"/>
      <c r="AW589" s="100"/>
      <c r="AX589" s="99"/>
      <c r="AY589" s="101"/>
      <c r="AZ589" s="99"/>
      <c r="BA589" s="99" t="s">
        <v>1356</v>
      </c>
      <c r="BB589" s="99"/>
      <c r="BC589" s="101"/>
      <c r="BD589" s="99"/>
      <c r="BE589" s="101"/>
      <c r="BF589" s="99"/>
      <c r="BG589" s="99" t="s">
        <v>1356</v>
      </c>
      <c r="BH589" s="99"/>
      <c r="BI589" s="101"/>
      <c r="BJ589" s="99"/>
      <c r="BK589" s="101"/>
      <c r="BL589" s="99"/>
      <c r="BM589" s="99" t="s">
        <v>1356</v>
      </c>
      <c r="BN589" s="99"/>
      <c r="BO589" s="101"/>
      <c r="BP589" s="99"/>
      <c r="BQ589" s="101"/>
      <c r="BR589" s="99"/>
      <c r="BS589" s="99" t="s">
        <v>1356</v>
      </c>
      <c r="BT589" s="99"/>
      <c r="BU589" s="101"/>
      <c r="BV589" s="99"/>
      <c r="BW589" s="101"/>
      <c r="BX589" s="119"/>
      <c r="BY589" s="119" t="s">
        <v>1356</v>
      </c>
      <c r="BZ589" s="119"/>
      <c r="CA589" s="120"/>
      <c r="CB589" s="119"/>
      <c r="CC589" s="120"/>
      <c r="CD589" s="119"/>
      <c r="CE589" s="119" t="s">
        <v>1356</v>
      </c>
      <c r="CF589" s="119"/>
      <c r="CG589" s="120"/>
      <c r="CH589" s="119"/>
      <c r="CI589" s="120"/>
      <c r="CJ589" s="119"/>
      <c r="CK589" s="119" t="s">
        <v>1356</v>
      </c>
      <c r="CL589" s="119"/>
      <c r="CM589" s="120"/>
      <c r="CN589" s="119"/>
      <c r="CO589" s="120"/>
      <c r="CP589" s="119"/>
      <c r="CQ589" s="119" t="s">
        <v>1356</v>
      </c>
      <c r="CR589" s="119"/>
      <c r="CS589" s="120"/>
      <c r="CT589" s="119"/>
      <c r="CU589" s="120"/>
      <c r="CV589" s="119"/>
      <c r="CW589" s="119" t="s">
        <v>1356</v>
      </c>
      <c r="CX589" s="119"/>
      <c r="CY589" s="120"/>
      <c r="CZ589" s="119"/>
      <c r="DA589" s="120"/>
      <c r="DB589" s="36" t="s">
        <v>7085</v>
      </c>
      <c r="DC589" s="59" t="s">
        <v>92</v>
      </c>
    </row>
    <row r="590" spans="1:107" s="40" customFormat="1" ht="14.55" customHeight="1" x14ac:dyDescent="0.3">
      <c r="A590" s="66" t="s">
        <v>3500</v>
      </c>
      <c r="B590" s="66" t="s">
        <v>3738</v>
      </c>
      <c r="C590" s="66" t="s">
        <v>3739</v>
      </c>
      <c r="D590" s="66" t="s">
        <v>1337</v>
      </c>
      <c r="E590" s="66" t="s">
        <v>1338</v>
      </c>
      <c r="F590" s="66" t="s">
        <v>282</v>
      </c>
      <c r="G590" s="68" t="s">
        <v>72</v>
      </c>
      <c r="H590" s="43" t="s">
        <v>251</v>
      </c>
      <c r="I590" s="68">
        <v>1701</v>
      </c>
      <c r="J590" s="68">
        <v>170150</v>
      </c>
      <c r="K590" s="69">
        <v>4</v>
      </c>
      <c r="L590" s="66" t="s">
        <v>1339</v>
      </c>
      <c r="M590" s="66" t="s">
        <v>1340</v>
      </c>
      <c r="N590" s="66" t="s">
        <v>1341</v>
      </c>
      <c r="O590" s="66"/>
      <c r="P590" s="66"/>
      <c r="Q590" s="66"/>
      <c r="R590" s="66" t="s">
        <v>60</v>
      </c>
      <c r="S590" s="66"/>
      <c r="T590" s="66"/>
      <c r="U590" s="66" t="s">
        <v>1342</v>
      </c>
      <c r="V590" s="66"/>
      <c r="W590" s="66" t="s">
        <v>1343</v>
      </c>
      <c r="X590" s="66" t="s">
        <v>1344</v>
      </c>
      <c r="Y590" s="66" t="s">
        <v>1345</v>
      </c>
      <c r="Z590" s="66"/>
      <c r="AA590" s="66"/>
      <c r="AB590" s="66">
        <v>170150497</v>
      </c>
      <c r="AC590" s="66">
        <v>170150497007</v>
      </c>
      <c r="AD590" s="66">
        <v>170150497007004</v>
      </c>
      <c r="AE590" s="69">
        <v>5</v>
      </c>
      <c r="AF590" s="69" t="s">
        <v>772</v>
      </c>
      <c r="AG590" s="46" t="s">
        <v>66</v>
      </c>
      <c r="AH590" s="70" t="s">
        <v>1346</v>
      </c>
      <c r="AI590" s="71" t="s">
        <v>66</v>
      </c>
      <c r="AJ590" s="49" t="s">
        <v>6938</v>
      </c>
      <c r="AK590" s="50" t="s">
        <v>67</v>
      </c>
      <c r="AL590" s="58">
        <v>45586</v>
      </c>
      <c r="AM590" s="52" t="s">
        <v>66</v>
      </c>
      <c r="AN590" s="52"/>
      <c r="AO590" s="52"/>
      <c r="AP590" s="52"/>
      <c r="AQ590" s="53">
        <f t="shared" si="30"/>
        <v>2</v>
      </c>
      <c r="AR590" s="54">
        <f t="shared" si="31"/>
        <v>0</v>
      </c>
      <c r="AS590" s="55">
        <f t="shared" si="32"/>
        <v>2</v>
      </c>
      <c r="AT590" s="102" t="s">
        <v>1347</v>
      </c>
      <c r="AU590" s="103" t="s">
        <v>6739</v>
      </c>
      <c r="AV590" s="104">
        <v>13.2</v>
      </c>
      <c r="AW590" s="105">
        <v>45586</v>
      </c>
      <c r="AX590" s="104">
        <v>13.2</v>
      </c>
      <c r="AY590" s="106">
        <v>45616</v>
      </c>
      <c r="AZ590" s="102" t="s">
        <v>1347</v>
      </c>
      <c r="BA590" s="103" t="s">
        <v>6739</v>
      </c>
      <c r="BB590" s="104">
        <v>9.9</v>
      </c>
      <c r="BC590" s="106">
        <v>45586</v>
      </c>
      <c r="BD590" s="104">
        <v>9.9</v>
      </c>
      <c r="BE590" s="106">
        <v>45616</v>
      </c>
      <c r="BF590" s="102"/>
      <c r="BG590" s="103" t="s">
        <v>1356</v>
      </c>
      <c r="BH590" s="104"/>
      <c r="BI590" s="106"/>
      <c r="BJ590" s="104"/>
      <c r="BK590" s="106"/>
      <c r="BL590" s="102"/>
      <c r="BM590" s="103" t="s">
        <v>1356</v>
      </c>
      <c r="BN590" s="104"/>
      <c r="BO590" s="106"/>
      <c r="BP590" s="104"/>
      <c r="BQ590" s="106"/>
      <c r="BR590" s="102"/>
      <c r="BS590" s="103" t="s">
        <v>1356</v>
      </c>
      <c r="BT590" s="104"/>
      <c r="BU590" s="106"/>
      <c r="BV590" s="104"/>
      <c r="BW590" s="106"/>
      <c r="BX590" s="121"/>
      <c r="BY590" s="122" t="s">
        <v>1356</v>
      </c>
      <c r="BZ590" s="123"/>
      <c r="CA590" s="124"/>
      <c r="CB590" s="123"/>
      <c r="CC590" s="124"/>
      <c r="CD590" s="121"/>
      <c r="CE590" s="122" t="s">
        <v>1356</v>
      </c>
      <c r="CF590" s="123"/>
      <c r="CG590" s="124"/>
      <c r="CH590" s="123"/>
      <c r="CI590" s="124"/>
      <c r="CJ590" s="121"/>
      <c r="CK590" s="122" t="s">
        <v>1356</v>
      </c>
      <c r="CL590" s="123"/>
      <c r="CM590" s="124"/>
      <c r="CN590" s="123"/>
      <c r="CO590" s="124"/>
      <c r="CP590" s="121"/>
      <c r="CQ590" s="122" t="s">
        <v>1356</v>
      </c>
      <c r="CR590" s="123"/>
      <c r="CS590" s="124"/>
      <c r="CT590" s="123"/>
      <c r="CU590" s="124"/>
      <c r="CV590" s="121"/>
      <c r="CW590" s="122" t="s">
        <v>1356</v>
      </c>
      <c r="CX590" s="123"/>
      <c r="CY590" s="124"/>
      <c r="CZ590" s="123"/>
      <c r="DA590" s="124"/>
      <c r="DB590" s="52" t="s">
        <v>6962</v>
      </c>
      <c r="DC590" s="73" t="s">
        <v>105</v>
      </c>
    </row>
    <row r="591" spans="1:107" s="40" customFormat="1" x14ac:dyDescent="0.3">
      <c r="A591" s="35" t="s">
        <v>4219</v>
      </c>
      <c r="B591" s="35" t="s">
        <v>5959</v>
      </c>
      <c r="C591" s="35" t="s">
        <v>5960</v>
      </c>
      <c r="D591" s="35" t="s">
        <v>5961</v>
      </c>
      <c r="E591" s="35" t="s">
        <v>5962</v>
      </c>
      <c r="F591" s="35" t="s">
        <v>210</v>
      </c>
      <c r="G591" s="35" t="s">
        <v>4237</v>
      </c>
      <c r="H591" s="27" t="s">
        <v>686</v>
      </c>
      <c r="I591" s="62">
        <v>901</v>
      </c>
      <c r="J591" s="62">
        <v>90150</v>
      </c>
      <c r="K591" s="63">
        <v>4</v>
      </c>
      <c r="L591" s="35" t="s">
        <v>5963</v>
      </c>
      <c r="M591" s="35"/>
      <c r="N591" s="35" t="s">
        <v>810</v>
      </c>
      <c r="O591" s="35" t="s">
        <v>5119</v>
      </c>
      <c r="P591" s="35"/>
      <c r="Q591" s="35" t="s">
        <v>5964</v>
      </c>
      <c r="R591" s="35" t="s">
        <v>60</v>
      </c>
      <c r="S591" s="35"/>
      <c r="T591" s="35"/>
      <c r="U591" s="35"/>
      <c r="V591" s="35"/>
      <c r="W591" s="35" t="s">
        <v>5965</v>
      </c>
      <c r="X591" s="35" t="s">
        <v>5966</v>
      </c>
      <c r="Y591" s="35" t="s">
        <v>5967</v>
      </c>
      <c r="Z591" s="35"/>
      <c r="AA591" s="35"/>
      <c r="AB591" s="35">
        <v>90150671</v>
      </c>
      <c r="AC591" s="35">
        <v>90150671012</v>
      </c>
      <c r="AD591" s="35">
        <v>90150671012001</v>
      </c>
      <c r="AE591" s="63">
        <v>5</v>
      </c>
      <c r="AF591" s="63" t="s">
        <v>772</v>
      </c>
      <c r="AG591" s="29" t="s">
        <v>65</v>
      </c>
      <c r="AH591" s="75"/>
      <c r="AI591" s="65" t="s">
        <v>65</v>
      </c>
      <c r="AJ591" s="32" t="s">
        <v>6939</v>
      </c>
      <c r="AK591" s="33" t="s">
        <v>92</v>
      </c>
      <c r="AL591" s="34"/>
      <c r="AM591" s="35"/>
      <c r="AN591" s="35"/>
      <c r="AO591" s="35"/>
      <c r="AP591" s="35"/>
      <c r="AQ591" s="37">
        <f t="shared" si="30"/>
        <v>0</v>
      </c>
      <c r="AR591" s="38">
        <f t="shared" si="31"/>
        <v>0</v>
      </c>
      <c r="AS591" s="39">
        <f t="shared" si="32"/>
        <v>0</v>
      </c>
      <c r="AT591" s="99"/>
      <c r="AU591" s="99" t="s">
        <v>1356</v>
      </c>
      <c r="AV591" s="99"/>
      <c r="AW591" s="100"/>
      <c r="AX591" s="99"/>
      <c r="AY591" s="101"/>
      <c r="AZ591" s="99"/>
      <c r="BA591" s="99" t="s">
        <v>1356</v>
      </c>
      <c r="BB591" s="99"/>
      <c r="BC591" s="101"/>
      <c r="BD591" s="99"/>
      <c r="BE591" s="101"/>
      <c r="BF591" s="99"/>
      <c r="BG591" s="99" t="s">
        <v>1356</v>
      </c>
      <c r="BH591" s="99"/>
      <c r="BI591" s="101"/>
      <c r="BJ591" s="99"/>
      <c r="BK591" s="101"/>
      <c r="BL591" s="99"/>
      <c r="BM591" s="99" t="s">
        <v>1356</v>
      </c>
      <c r="BN591" s="99"/>
      <c r="BO591" s="101"/>
      <c r="BP591" s="99"/>
      <c r="BQ591" s="101"/>
      <c r="BR591" s="99"/>
      <c r="BS591" s="99" t="s">
        <v>1356</v>
      </c>
      <c r="BT591" s="99"/>
      <c r="BU591" s="101"/>
      <c r="BV591" s="99"/>
      <c r="BW591" s="101"/>
      <c r="BX591" s="119"/>
      <c r="BY591" s="119" t="s">
        <v>1356</v>
      </c>
      <c r="BZ591" s="119"/>
      <c r="CA591" s="120"/>
      <c r="CB591" s="119"/>
      <c r="CC591" s="120"/>
      <c r="CD591" s="119"/>
      <c r="CE591" s="119" t="s">
        <v>1356</v>
      </c>
      <c r="CF591" s="119"/>
      <c r="CG591" s="120"/>
      <c r="CH591" s="119"/>
      <c r="CI591" s="120"/>
      <c r="CJ591" s="119"/>
      <c r="CK591" s="119" t="s">
        <v>1356</v>
      </c>
      <c r="CL591" s="119"/>
      <c r="CM591" s="120"/>
      <c r="CN591" s="119"/>
      <c r="CO591" s="120"/>
      <c r="CP591" s="119"/>
      <c r="CQ591" s="119" t="s">
        <v>1356</v>
      </c>
      <c r="CR591" s="119"/>
      <c r="CS591" s="120"/>
      <c r="CT591" s="119"/>
      <c r="CU591" s="120"/>
      <c r="CV591" s="119"/>
      <c r="CW591" s="119" t="s">
        <v>1356</v>
      </c>
      <c r="CX591" s="119"/>
      <c r="CY591" s="120"/>
      <c r="CZ591" s="119"/>
      <c r="DA591" s="120"/>
      <c r="DB591" s="35"/>
      <c r="DC591" s="59"/>
    </row>
    <row r="592" spans="1:107" s="40" customFormat="1" ht="14.55" customHeight="1" x14ac:dyDescent="0.3">
      <c r="A592" s="66" t="s">
        <v>3500</v>
      </c>
      <c r="B592" s="66" t="s">
        <v>3962</v>
      </c>
      <c r="C592" s="66" t="s">
        <v>3963</v>
      </c>
      <c r="D592" s="66" t="s">
        <v>2187</v>
      </c>
      <c r="E592" s="66" t="s">
        <v>2188</v>
      </c>
      <c r="F592" s="66" t="s">
        <v>108</v>
      </c>
      <c r="G592" s="68" t="s">
        <v>72</v>
      </c>
      <c r="H592" s="43" t="s">
        <v>251</v>
      </c>
      <c r="I592" s="68">
        <v>1703</v>
      </c>
      <c r="J592" s="68">
        <v>170357</v>
      </c>
      <c r="K592" s="69">
        <v>4</v>
      </c>
      <c r="L592" s="66" t="s">
        <v>2189</v>
      </c>
      <c r="M592" s="66" t="s">
        <v>2190</v>
      </c>
      <c r="N592" s="66" t="s">
        <v>2191</v>
      </c>
      <c r="O592" s="66"/>
      <c r="P592" s="66"/>
      <c r="Q592" s="66"/>
      <c r="R592" s="66"/>
      <c r="S592" s="66"/>
      <c r="T592" s="66"/>
      <c r="U592" s="66"/>
      <c r="V592" s="66"/>
      <c r="W592" s="66"/>
      <c r="X592" s="66" t="s">
        <v>2192</v>
      </c>
      <c r="Y592" s="66" t="s">
        <v>2193</v>
      </c>
      <c r="Z592" s="66"/>
      <c r="AA592" s="66"/>
      <c r="AB592" s="66"/>
      <c r="AC592" s="66"/>
      <c r="AD592" s="66"/>
      <c r="AE592" s="69">
        <v>2</v>
      </c>
      <c r="AF592" s="69" t="s">
        <v>64</v>
      </c>
      <c r="AG592" s="46" t="s">
        <v>66</v>
      </c>
      <c r="AH592" s="70">
        <v>40916</v>
      </c>
      <c r="AI592" s="71" t="s">
        <v>66</v>
      </c>
      <c r="AJ592" s="49" t="s">
        <v>6938</v>
      </c>
      <c r="AK592" s="50" t="s">
        <v>67</v>
      </c>
      <c r="AL592" s="58">
        <v>45586</v>
      </c>
      <c r="AM592" s="52" t="s">
        <v>66</v>
      </c>
      <c r="AN592" s="52"/>
      <c r="AO592" s="52"/>
      <c r="AP592" s="52"/>
      <c r="AQ592" s="53">
        <f t="shared" si="30"/>
        <v>2</v>
      </c>
      <c r="AR592" s="54">
        <f t="shared" si="31"/>
        <v>0</v>
      </c>
      <c r="AS592" s="55">
        <f t="shared" si="32"/>
        <v>2</v>
      </c>
      <c r="AT592" s="107" t="s">
        <v>2194</v>
      </c>
      <c r="AU592" s="103" t="s">
        <v>2195</v>
      </c>
      <c r="AV592" s="104" t="s">
        <v>2196</v>
      </c>
      <c r="AW592" s="105">
        <v>45616</v>
      </c>
      <c r="AX592" s="104"/>
      <c r="AY592" s="106"/>
      <c r="AZ592" s="107" t="s">
        <v>1201</v>
      </c>
      <c r="BA592" s="103" t="s">
        <v>2197</v>
      </c>
      <c r="BB592" s="104" t="s">
        <v>2198</v>
      </c>
      <c r="BC592" s="106">
        <v>45616</v>
      </c>
      <c r="BD592" s="104"/>
      <c r="BE592" s="106"/>
      <c r="BF592" s="102"/>
      <c r="BG592" s="103" t="s">
        <v>1356</v>
      </c>
      <c r="BH592" s="104"/>
      <c r="BI592" s="106"/>
      <c r="BJ592" s="104"/>
      <c r="BK592" s="106"/>
      <c r="BL592" s="102"/>
      <c r="BM592" s="103" t="s">
        <v>1356</v>
      </c>
      <c r="BN592" s="104"/>
      <c r="BO592" s="106"/>
      <c r="BP592" s="104"/>
      <c r="BQ592" s="106"/>
      <c r="BR592" s="102"/>
      <c r="BS592" s="103" t="s">
        <v>1356</v>
      </c>
      <c r="BT592" s="104"/>
      <c r="BU592" s="106"/>
      <c r="BV592" s="104"/>
      <c r="BW592" s="106"/>
      <c r="BX592" s="121"/>
      <c r="BY592" s="122" t="s">
        <v>1356</v>
      </c>
      <c r="BZ592" s="123"/>
      <c r="CA592" s="124"/>
      <c r="CB592" s="123"/>
      <c r="CC592" s="124"/>
      <c r="CD592" s="121"/>
      <c r="CE592" s="122" t="s">
        <v>1356</v>
      </c>
      <c r="CF592" s="123"/>
      <c r="CG592" s="124"/>
      <c r="CH592" s="123"/>
      <c r="CI592" s="124"/>
      <c r="CJ592" s="121"/>
      <c r="CK592" s="122" t="s">
        <v>1356</v>
      </c>
      <c r="CL592" s="123"/>
      <c r="CM592" s="124"/>
      <c r="CN592" s="123"/>
      <c r="CO592" s="124"/>
      <c r="CP592" s="121"/>
      <c r="CQ592" s="122" t="s">
        <v>1356</v>
      </c>
      <c r="CR592" s="123"/>
      <c r="CS592" s="124"/>
      <c r="CT592" s="123"/>
      <c r="CU592" s="124"/>
      <c r="CV592" s="121"/>
      <c r="CW592" s="122" t="s">
        <v>1356</v>
      </c>
      <c r="CX592" s="123"/>
      <c r="CY592" s="124"/>
      <c r="CZ592" s="123"/>
      <c r="DA592" s="124"/>
      <c r="DB592" s="52" t="s">
        <v>6962</v>
      </c>
      <c r="DC592" s="73" t="s">
        <v>105</v>
      </c>
    </row>
    <row r="593" spans="1:107" s="40" customFormat="1" ht="14.55" customHeight="1" x14ac:dyDescent="0.3">
      <c r="A593" s="42" t="s">
        <v>4219</v>
      </c>
      <c r="B593" s="42" t="s">
        <v>5189</v>
      </c>
      <c r="C593" s="42" t="s">
        <v>5190</v>
      </c>
      <c r="D593" s="42" t="s">
        <v>5191</v>
      </c>
      <c r="E593" s="42" t="s">
        <v>5192</v>
      </c>
      <c r="F593" s="42" t="s">
        <v>4289</v>
      </c>
      <c r="G593" s="42" t="s">
        <v>4237</v>
      </c>
      <c r="H593" s="43" t="s">
        <v>686</v>
      </c>
      <c r="I593" s="44">
        <v>901</v>
      </c>
      <c r="J593" s="44">
        <v>90150</v>
      </c>
      <c r="K593" s="45">
        <v>4</v>
      </c>
      <c r="L593" s="42"/>
      <c r="M593" s="42" t="s">
        <v>258</v>
      </c>
      <c r="N593" s="42" t="s">
        <v>3215</v>
      </c>
      <c r="O593" s="42" t="s">
        <v>4242</v>
      </c>
      <c r="P593" s="42"/>
      <c r="Q593" s="42" t="s">
        <v>5193</v>
      </c>
      <c r="R593" s="42" t="s">
        <v>338</v>
      </c>
      <c r="S593" s="42" t="s">
        <v>5194</v>
      </c>
      <c r="T593" s="42"/>
      <c r="U593" s="42" t="s">
        <v>5195</v>
      </c>
      <c r="V593" s="42"/>
      <c r="W593" s="42" t="s">
        <v>5196</v>
      </c>
      <c r="X593" s="42" t="s">
        <v>5197</v>
      </c>
      <c r="Y593" s="42" t="s">
        <v>5198</v>
      </c>
      <c r="Z593" s="42">
        <v>-79.883178999999998</v>
      </c>
      <c r="AA593" s="42">
        <v>-2.1457899999999999</v>
      </c>
      <c r="AB593" s="42">
        <v>90150319</v>
      </c>
      <c r="AC593" s="42">
        <v>90150319002</v>
      </c>
      <c r="AD593" s="42">
        <v>90150319002020</v>
      </c>
      <c r="AE593" s="45">
        <v>4</v>
      </c>
      <c r="AF593" s="45" t="s">
        <v>499</v>
      </c>
      <c r="AG593" s="46" t="s">
        <v>66</v>
      </c>
      <c r="AH593" s="47" t="s">
        <v>6956</v>
      </c>
      <c r="AI593" s="48" t="s">
        <v>66</v>
      </c>
      <c r="AJ593" s="49" t="s">
        <v>6938</v>
      </c>
      <c r="AK593" s="50" t="s">
        <v>67</v>
      </c>
      <c r="AL593" s="58">
        <v>45586</v>
      </c>
      <c r="AM593" s="52" t="s">
        <v>66</v>
      </c>
      <c r="AN593" s="42"/>
      <c r="AO593" s="42"/>
      <c r="AP593" s="42"/>
      <c r="AQ593" s="53">
        <f t="shared" si="30"/>
        <v>0</v>
      </c>
      <c r="AR593" s="54">
        <f t="shared" si="31"/>
        <v>1</v>
      </c>
      <c r="AS593" s="55">
        <f t="shared" si="32"/>
        <v>1</v>
      </c>
      <c r="AT593" s="96"/>
      <c r="AU593" s="96" t="s">
        <v>1356</v>
      </c>
      <c r="AV593" s="96"/>
      <c r="AW593" s="97"/>
      <c r="AX593" s="96"/>
      <c r="AY593" s="98"/>
      <c r="AZ593" s="96"/>
      <c r="BA593" s="96" t="s">
        <v>1356</v>
      </c>
      <c r="BB593" s="96"/>
      <c r="BC593" s="98"/>
      <c r="BD593" s="96"/>
      <c r="BE593" s="98"/>
      <c r="BF593" s="96"/>
      <c r="BG593" s="96" t="s">
        <v>1356</v>
      </c>
      <c r="BH593" s="96"/>
      <c r="BI593" s="98"/>
      <c r="BJ593" s="96"/>
      <c r="BK593" s="98"/>
      <c r="BL593" s="96"/>
      <c r="BM593" s="96" t="s">
        <v>1356</v>
      </c>
      <c r="BN593" s="96"/>
      <c r="BO593" s="98"/>
      <c r="BP593" s="96"/>
      <c r="BQ593" s="98"/>
      <c r="BR593" s="96"/>
      <c r="BS593" s="96" t="s">
        <v>1356</v>
      </c>
      <c r="BT593" s="96"/>
      <c r="BU593" s="98"/>
      <c r="BV593" s="96"/>
      <c r="BW593" s="98"/>
      <c r="BX593" s="117" t="s">
        <v>4315</v>
      </c>
      <c r="BY593" s="117" t="s">
        <v>4316</v>
      </c>
      <c r="BZ593" s="117">
        <v>1280</v>
      </c>
      <c r="CA593" s="118">
        <v>45602</v>
      </c>
      <c r="CB593" s="117"/>
      <c r="CC593" s="118"/>
      <c r="CD593" s="117"/>
      <c r="CE593" s="117" t="s">
        <v>1356</v>
      </c>
      <c r="CF593" s="117"/>
      <c r="CG593" s="118"/>
      <c r="CH593" s="117"/>
      <c r="CI593" s="118"/>
      <c r="CJ593" s="117"/>
      <c r="CK593" s="117" t="s">
        <v>1356</v>
      </c>
      <c r="CL593" s="117"/>
      <c r="CM593" s="118"/>
      <c r="CN593" s="117"/>
      <c r="CO593" s="118"/>
      <c r="CP593" s="117"/>
      <c r="CQ593" s="117" t="s">
        <v>1356</v>
      </c>
      <c r="CR593" s="117"/>
      <c r="CS593" s="118"/>
      <c r="CT593" s="117"/>
      <c r="CU593" s="118"/>
      <c r="CV593" s="117"/>
      <c r="CW593" s="117" t="s">
        <v>1356</v>
      </c>
      <c r="CX593" s="117"/>
      <c r="CY593" s="118"/>
      <c r="CZ593" s="117"/>
      <c r="DA593" s="118"/>
      <c r="DB593" s="52" t="s">
        <v>6962</v>
      </c>
      <c r="DC593" s="57" t="s">
        <v>105</v>
      </c>
    </row>
    <row r="594" spans="1:107" s="40" customFormat="1" ht="14.55" customHeight="1" x14ac:dyDescent="0.3">
      <c r="A594" s="42" t="s">
        <v>4219</v>
      </c>
      <c r="B594" s="42" t="s">
        <v>5206</v>
      </c>
      <c r="C594" s="42" t="s">
        <v>5207</v>
      </c>
      <c r="D594" s="42" t="s">
        <v>5208</v>
      </c>
      <c r="E594" s="42" t="s">
        <v>5209</v>
      </c>
      <c r="F594" s="42" t="s">
        <v>81</v>
      </c>
      <c r="G594" s="42" t="s">
        <v>4329</v>
      </c>
      <c r="H594" s="43" t="s">
        <v>6935</v>
      </c>
      <c r="I594" s="44">
        <v>2302</v>
      </c>
      <c r="J594" s="44">
        <v>230252</v>
      </c>
      <c r="K594" s="45">
        <v>4</v>
      </c>
      <c r="L594" s="42" t="s">
        <v>5210</v>
      </c>
      <c r="M594" s="42" t="s">
        <v>258</v>
      </c>
      <c r="N594" s="42" t="s">
        <v>810</v>
      </c>
      <c r="O594" s="42" t="s">
        <v>3181</v>
      </c>
      <c r="P594" s="42" t="s">
        <v>5211</v>
      </c>
      <c r="Q594" s="42"/>
      <c r="R594" s="42" t="s">
        <v>60</v>
      </c>
      <c r="S594" s="42"/>
      <c r="T594" s="42"/>
      <c r="U594" s="42"/>
      <c r="V594" s="42"/>
      <c r="W594" s="42" t="s">
        <v>5212</v>
      </c>
      <c r="X594" s="42" t="s">
        <v>5213</v>
      </c>
      <c r="Y594" s="42" t="s">
        <v>5214</v>
      </c>
      <c r="Z594" s="42"/>
      <c r="AA594" s="42"/>
      <c r="AB594" s="42">
        <v>230252999</v>
      </c>
      <c r="AC594" s="42">
        <v>230252999002</v>
      </c>
      <c r="AD594" s="42"/>
      <c r="AE594" s="45">
        <v>4</v>
      </c>
      <c r="AF594" s="45" t="s">
        <v>499</v>
      </c>
      <c r="AG594" s="46" t="s">
        <v>66</v>
      </c>
      <c r="AH594" s="47" t="s">
        <v>6957</v>
      </c>
      <c r="AI594" s="48" t="s">
        <v>66</v>
      </c>
      <c r="AJ594" s="49" t="s">
        <v>6938</v>
      </c>
      <c r="AK594" s="50" t="s">
        <v>67</v>
      </c>
      <c r="AL594" s="34">
        <v>45586</v>
      </c>
      <c r="AM594" s="52" t="s">
        <v>66</v>
      </c>
      <c r="AN594" s="42"/>
      <c r="AO594" s="42"/>
      <c r="AP594" s="42"/>
      <c r="AQ594" s="53">
        <f t="shared" si="30"/>
        <v>0</v>
      </c>
      <c r="AR594" s="54">
        <f t="shared" si="31"/>
        <v>1</v>
      </c>
      <c r="AS594" s="55">
        <f t="shared" si="32"/>
        <v>1</v>
      </c>
      <c r="AT594" s="96"/>
      <c r="AU594" s="96" t="s">
        <v>1356</v>
      </c>
      <c r="AV594" s="96"/>
      <c r="AW594" s="97"/>
      <c r="AX594" s="96"/>
      <c r="AY594" s="98"/>
      <c r="AZ594" s="96"/>
      <c r="BA594" s="96" t="s">
        <v>1356</v>
      </c>
      <c r="BB594" s="96"/>
      <c r="BC594" s="98"/>
      <c r="BD594" s="96"/>
      <c r="BE594" s="98"/>
      <c r="BF594" s="96"/>
      <c r="BG594" s="96" t="s">
        <v>1356</v>
      </c>
      <c r="BH594" s="96"/>
      <c r="BI594" s="98"/>
      <c r="BJ594" s="96"/>
      <c r="BK594" s="98"/>
      <c r="BL594" s="96"/>
      <c r="BM594" s="96" t="s">
        <v>1356</v>
      </c>
      <c r="BN594" s="96"/>
      <c r="BO594" s="98"/>
      <c r="BP594" s="96"/>
      <c r="BQ594" s="98"/>
      <c r="BR594" s="96"/>
      <c r="BS594" s="96" t="s">
        <v>1356</v>
      </c>
      <c r="BT594" s="96"/>
      <c r="BU594" s="98"/>
      <c r="BV594" s="96"/>
      <c r="BW594" s="98"/>
      <c r="BX594" s="117" t="s">
        <v>386</v>
      </c>
      <c r="BY594" s="117" t="s">
        <v>5215</v>
      </c>
      <c r="BZ594" s="117">
        <v>1160</v>
      </c>
      <c r="CA594" s="118">
        <v>45588</v>
      </c>
      <c r="CB594" s="117">
        <v>1020</v>
      </c>
      <c r="CC594" s="118">
        <v>45637</v>
      </c>
      <c r="CD594" s="117"/>
      <c r="CE594" s="117" t="s">
        <v>1356</v>
      </c>
      <c r="CF594" s="117"/>
      <c r="CG594" s="118"/>
      <c r="CH594" s="117"/>
      <c r="CI594" s="118"/>
      <c r="CJ594" s="117"/>
      <c r="CK594" s="117" t="s">
        <v>1356</v>
      </c>
      <c r="CL594" s="117"/>
      <c r="CM594" s="118"/>
      <c r="CN594" s="117"/>
      <c r="CO594" s="118"/>
      <c r="CP594" s="117"/>
      <c r="CQ594" s="117" t="s">
        <v>1356</v>
      </c>
      <c r="CR594" s="117"/>
      <c r="CS594" s="118"/>
      <c r="CT594" s="117"/>
      <c r="CU594" s="118"/>
      <c r="CV594" s="117"/>
      <c r="CW594" s="117" t="s">
        <v>1356</v>
      </c>
      <c r="CX594" s="117"/>
      <c r="CY594" s="118"/>
      <c r="CZ594" s="117"/>
      <c r="DA594" s="118"/>
      <c r="DB594" s="52" t="s">
        <v>6962</v>
      </c>
      <c r="DC594" s="57" t="s">
        <v>105</v>
      </c>
    </row>
    <row r="595" spans="1:107" s="40" customFormat="1" ht="14.55" customHeight="1" x14ac:dyDescent="0.3">
      <c r="A595" s="66" t="s">
        <v>3500</v>
      </c>
      <c r="B595" s="66" t="s">
        <v>3563</v>
      </c>
      <c r="C595" s="66" t="s">
        <v>3564</v>
      </c>
      <c r="D595" s="66" t="s">
        <v>387</v>
      </c>
      <c r="E595" s="66" t="s">
        <v>388</v>
      </c>
      <c r="F595" s="66" t="s">
        <v>95</v>
      </c>
      <c r="G595" s="68" t="s">
        <v>72</v>
      </c>
      <c r="H595" s="43" t="s">
        <v>251</v>
      </c>
      <c r="I595" s="68">
        <v>1701</v>
      </c>
      <c r="J595" s="68">
        <v>170150</v>
      </c>
      <c r="K595" s="69">
        <v>4</v>
      </c>
      <c r="L595" s="66" t="s">
        <v>389</v>
      </c>
      <c r="M595" s="66" t="s">
        <v>390</v>
      </c>
      <c r="N595" s="66" t="s">
        <v>268</v>
      </c>
      <c r="O595" s="66"/>
      <c r="P595" s="66"/>
      <c r="Q595" s="66"/>
      <c r="R595" s="66" t="s">
        <v>391</v>
      </c>
      <c r="S595" s="66"/>
      <c r="T595" s="66"/>
      <c r="U595" s="66" t="s">
        <v>392</v>
      </c>
      <c r="V595" s="66"/>
      <c r="W595" s="66" t="s">
        <v>393</v>
      </c>
      <c r="X595" s="66" t="s">
        <v>394</v>
      </c>
      <c r="Y595" s="66" t="s">
        <v>395</v>
      </c>
      <c r="Z595" s="66">
        <v>-78.464140892028809</v>
      </c>
      <c r="AA595" s="66">
        <v>-8.9172684909375369E-2</v>
      </c>
      <c r="AB595" s="66">
        <v>170150034</v>
      </c>
      <c r="AC595" s="66">
        <v>170150034003</v>
      </c>
      <c r="AD595" s="66">
        <v>170150034003004</v>
      </c>
      <c r="AE595" s="69">
        <v>3</v>
      </c>
      <c r="AF595" s="69" t="s">
        <v>377</v>
      </c>
      <c r="AG595" s="46" t="s">
        <v>66</v>
      </c>
      <c r="AH595" s="70" t="s">
        <v>396</v>
      </c>
      <c r="AI595" s="71" t="s">
        <v>66</v>
      </c>
      <c r="AJ595" s="49" t="s">
        <v>6938</v>
      </c>
      <c r="AK595" s="50" t="s">
        <v>67</v>
      </c>
      <c r="AL595" s="58">
        <v>45587</v>
      </c>
      <c r="AM595" s="52" t="s">
        <v>66</v>
      </c>
      <c r="AN595" s="52"/>
      <c r="AO595" s="52"/>
      <c r="AP595" s="52"/>
      <c r="AQ595" s="53">
        <f t="shared" si="30"/>
        <v>2</v>
      </c>
      <c r="AR595" s="54">
        <f t="shared" si="31"/>
        <v>0</v>
      </c>
      <c r="AS595" s="55">
        <f t="shared" si="32"/>
        <v>2</v>
      </c>
      <c r="AT595" s="102" t="s">
        <v>397</v>
      </c>
      <c r="AU595" s="103" t="s">
        <v>6744</v>
      </c>
      <c r="AV595" s="104">
        <v>3.75</v>
      </c>
      <c r="AW595" s="105">
        <v>45587</v>
      </c>
      <c r="AX595" s="104">
        <v>3.75</v>
      </c>
      <c r="AY595" s="106">
        <v>45618</v>
      </c>
      <c r="AZ595" s="102" t="s">
        <v>397</v>
      </c>
      <c r="BA595" s="103" t="s">
        <v>6744</v>
      </c>
      <c r="BB595" s="104">
        <v>0.98</v>
      </c>
      <c r="BC595" s="106">
        <v>45587</v>
      </c>
      <c r="BD595" s="104">
        <v>0.98</v>
      </c>
      <c r="BE595" s="106">
        <v>45618</v>
      </c>
      <c r="BF595" s="102"/>
      <c r="BG595" s="103" t="s">
        <v>1356</v>
      </c>
      <c r="BH595" s="104"/>
      <c r="BI595" s="106"/>
      <c r="BJ595" s="104"/>
      <c r="BK595" s="106"/>
      <c r="BL595" s="102"/>
      <c r="BM595" s="103" t="s">
        <v>1356</v>
      </c>
      <c r="BN595" s="104"/>
      <c r="BO595" s="106"/>
      <c r="BP595" s="104"/>
      <c r="BQ595" s="106"/>
      <c r="BR595" s="102"/>
      <c r="BS595" s="103" t="s">
        <v>1356</v>
      </c>
      <c r="BT595" s="104"/>
      <c r="BU595" s="106"/>
      <c r="BV595" s="104"/>
      <c r="BW595" s="106"/>
      <c r="BX595" s="121"/>
      <c r="BY595" s="122" t="s">
        <v>1356</v>
      </c>
      <c r="BZ595" s="123"/>
      <c r="CA595" s="124"/>
      <c r="CB595" s="123"/>
      <c r="CC595" s="124"/>
      <c r="CD595" s="121"/>
      <c r="CE595" s="122" t="s">
        <v>1356</v>
      </c>
      <c r="CF595" s="123"/>
      <c r="CG595" s="124"/>
      <c r="CH595" s="123"/>
      <c r="CI595" s="124"/>
      <c r="CJ595" s="121"/>
      <c r="CK595" s="122" t="s">
        <v>1356</v>
      </c>
      <c r="CL595" s="123"/>
      <c r="CM595" s="124"/>
      <c r="CN595" s="123"/>
      <c r="CO595" s="124"/>
      <c r="CP595" s="121"/>
      <c r="CQ595" s="122" t="s">
        <v>1356</v>
      </c>
      <c r="CR595" s="123"/>
      <c r="CS595" s="124"/>
      <c r="CT595" s="123"/>
      <c r="CU595" s="124"/>
      <c r="CV595" s="121"/>
      <c r="CW595" s="122" t="s">
        <v>1356</v>
      </c>
      <c r="CX595" s="123"/>
      <c r="CY595" s="124"/>
      <c r="CZ595" s="123"/>
      <c r="DA595" s="124"/>
      <c r="DB595" s="52" t="s">
        <v>6962</v>
      </c>
      <c r="DC595" s="73" t="s">
        <v>105</v>
      </c>
    </row>
    <row r="596" spans="1:107" s="40" customFormat="1" x14ac:dyDescent="0.3">
      <c r="A596" s="35" t="s">
        <v>4219</v>
      </c>
      <c r="B596" s="35" t="s">
        <v>6005</v>
      </c>
      <c r="C596" s="35" t="s">
        <v>6006</v>
      </c>
      <c r="D596" s="35" t="s">
        <v>6007</v>
      </c>
      <c r="E596" s="35" t="s">
        <v>6008</v>
      </c>
      <c r="F596" s="35" t="s">
        <v>190</v>
      </c>
      <c r="G596" s="35" t="s">
        <v>4237</v>
      </c>
      <c r="H596" s="27" t="s">
        <v>686</v>
      </c>
      <c r="I596" s="62">
        <v>901</v>
      </c>
      <c r="J596" s="62">
        <v>90150</v>
      </c>
      <c r="K596" s="63">
        <v>4</v>
      </c>
      <c r="L596" s="35" t="s">
        <v>4645</v>
      </c>
      <c r="M596" s="35" t="s">
        <v>6009</v>
      </c>
      <c r="N596" s="35" t="s">
        <v>4643</v>
      </c>
      <c r="O596" s="35"/>
      <c r="P596" s="35"/>
      <c r="Q596" s="35" t="s">
        <v>6010</v>
      </c>
      <c r="R596" s="35" t="s">
        <v>2234</v>
      </c>
      <c r="S596" s="35" t="s">
        <v>60</v>
      </c>
      <c r="T596" s="35"/>
      <c r="U596" s="35"/>
      <c r="V596" s="35"/>
      <c r="W596" s="35" t="s">
        <v>6011</v>
      </c>
      <c r="X596" s="35" t="s">
        <v>6012</v>
      </c>
      <c r="Y596" s="35" t="s">
        <v>6013</v>
      </c>
      <c r="Z596" s="35">
        <v>-79.881375000000006</v>
      </c>
      <c r="AA596" s="35">
        <v>-2.1904379999999999</v>
      </c>
      <c r="AB596" s="35">
        <v>90150295</v>
      </c>
      <c r="AC596" s="35">
        <v>90150295004</v>
      </c>
      <c r="AD596" s="35">
        <v>90150295004005</v>
      </c>
      <c r="AE596" s="63">
        <v>5</v>
      </c>
      <c r="AF596" s="63" t="s">
        <v>772</v>
      </c>
      <c r="AG596" s="29" t="s">
        <v>65</v>
      </c>
      <c r="AH596" s="75"/>
      <c r="AI596" s="65" t="s">
        <v>66</v>
      </c>
      <c r="AJ596" s="32" t="s">
        <v>6938</v>
      </c>
      <c r="AK596" s="33" t="s">
        <v>67</v>
      </c>
      <c r="AL596" s="34">
        <v>45579</v>
      </c>
      <c r="AM596" s="35" t="s">
        <v>66</v>
      </c>
      <c r="AN596" s="35"/>
      <c r="AO596" s="35"/>
      <c r="AP596" s="35"/>
      <c r="AQ596" s="37">
        <f t="shared" si="30"/>
        <v>0</v>
      </c>
      <c r="AR596" s="38">
        <f t="shared" si="31"/>
        <v>0</v>
      </c>
      <c r="AS596" s="39">
        <f t="shared" si="32"/>
        <v>0</v>
      </c>
      <c r="AT596" s="99"/>
      <c r="AU596" s="99" t="s">
        <v>1356</v>
      </c>
      <c r="AV596" s="99"/>
      <c r="AW596" s="100"/>
      <c r="AX596" s="99"/>
      <c r="AY596" s="101"/>
      <c r="AZ596" s="99"/>
      <c r="BA596" s="99" t="s">
        <v>1356</v>
      </c>
      <c r="BB596" s="99"/>
      <c r="BC596" s="101"/>
      <c r="BD596" s="99"/>
      <c r="BE596" s="101"/>
      <c r="BF596" s="99"/>
      <c r="BG596" s="99" t="s">
        <v>1356</v>
      </c>
      <c r="BH596" s="99"/>
      <c r="BI596" s="101"/>
      <c r="BJ596" s="99"/>
      <c r="BK596" s="101"/>
      <c r="BL596" s="99"/>
      <c r="BM596" s="99" t="s">
        <v>1356</v>
      </c>
      <c r="BN596" s="99"/>
      <c r="BO596" s="101"/>
      <c r="BP596" s="99"/>
      <c r="BQ596" s="101"/>
      <c r="BR596" s="99"/>
      <c r="BS596" s="99" t="s">
        <v>1356</v>
      </c>
      <c r="BT596" s="99"/>
      <c r="BU596" s="101"/>
      <c r="BV596" s="99"/>
      <c r="BW596" s="101"/>
      <c r="BX596" s="119"/>
      <c r="BY596" s="119" t="s">
        <v>1356</v>
      </c>
      <c r="BZ596" s="119"/>
      <c r="CA596" s="120"/>
      <c r="CB596" s="119"/>
      <c r="CC596" s="120"/>
      <c r="CD596" s="119"/>
      <c r="CE596" s="119" t="s">
        <v>1356</v>
      </c>
      <c r="CF596" s="119"/>
      <c r="CG596" s="120"/>
      <c r="CH596" s="119"/>
      <c r="CI596" s="120"/>
      <c r="CJ596" s="119"/>
      <c r="CK596" s="119" t="s">
        <v>1356</v>
      </c>
      <c r="CL596" s="119"/>
      <c r="CM596" s="120"/>
      <c r="CN596" s="119"/>
      <c r="CO596" s="120"/>
      <c r="CP596" s="119"/>
      <c r="CQ596" s="119" t="s">
        <v>1356</v>
      </c>
      <c r="CR596" s="119"/>
      <c r="CS596" s="120"/>
      <c r="CT596" s="119"/>
      <c r="CU596" s="120"/>
      <c r="CV596" s="119"/>
      <c r="CW596" s="119" t="s">
        <v>1356</v>
      </c>
      <c r="CX596" s="119"/>
      <c r="CY596" s="120"/>
      <c r="CZ596" s="119"/>
      <c r="DA596" s="120"/>
      <c r="DB596" s="36" t="s">
        <v>7085</v>
      </c>
      <c r="DC596" s="59" t="s">
        <v>2935</v>
      </c>
    </row>
    <row r="597" spans="1:107" s="40" customFormat="1" x14ac:dyDescent="0.3">
      <c r="A597" s="35" t="s">
        <v>4219</v>
      </c>
      <c r="B597" s="35" t="s">
        <v>6014</v>
      </c>
      <c r="C597" s="35" t="s">
        <v>6015</v>
      </c>
      <c r="D597" s="35" t="s">
        <v>6016</v>
      </c>
      <c r="E597" s="35" t="s">
        <v>6017</v>
      </c>
      <c r="F597" s="35" t="s">
        <v>56</v>
      </c>
      <c r="G597" s="35" t="s">
        <v>461</v>
      </c>
      <c r="H597" s="27" t="s">
        <v>6933</v>
      </c>
      <c r="I597" s="62">
        <v>1308</v>
      </c>
      <c r="J597" s="62">
        <v>130850</v>
      </c>
      <c r="K597" s="63">
        <v>4</v>
      </c>
      <c r="L597" s="35" t="s">
        <v>6018</v>
      </c>
      <c r="M597" s="35" t="s">
        <v>258</v>
      </c>
      <c r="N597" s="35" t="s">
        <v>258</v>
      </c>
      <c r="O597" s="35" t="s">
        <v>1526</v>
      </c>
      <c r="P597" s="35"/>
      <c r="Q597" s="35"/>
      <c r="R597" s="35" t="s">
        <v>60</v>
      </c>
      <c r="S597" s="35"/>
      <c r="T597" s="35"/>
      <c r="U597" s="35"/>
      <c r="V597" s="35"/>
      <c r="W597" s="35" t="s">
        <v>6019</v>
      </c>
      <c r="X597" s="35" t="s">
        <v>6020</v>
      </c>
      <c r="Y597" s="35" t="s">
        <v>6021</v>
      </c>
      <c r="Z597" s="35"/>
      <c r="AA597" s="35"/>
      <c r="AB597" s="35">
        <v>130850050</v>
      </c>
      <c r="AC597" s="35">
        <v>130850050011</v>
      </c>
      <c r="AD597" s="35">
        <v>130850050011011</v>
      </c>
      <c r="AE597" s="63">
        <v>5</v>
      </c>
      <c r="AF597" s="63" t="s">
        <v>772</v>
      </c>
      <c r="AG597" s="29" t="s">
        <v>65</v>
      </c>
      <c r="AH597" s="75"/>
      <c r="AI597" s="65" t="s">
        <v>66</v>
      </c>
      <c r="AJ597" s="32" t="s">
        <v>6938</v>
      </c>
      <c r="AK597" s="33" t="s">
        <v>67</v>
      </c>
      <c r="AL597" s="34">
        <v>45579</v>
      </c>
      <c r="AM597" s="35" t="s">
        <v>66</v>
      </c>
      <c r="AN597" s="35"/>
      <c r="AO597" s="35"/>
      <c r="AP597" s="35"/>
      <c r="AQ597" s="37">
        <f t="shared" si="30"/>
        <v>0</v>
      </c>
      <c r="AR597" s="38">
        <f t="shared" si="31"/>
        <v>0</v>
      </c>
      <c r="AS597" s="39">
        <f t="shared" si="32"/>
        <v>0</v>
      </c>
      <c r="AT597" s="99"/>
      <c r="AU597" s="99" t="s">
        <v>1356</v>
      </c>
      <c r="AV597" s="99"/>
      <c r="AW597" s="100"/>
      <c r="AX597" s="99"/>
      <c r="AY597" s="101"/>
      <c r="AZ597" s="99"/>
      <c r="BA597" s="99" t="s">
        <v>1356</v>
      </c>
      <c r="BB597" s="99"/>
      <c r="BC597" s="101"/>
      <c r="BD597" s="99"/>
      <c r="BE597" s="101"/>
      <c r="BF597" s="99"/>
      <c r="BG597" s="99" t="s">
        <v>1356</v>
      </c>
      <c r="BH597" s="99"/>
      <c r="BI597" s="101"/>
      <c r="BJ597" s="99"/>
      <c r="BK597" s="101"/>
      <c r="BL597" s="99"/>
      <c r="BM597" s="99" t="s">
        <v>1356</v>
      </c>
      <c r="BN597" s="99"/>
      <c r="BO597" s="101"/>
      <c r="BP597" s="99"/>
      <c r="BQ597" s="101"/>
      <c r="BR597" s="99"/>
      <c r="BS597" s="99" t="s">
        <v>1356</v>
      </c>
      <c r="BT597" s="99"/>
      <c r="BU597" s="101"/>
      <c r="BV597" s="99"/>
      <c r="BW597" s="101"/>
      <c r="BX597" s="119"/>
      <c r="BY597" s="119" t="s">
        <v>1356</v>
      </c>
      <c r="BZ597" s="119"/>
      <c r="CA597" s="120"/>
      <c r="CB597" s="119"/>
      <c r="CC597" s="120"/>
      <c r="CD597" s="119"/>
      <c r="CE597" s="119" t="s">
        <v>1356</v>
      </c>
      <c r="CF597" s="119"/>
      <c r="CG597" s="120"/>
      <c r="CH597" s="119"/>
      <c r="CI597" s="120"/>
      <c r="CJ597" s="119"/>
      <c r="CK597" s="119" t="s">
        <v>1356</v>
      </c>
      <c r="CL597" s="119"/>
      <c r="CM597" s="120"/>
      <c r="CN597" s="119"/>
      <c r="CO597" s="120"/>
      <c r="CP597" s="119"/>
      <c r="CQ597" s="119" t="s">
        <v>1356</v>
      </c>
      <c r="CR597" s="119"/>
      <c r="CS597" s="120"/>
      <c r="CT597" s="119"/>
      <c r="CU597" s="120"/>
      <c r="CV597" s="119"/>
      <c r="CW597" s="119" t="s">
        <v>1356</v>
      </c>
      <c r="CX597" s="119"/>
      <c r="CY597" s="120"/>
      <c r="CZ597" s="119"/>
      <c r="DA597" s="120"/>
      <c r="DB597" s="36" t="s">
        <v>7085</v>
      </c>
      <c r="DC597" s="59" t="s">
        <v>2935</v>
      </c>
    </row>
    <row r="598" spans="1:107" s="40" customFormat="1" x14ac:dyDescent="0.3">
      <c r="A598" s="35" t="s">
        <v>4219</v>
      </c>
      <c r="B598" s="35" t="s">
        <v>6022</v>
      </c>
      <c r="C598" s="35" t="s">
        <v>6023</v>
      </c>
      <c r="D598" s="35" t="s">
        <v>6024</v>
      </c>
      <c r="E598" s="35" t="s">
        <v>6024</v>
      </c>
      <c r="F598" s="35" t="s">
        <v>1493</v>
      </c>
      <c r="G598" s="35" t="s">
        <v>4237</v>
      </c>
      <c r="H598" s="27" t="s">
        <v>686</v>
      </c>
      <c r="I598" s="62">
        <v>901</v>
      </c>
      <c r="J598" s="62">
        <v>90150</v>
      </c>
      <c r="K598" s="63">
        <v>4</v>
      </c>
      <c r="L598" s="35" t="s">
        <v>4446</v>
      </c>
      <c r="M598" s="35" t="s">
        <v>258</v>
      </c>
      <c r="N598" s="35" t="s">
        <v>258</v>
      </c>
      <c r="O598" s="35" t="s">
        <v>4964</v>
      </c>
      <c r="P598" s="35" t="s">
        <v>6025</v>
      </c>
      <c r="Q598" s="35"/>
      <c r="R598" s="35" t="s">
        <v>60</v>
      </c>
      <c r="S598" s="35"/>
      <c r="T598" s="35"/>
      <c r="U598" s="35"/>
      <c r="V598" s="35"/>
      <c r="W598" s="35" t="s">
        <v>6026</v>
      </c>
      <c r="X598" s="35" t="s">
        <v>6027</v>
      </c>
      <c r="Y598" s="35" t="s">
        <v>6028</v>
      </c>
      <c r="Z598" s="35">
        <v>-79.949064000000007</v>
      </c>
      <c r="AA598" s="35">
        <v>-2.0657860000000001</v>
      </c>
      <c r="AB598" s="35">
        <v>90150671</v>
      </c>
      <c r="AC598" s="35">
        <v>90150671011</v>
      </c>
      <c r="AD598" s="35">
        <v>90150671011002</v>
      </c>
      <c r="AE598" s="63">
        <v>5</v>
      </c>
      <c r="AF598" s="63" t="s">
        <v>772</v>
      </c>
      <c r="AG598" s="29" t="s">
        <v>65</v>
      </c>
      <c r="AH598" s="75"/>
      <c r="AI598" s="65" t="s">
        <v>65</v>
      </c>
      <c r="AJ598" s="32" t="s">
        <v>6939</v>
      </c>
      <c r="AK598" s="33" t="s">
        <v>92</v>
      </c>
      <c r="AL598" s="58"/>
      <c r="AM598" s="35"/>
      <c r="AN598" s="35"/>
      <c r="AO598" s="35"/>
      <c r="AP598" s="35"/>
      <c r="AQ598" s="37">
        <f t="shared" si="30"/>
        <v>0</v>
      </c>
      <c r="AR598" s="38">
        <f t="shared" si="31"/>
        <v>0</v>
      </c>
      <c r="AS598" s="39">
        <f t="shared" si="32"/>
        <v>0</v>
      </c>
      <c r="AT598" s="99"/>
      <c r="AU598" s="99" t="s">
        <v>1356</v>
      </c>
      <c r="AV598" s="99"/>
      <c r="AW598" s="100"/>
      <c r="AX598" s="99"/>
      <c r="AY598" s="101"/>
      <c r="AZ598" s="99"/>
      <c r="BA598" s="99" t="s">
        <v>1356</v>
      </c>
      <c r="BB598" s="99"/>
      <c r="BC598" s="101"/>
      <c r="BD598" s="99"/>
      <c r="BE598" s="101"/>
      <c r="BF598" s="99"/>
      <c r="BG598" s="99" t="s">
        <v>1356</v>
      </c>
      <c r="BH598" s="99"/>
      <c r="BI598" s="101"/>
      <c r="BJ598" s="99"/>
      <c r="BK598" s="101"/>
      <c r="BL598" s="99"/>
      <c r="BM598" s="99" t="s">
        <v>1356</v>
      </c>
      <c r="BN598" s="99"/>
      <c r="BO598" s="101"/>
      <c r="BP598" s="99"/>
      <c r="BQ598" s="101"/>
      <c r="BR598" s="99"/>
      <c r="BS598" s="99" t="s">
        <v>1356</v>
      </c>
      <c r="BT598" s="99"/>
      <c r="BU598" s="101"/>
      <c r="BV598" s="99"/>
      <c r="BW598" s="101"/>
      <c r="BX598" s="119"/>
      <c r="BY598" s="119" t="s">
        <v>1356</v>
      </c>
      <c r="BZ598" s="119"/>
      <c r="CA598" s="120"/>
      <c r="CB598" s="119"/>
      <c r="CC598" s="120"/>
      <c r="CD598" s="119"/>
      <c r="CE598" s="119" t="s">
        <v>1356</v>
      </c>
      <c r="CF598" s="119"/>
      <c r="CG598" s="120"/>
      <c r="CH598" s="119"/>
      <c r="CI598" s="120"/>
      <c r="CJ598" s="119"/>
      <c r="CK598" s="119" t="s">
        <v>1356</v>
      </c>
      <c r="CL598" s="119"/>
      <c r="CM598" s="120"/>
      <c r="CN598" s="119"/>
      <c r="CO598" s="120"/>
      <c r="CP598" s="119"/>
      <c r="CQ598" s="119" t="s">
        <v>1356</v>
      </c>
      <c r="CR598" s="119"/>
      <c r="CS598" s="120"/>
      <c r="CT598" s="119"/>
      <c r="CU598" s="120"/>
      <c r="CV598" s="119"/>
      <c r="CW598" s="119" t="s">
        <v>1356</v>
      </c>
      <c r="CX598" s="119"/>
      <c r="CY598" s="120"/>
      <c r="CZ598" s="119"/>
      <c r="DA598" s="120"/>
      <c r="DB598" s="35"/>
      <c r="DC598" s="59"/>
    </row>
    <row r="599" spans="1:107" s="40" customFormat="1" x14ac:dyDescent="0.3">
      <c r="A599" s="35" t="s">
        <v>4219</v>
      </c>
      <c r="B599" s="35" t="s">
        <v>6029</v>
      </c>
      <c r="C599" s="35" t="s">
        <v>6030</v>
      </c>
      <c r="D599" s="35" t="s">
        <v>6031</v>
      </c>
      <c r="E599" s="35" t="s">
        <v>6032</v>
      </c>
      <c r="F599" s="35" t="s">
        <v>56</v>
      </c>
      <c r="G599" s="35" t="s">
        <v>4230</v>
      </c>
      <c r="H599" s="27" t="s">
        <v>6934</v>
      </c>
      <c r="I599" s="62">
        <v>2403</v>
      </c>
      <c r="J599" s="62">
        <v>240350</v>
      </c>
      <c r="K599" s="63">
        <v>4</v>
      </c>
      <c r="L599" s="35" t="s">
        <v>6033</v>
      </c>
      <c r="M599" s="35" t="s">
        <v>258</v>
      </c>
      <c r="N599" s="35" t="s">
        <v>6034</v>
      </c>
      <c r="O599" s="35"/>
      <c r="P599" s="35"/>
      <c r="Q599" s="35"/>
      <c r="R599" s="35" t="s">
        <v>60</v>
      </c>
      <c r="S599" s="35"/>
      <c r="T599" s="35"/>
      <c r="U599" s="35" t="s">
        <v>1069</v>
      </c>
      <c r="V599" s="35" t="s">
        <v>338</v>
      </c>
      <c r="W599" s="35" t="s">
        <v>6035</v>
      </c>
      <c r="X599" s="35" t="s">
        <v>6036</v>
      </c>
      <c r="Y599" s="35" t="s">
        <v>6037</v>
      </c>
      <c r="Z599" s="35"/>
      <c r="AA599" s="35"/>
      <c r="AB599" s="35">
        <v>240350007</v>
      </c>
      <c r="AC599" s="35">
        <v>240350007002</v>
      </c>
      <c r="AD599" s="35">
        <v>240350007002005</v>
      </c>
      <c r="AE599" s="63">
        <v>5</v>
      </c>
      <c r="AF599" s="63" t="s">
        <v>772</v>
      </c>
      <c r="AG599" s="29" t="s">
        <v>65</v>
      </c>
      <c r="AH599" s="75"/>
      <c r="AI599" s="65" t="s">
        <v>65</v>
      </c>
      <c r="AJ599" s="32" t="s">
        <v>6939</v>
      </c>
      <c r="AK599" s="33" t="s">
        <v>92</v>
      </c>
      <c r="AL599" s="34"/>
      <c r="AM599" s="35"/>
      <c r="AN599" s="35"/>
      <c r="AO599" s="35"/>
      <c r="AP599" s="35"/>
      <c r="AQ599" s="37">
        <f t="shared" si="30"/>
        <v>0</v>
      </c>
      <c r="AR599" s="38">
        <f t="shared" si="31"/>
        <v>0</v>
      </c>
      <c r="AS599" s="39">
        <f t="shared" si="32"/>
        <v>0</v>
      </c>
      <c r="AT599" s="99"/>
      <c r="AU599" s="99" t="s">
        <v>1356</v>
      </c>
      <c r="AV599" s="99"/>
      <c r="AW599" s="100"/>
      <c r="AX599" s="99"/>
      <c r="AY599" s="101"/>
      <c r="AZ599" s="99"/>
      <c r="BA599" s="99" t="s">
        <v>1356</v>
      </c>
      <c r="BB599" s="99"/>
      <c r="BC599" s="101"/>
      <c r="BD599" s="99"/>
      <c r="BE599" s="101"/>
      <c r="BF599" s="99"/>
      <c r="BG599" s="99" t="s">
        <v>1356</v>
      </c>
      <c r="BH599" s="99"/>
      <c r="BI599" s="101"/>
      <c r="BJ599" s="99"/>
      <c r="BK599" s="101"/>
      <c r="BL599" s="99"/>
      <c r="BM599" s="99" t="s">
        <v>1356</v>
      </c>
      <c r="BN599" s="99"/>
      <c r="BO599" s="101"/>
      <c r="BP599" s="99"/>
      <c r="BQ599" s="101"/>
      <c r="BR599" s="99"/>
      <c r="BS599" s="99" t="s">
        <v>1356</v>
      </c>
      <c r="BT599" s="99"/>
      <c r="BU599" s="101"/>
      <c r="BV599" s="99"/>
      <c r="BW599" s="101"/>
      <c r="BX599" s="119"/>
      <c r="BY599" s="119" t="s">
        <v>1356</v>
      </c>
      <c r="BZ599" s="119"/>
      <c r="CA599" s="120"/>
      <c r="CB599" s="119"/>
      <c r="CC599" s="120"/>
      <c r="CD599" s="119"/>
      <c r="CE599" s="119" t="s">
        <v>1356</v>
      </c>
      <c r="CF599" s="119"/>
      <c r="CG599" s="120"/>
      <c r="CH599" s="119"/>
      <c r="CI599" s="120"/>
      <c r="CJ599" s="119"/>
      <c r="CK599" s="119" t="s">
        <v>1356</v>
      </c>
      <c r="CL599" s="119"/>
      <c r="CM599" s="120"/>
      <c r="CN599" s="119"/>
      <c r="CO599" s="120"/>
      <c r="CP599" s="119"/>
      <c r="CQ599" s="119" t="s">
        <v>1356</v>
      </c>
      <c r="CR599" s="119"/>
      <c r="CS599" s="120"/>
      <c r="CT599" s="119"/>
      <c r="CU599" s="120"/>
      <c r="CV599" s="119"/>
      <c r="CW599" s="119" t="s">
        <v>1356</v>
      </c>
      <c r="CX599" s="119"/>
      <c r="CY599" s="120"/>
      <c r="CZ599" s="119"/>
      <c r="DA599" s="120"/>
      <c r="DB599" s="35"/>
      <c r="DC599" s="59"/>
    </row>
    <row r="600" spans="1:107" s="40" customFormat="1" x14ac:dyDescent="0.3">
      <c r="A600" s="35" t="s">
        <v>4219</v>
      </c>
      <c r="B600" s="35" t="s">
        <v>6038</v>
      </c>
      <c r="C600" s="35" t="s">
        <v>6039</v>
      </c>
      <c r="D600" s="35" t="s">
        <v>6040</v>
      </c>
      <c r="E600" s="35" t="s">
        <v>6041</v>
      </c>
      <c r="F600" s="35" t="s">
        <v>3036</v>
      </c>
      <c r="G600" s="35" t="s">
        <v>461</v>
      </c>
      <c r="H600" s="27" t="s">
        <v>6933</v>
      </c>
      <c r="I600" s="62">
        <v>1317</v>
      </c>
      <c r="J600" s="62">
        <v>131751</v>
      </c>
      <c r="K600" s="63">
        <v>4</v>
      </c>
      <c r="L600" s="35" t="s">
        <v>6042</v>
      </c>
      <c r="M600" s="35"/>
      <c r="N600" s="35" t="s">
        <v>810</v>
      </c>
      <c r="O600" s="35" t="s">
        <v>1319</v>
      </c>
      <c r="P600" s="35"/>
      <c r="Q600" s="35"/>
      <c r="R600" s="35" t="s">
        <v>60</v>
      </c>
      <c r="S600" s="35"/>
      <c r="T600" s="35"/>
      <c r="U600" s="35" t="s">
        <v>6043</v>
      </c>
      <c r="V600" s="35"/>
      <c r="W600" s="35" t="s">
        <v>6044</v>
      </c>
      <c r="X600" s="35" t="s">
        <v>6045</v>
      </c>
      <c r="Y600" s="35" t="s">
        <v>6046</v>
      </c>
      <c r="Z600" s="35"/>
      <c r="AA600" s="35"/>
      <c r="AB600" s="35">
        <v>131751999</v>
      </c>
      <c r="AC600" s="35">
        <v>131751999039</v>
      </c>
      <c r="AD600" s="35"/>
      <c r="AE600" s="63">
        <v>5</v>
      </c>
      <c r="AF600" s="63" t="s">
        <v>772</v>
      </c>
      <c r="AG600" s="29" t="s">
        <v>65</v>
      </c>
      <c r="AH600" s="75"/>
      <c r="AI600" s="65" t="s">
        <v>66</v>
      </c>
      <c r="AJ600" s="32" t="s">
        <v>6938</v>
      </c>
      <c r="AK600" s="33" t="s">
        <v>67</v>
      </c>
      <c r="AL600" s="58">
        <v>45573</v>
      </c>
      <c r="AM600" s="35" t="s">
        <v>66</v>
      </c>
      <c r="AN600" s="35"/>
      <c r="AO600" s="35"/>
      <c r="AP600" s="35"/>
      <c r="AQ600" s="37">
        <f t="shared" si="30"/>
        <v>0</v>
      </c>
      <c r="AR600" s="38">
        <f t="shared" si="31"/>
        <v>0</v>
      </c>
      <c r="AS600" s="39">
        <f t="shared" si="32"/>
        <v>0</v>
      </c>
      <c r="AT600" s="99"/>
      <c r="AU600" s="99" t="s">
        <v>1356</v>
      </c>
      <c r="AV600" s="99"/>
      <c r="AW600" s="100"/>
      <c r="AX600" s="99"/>
      <c r="AY600" s="101"/>
      <c r="AZ600" s="99"/>
      <c r="BA600" s="99" t="s">
        <v>1356</v>
      </c>
      <c r="BB600" s="99"/>
      <c r="BC600" s="101"/>
      <c r="BD600" s="99"/>
      <c r="BE600" s="101"/>
      <c r="BF600" s="99"/>
      <c r="BG600" s="99" t="s">
        <v>1356</v>
      </c>
      <c r="BH600" s="99"/>
      <c r="BI600" s="101"/>
      <c r="BJ600" s="99"/>
      <c r="BK600" s="101"/>
      <c r="BL600" s="99"/>
      <c r="BM600" s="99" t="s">
        <v>1356</v>
      </c>
      <c r="BN600" s="99"/>
      <c r="BO600" s="101"/>
      <c r="BP600" s="99"/>
      <c r="BQ600" s="101"/>
      <c r="BR600" s="99"/>
      <c r="BS600" s="99" t="s">
        <v>1356</v>
      </c>
      <c r="BT600" s="99"/>
      <c r="BU600" s="101"/>
      <c r="BV600" s="99"/>
      <c r="BW600" s="101"/>
      <c r="BX600" s="119"/>
      <c r="BY600" s="119" t="s">
        <v>1356</v>
      </c>
      <c r="BZ600" s="119"/>
      <c r="CA600" s="120"/>
      <c r="CB600" s="119"/>
      <c r="CC600" s="120"/>
      <c r="CD600" s="119"/>
      <c r="CE600" s="119" t="s">
        <v>1356</v>
      </c>
      <c r="CF600" s="119"/>
      <c r="CG600" s="120"/>
      <c r="CH600" s="119"/>
      <c r="CI600" s="120"/>
      <c r="CJ600" s="119"/>
      <c r="CK600" s="119" t="s">
        <v>1356</v>
      </c>
      <c r="CL600" s="119"/>
      <c r="CM600" s="120"/>
      <c r="CN600" s="119"/>
      <c r="CO600" s="120"/>
      <c r="CP600" s="119"/>
      <c r="CQ600" s="119" t="s">
        <v>1356</v>
      </c>
      <c r="CR600" s="119"/>
      <c r="CS600" s="120"/>
      <c r="CT600" s="119"/>
      <c r="CU600" s="120"/>
      <c r="CV600" s="119"/>
      <c r="CW600" s="119" t="s">
        <v>1356</v>
      </c>
      <c r="CX600" s="119"/>
      <c r="CY600" s="120"/>
      <c r="CZ600" s="119"/>
      <c r="DA600" s="120"/>
      <c r="DB600" s="36" t="s">
        <v>7085</v>
      </c>
      <c r="DC600" s="59" t="s">
        <v>6751</v>
      </c>
    </row>
    <row r="601" spans="1:107" s="40" customFormat="1" x14ac:dyDescent="0.3">
      <c r="A601" s="35" t="s">
        <v>4219</v>
      </c>
      <c r="B601" s="35" t="s">
        <v>6047</v>
      </c>
      <c r="C601" s="35" t="s">
        <v>6048</v>
      </c>
      <c r="D601" s="35" t="s">
        <v>6049</v>
      </c>
      <c r="E601" s="35" t="s">
        <v>70</v>
      </c>
      <c r="F601" s="35" t="s">
        <v>825</v>
      </c>
      <c r="G601" s="35" t="s">
        <v>4237</v>
      </c>
      <c r="H601" s="27" t="s">
        <v>686</v>
      </c>
      <c r="I601" s="62">
        <v>907</v>
      </c>
      <c r="J601" s="62">
        <v>90750</v>
      </c>
      <c r="K601" s="63">
        <v>4</v>
      </c>
      <c r="L601" s="35" t="s">
        <v>6050</v>
      </c>
      <c r="M601" s="35"/>
      <c r="N601" s="35" t="s">
        <v>810</v>
      </c>
      <c r="O601" s="35" t="s">
        <v>1688</v>
      </c>
      <c r="P601" s="35"/>
      <c r="Q601" s="35"/>
      <c r="R601" s="35" t="s">
        <v>60</v>
      </c>
      <c r="S601" s="35"/>
      <c r="T601" s="35"/>
      <c r="U601" s="35"/>
      <c r="V601" s="35"/>
      <c r="W601" s="35" t="s">
        <v>6051</v>
      </c>
      <c r="X601" s="35" t="s">
        <v>6052</v>
      </c>
      <c r="Y601" s="35" t="s">
        <v>6053</v>
      </c>
      <c r="Z601" s="35"/>
      <c r="AA601" s="35"/>
      <c r="AB601" s="35">
        <v>90750999</v>
      </c>
      <c r="AC601" s="35">
        <v>90750999007</v>
      </c>
      <c r="AD601" s="35"/>
      <c r="AE601" s="63">
        <v>5</v>
      </c>
      <c r="AF601" s="63" t="s">
        <v>772</v>
      </c>
      <c r="AG601" s="29" t="s">
        <v>65</v>
      </c>
      <c r="AH601" s="75"/>
      <c r="AI601" s="65" t="s">
        <v>65</v>
      </c>
      <c r="AJ601" s="32" t="s">
        <v>6939</v>
      </c>
      <c r="AK601" s="33" t="s">
        <v>92</v>
      </c>
      <c r="AL601" s="34"/>
      <c r="AM601" s="35"/>
      <c r="AN601" s="35"/>
      <c r="AO601" s="35"/>
      <c r="AP601" s="35"/>
      <c r="AQ601" s="37">
        <f t="shared" si="30"/>
        <v>0</v>
      </c>
      <c r="AR601" s="38">
        <f t="shared" si="31"/>
        <v>0</v>
      </c>
      <c r="AS601" s="39">
        <f t="shared" si="32"/>
        <v>0</v>
      </c>
      <c r="AT601" s="99"/>
      <c r="AU601" s="99" t="s">
        <v>1356</v>
      </c>
      <c r="AV601" s="99"/>
      <c r="AW601" s="100"/>
      <c r="AX601" s="99"/>
      <c r="AY601" s="101"/>
      <c r="AZ601" s="99"/>
      <c r="BA601" s="99" t="s">
        <v>1356</v>
      </c>
      <c r="BB601" s="99"/>
      <c r="BC601" s="101"/>
      <c r="BD601" s="99"/>
      <c r="BE601" s="101"/>
      <c r="BF601" s="99"/>
      <c r="BG601" s="99" t="s">
        <v>1356</v>
      </c>
      <c r="BH601" s="99"/>
      <c r="BI601" s="101"/>
      <c r="BJ601" s="99"/>
      <c r="BK601" s="101"/>
      <c r="BL601" s="99"/>
      <c r="BM601" s="99" t="s">
        <v>1356</v>
      </c>
      <c r="BN601" s="99"/>
      <c r="BO601" s="101"/>
      <c r="BP601" s="99"/>
      <c r="BQ601" s="101"/>
      <c r="BR601" s="99"/>
      <c r="BS601" s="99" t="s">
        <v>1356</v>
      </c>
      <c r="BT601" s="99"/>
      <c r="BU601" s="101"/>
      <c r="BV601" s="99"/>
      <c r="BW601" s="101"/>
      <c r="BX601" s="119"/>
      <c r="BY601" s="119" t="s">
        <v>1356</v>
      </c>
      <c r="BZ601" s="119"/>
      <c r="CA601" s="120"/>
      <c r="CB601" s="119"/>
      <c r="CC601" s="120"/>
      <c r="CD601" s="119"/>
      <c r="CE601" s="119" t="s">
        <v>1356</v>
      </c>
      <c r="CF601" s="119"/>
      <c r="CG601" s="120"/>
      <c r="CH601" s="119"/>
      <c r="CI601" s="120"/>
      <c r="CJ601" s="119"/>
      <c r="CK601" s="119" t="s">
        <v>1356</v>
      </c>
      <c r="CL601" s="119"/>
      <c r="CM601" s="120"/>
      <c r="CN601" s="119"/>
      <c r="CO601" s="120"/>
      <c r="CP601" s="119"/>
      <c r="CQ601" s="119" t="s">
        <v>1356</v>
      </c>
      <c r="CR601" s="119"/>
      <c r="CS601" s="120"/>
      <c r="CT601" s="119"/>
      <c r="CU601" s="120"/>
      <c r="CV601" s="119"/>
      <c r="CW601" s="119" t="s">
        <v>1356</v>
      </c>
      <c r="CX601" s="119"/>
      <c r="CY601" s="120"/>
      <c r="CZ601" s="119"/>
      <c r="DA601" s="120"/>
      <c r="DB601" s="35"/>
      <c r="DC601" s="59"/>
    </row>
    <row r="602" spans="1:107" s="40" customFormat="1" x14ac:dyDescent="0.3">
      <c r="A602" s="35" t="s">
        <v>4219</v>
      </c>
      <c r="B602" s="35" t="s">
        <v>6054</v>
      </c>
      <c r="C602" s="35" t="s">
        <v>6055</v>
      </c>
      <c r="D602" s="35" t="s">
        <v>6056</v>
      </c>
      <c r="E602" s="35" t="s">
        <v>6057</v>
      </c>
      <c r="F602" s="35" t="s">
        <v>89</v>
      </c>
      <c r="G602" s="35" t="s">
        <v>4237</v>
      </c>
      <c r="H602" s="27" t="s">
        <v>686</v>
      </c>
      <c r="I602" s="62">
        <v>901</v>
      </c>
      <c r="J602" s="62">
        <v>90150</v>
      </c>
      <c r="K602" s="63">
        <v>4</v>
      </c>
      <c r="L602" s="35" t="s">
        <v>688</v>
      </c>
      <c r="M602" s="35"/>
      <c r="N602" s="35"/>
      <c r="O602" s="35" t="s">
        <v>4964</v>
      </c>
      <c r="P602" s="35"/>
      <c r="Q602" s="35" t="s">
        <v>6058</v>
      </c>
      <c r="R602" s="35"/>
      <c r="S602" s="35"/>
      <c r="T602" s="35"/>
      <c r="U602" s="35"/>
      <c r="V602" s="35"/>
      <c r="W602" s="35" t="s">
        <v>6059</v>
      </c>
      <c r="X602" s="35" t="s">
        <v>6060</v>
      </c>
      <c r="Y602" s="35" t="s">
        <v>6061</v>
      </c>
      <c r="Z602" s="35">
        <v>-79.950164000000001</v>
      </c>
      <c r="AA602" s="35">
        <v>-2.0589230000000001</v>
      </c>
      <c r="AB602" s="35">
        <v>90150681</v>
      </c>
      <c r="AC602" s="35">
        <v>90150681009</v>
      </c>
      <c r="AD602" s="35">
        <v>90150681009004</v>
      </c>
      <c r="AE602" s="63">
        <v>5</v>
      </c>
      <c r="AF602" s="63" t="s">
        <v>772</v>
      </c>
      <c r="AG602" s="29" t="s">
        <v>65</v>
      </c>
      <c r="AH602" s="75"/>
      <c r="AI602" s="65" t="s">
        <v>65</v>
      </c>
      <c r="AJ602" s="32" t="s">
        <v>6939</v>
      </c>
      <c r="AK602" s="33" t="s">
        <v>92</v>
      </c>
      <c r="AL602" s="34"/>
      <c r="AM602" s="35"/>
      <c r="AN602" s="35"/>
      <c r="AO602" s="35"/>
      <c r="AP602" s="35"/>
      <c r="AQ602" s="37">
        <f t="shared" si="30"/>
        <v>0</v>
      </c>
      <c r="AR602" s="38">
        <f t="shared" si="31"/>
        <v>0</v>
      </c>
      <c r="AS602" s="39">
        <f t="shared" si="32"/>
        <v>0</v>
      </c>
      <c r="AT602" s="99"/>
      <c r="AU602" s="99" t="s">
        <v>1356</v>
      </c>
      <c r="AV602" s="99"/>
      <c r="AW602" s="100"/>
      <c r="AX602" s="99"/>
      <c r="AY602" s="101"/>
      <c r="AZ602" s="99"/>
      <c r="BA602" s="99" t="s">
        <v>1356</v>
      </c>
      <c r="BB602" s="99"/>
      <c r="BC602" s="101"/>
      <c r="BD602" s="99"/>
      <c r="BE602" s="101"/>
      <c r="BF602" s="99"/>
      <c r="BG602" s="99" t="s">
        <v>1356</v>
      </c>
      <c r="BH602" s="99"/>
      <c r="BI602" s="101"/>
      <c r="BJ602" s="99"/>
      <c r="BK602" s="101"/>
      <c r="BL602" s="99"/>
      <c r="BM602" s="99" t="s">
        <v>1356</v>
      </c>
      <c r="BN602" s="99"/>
      <c r="BO602" s="101"/>
      <c r="BP602" s="99"/>
      <c r="BQ602" s="101"/>
      <c r="BR602" s="99"/>
      <c r="BS602" s="99" t="s">
        <v>1356</v>
      </c>
      <c r="BT602" s="99"/>
      <c r="BU602" s="101"/>
      <c r="BV602" s="99"/>
      <c r="BW602" s="101"/>
      <c r="BX602" s="119"/>
      <c r="BY602" s="119" t="s">
        <v>1356</v>
      </c>
      <c r="BZ602" s="119"/>
      <c r="CA602" s="120"/>
      <c r="CB602" s="119"/>
      <c r="CC602" s="120"/>
      <c r="CD602" s="119"/>
      <c r="CE602" s="119" t="s">
        <v>1356</v>
      </c>
      <c r="CF602" s="119"/>
      <c r="CG602" s="120"/>
      <c r="CH602" s="119"/>
      <c r="CI602" s="120"/>
      <c r="CJ602" s="119"/>
      <c r="CK602" s="119" t="s">
        <v>1356</v>
      </c>
      <c r="CL602" s="119"/>
      <c r="CM602" s="120"/>
      <c r="CN602" s="119"/>
      <c r="CO602" s="120"/>
      <c r="CP602" s="119"/>
      <c r="CQ602" s="119" t="s">
        <v>1356</v>
      </c>
      <c r="CR602" s="119"/>
      <c r="CS602" s="120"/>
      <c r="CT602" s="119"/>
      <c r="CU602" s="120"/>
      <c r="CV602" s="119"/>
      <c r="CW602" s="119" t="s">
        <v>1356</v>
      </c>
      <c r="CX602" s="119"/>
      <c r="CY602" s="120"/>
      <c r="CZ602" s="119"/>
      <c r="DA602" s="120"/>
      <c r="DB602" s="35"/>
      <c r="DC602" s="59"/>
    </row>
    <row r="603" spans="1:107" s="40" customFormat="1" x14ac:dyDescent="0.3">
      <c r="A603" s="35" t="s">
        <v>4219</v>
      </c>
      <c r="B603" s="35" t="s">
        <v>6062</v>
      </c>
      <c r="C603" s="35" t="s">
        <v>6063</v>
      </c>
      <c r="D603" s="35" t="s">
        <v>6064</v>
      </c>
      <c r="E603" s="35" t="s">
        <v>6065</v>
      </c>
      <c r="F603" s="35" t="s">
        <v>327</v>
      </c>
      <c r="G603" s="35" t="s">
        <v>4237</v>
      </c>
      <c r="H603" s="27" t="s">
        <v>686</v>
      </c>
      <c r="I603" s="62">
        <v>901</v>
      </c>
      <c r="J603" s="62">
        <v>90150</v>
      </c>
      <c r="K603" s="63">
        <v>4</v>
      </c>
      <c r="L603" s="35" t="s">
        <v>4498</v>
      </c>
      <c r="M603" s="35"/>
      <c r="N603" s="35" t="s">
        <v>6066</v>
      </c>
      <c r="O603" s="35" t="s">
        <v>1526</v>
      </c>
      <c r="P603" s="35" t="s">
        <v>6067</v>
      </c>
      <c r="Q603" s="35" t="s">
        <v>6068</v>
      </c>
      <c r="R603" s="35" t="s">
        <v>60</v>
      </c>
      <c r="S603" s="35"/>
      <c r="T603" s="35"/>
      <c r="U603" s="35"/>
      <c r="V603" s="35"/>
      <c r="W603" s="35" t="s">
        <v>6069</v>
      </c>
      <c r="X603" s="35" t="s">
        <v>6070</v>
      </c>
      <c r="Y603" s="35" t="s">
        <v>6071</v>
      </c>
      <c r="Z603" s="35">
        <v>-79.917021000000005</v>
      </c>
      <c r="AA603" s="35">
        <v>-2.1384300000000001</v>
      </c>
      <c r="AB603" s="35">
        <v>90150376</v>
      </c>
      <c r="AC603" s="35">
        <v>90150376007</v>
      </c>
      <c r="AD603" s="35">
        <v>90150376007004</v>
      </c>
      <c r="AE603" s="63">
        <v>5</v>
      </c>
      <c r="AF603" s="63" t="s">
        <v>772</v>
      </c>
      <c r="AG603" s="29" t="s">
        <v>65</v>
      </c>
      <c r="AH603" s="75"/>
      <c r="AI603" s="65" t="s">
        <v>65</v>
      </c>
      <c r="AJ603" s="32" t="s">
        <v>6939</v>
      </c>
      <c r="AK603" s="33" t="s">
        <v>92</v>
      </c>
      <c r="AL603" s="34"/>
      <c r="AM603" s="35"/>
      <c r="AN603" s="35"/>
      <c r="AO603" s="35"/>
      <c r="AP603" s="35"/>
      <c r="AQ603" s="37">
        <f t="shared" si="30"/>
        <v>0</v>
      </c>
      <c r="AR603" s="38">
        <f t="shared" si="31"/>
        <v>0</v>
      </c>
      <c r="AS603" s="39">
        <f t="shared" si="32"/>
        <v>0</v>
      </c>
      <c r="AT603" s="99"/>
      <c r="AU603" s="99" t="s">
        <v>1356</v>
      </c>
      <c r="AV603" s="99"/>
      <c r="AW603" s="100"/>
      <c r="AX603" s="99"/>
      <c r="AY603" s="101"/>
      <c r="AZ603" s="99"/>
      <c r="BA603" s="99" t="s">
        <v>1356</v>
      </c>
      <c r="BB603" s="99"/>
      <c r="BC603" s="101"/>
      <c r="BD603" s="99"/>
      <c r="BE603" s="101"/>
      <c r="BF603" s="99"/>
      <c r="BG603" s="99" t="s">
        <v>1356</v>
      </c>
      <c r="BH603" s="99"/>
      <c r="BI603" s="101"/>
      <c r="BJ603" s="99"/>
      <c r="BK603" s="101"/>
      <c r="BL603" s="99"/>
      <c r="BM603" s="99" t="s">
        <v>1356</v>
      </c>
      <c r="BN603" s="99"/>
      <c r="BO603" s="101"/>
      <c r="BP603" s="99"/>
      <c r="BQ603" s="101"/>
      <c r="BR603" s="99"/>
      <c r="BS603" s="99" t="s">
        <v>1356</v>
      </c>
      <c r="BT603" s="99"/>
      <c r="BU603" s="101"/>
      <c r="BV603" s="99"/>
      <c r="BW603" s="101"/>
      <c r="BX603" s="119"/>
      <c r="BY603" s="119" t="s">
        <v>1356</v>
      </c>
      <c r="BZ603" s="119"/>
      <c r="CA603" s="120"/>
      <c r="CB603" s="119"/>
      <c r="CC603" s="120"/>
      <c r="CD603" s="119"/>
      <c r="CE603" s="119" t="s">
        <v>1356</v>
      </c>
      <c r="CF603" s="119"/>
      <c r="CG603" s="120"/>
      <c r="CH603" s="119"/>
      <c r="CI603" s="120"/>
      <c r="CJ603" s="119"/>
      <c r="CK603" s="119" t="s">
        <v>1356</v>
      </c>
      <c r="CL603" s="119"/>
      <c r="CM603" s="120"/>
      <c r="CN603" s="119"/>
      <c r="CO603" s="120"/>
      <c r="CP603" s="119"/>
      <c r="CQ603" s="119" t="s">
        <v>1356</v>
      </c>
      <c r="CR603" s="119"/>
      <c r="CS603" s="120"/>
      <c r="CT603" s="119"/>
      <c r="CU603" s="120"/>
      <c r="CV603" s="119"/>
      <c r="CW603" s="119" t="s">
        <v>1356</v>
      </c>
      <c r="CX603" s="119"/>
      <c r="CY603" s="120"/>
      <c r="CZ603" s="119"/>
      <c r="DA603" s="120"/>
      <c r="DB603" s="35"/>
      <c r="DC603" s="59"/>
    </row>
    <row r="604" spans="1:107" s="40" customFormat="1" x14ac:dyDescent="0.3">
      <c r="A604" s="35" t="s">
        <v>4219</v>
      </c>
      <c r="B604" s="35" t="s">
        <v>6072</v>
      </c>
      <c r="C604" s="35" t="s">
        <v>6073</v>
      </c>
      <c r="D604" s="35" t="s">
        <v>6074</v>
      </c>
      <c r="E604" s="35" t="s">
        <v>6075</v>
      </c>
      <c r="F604" s="35" t="s">
        <v>89</v>
      </c>
      <c r="G604" s="35" t="s">
        <v>4237</v>
      </c>
      <c r="H604" s="27" t="s">
        <v>686</v>
      </c>
      <c r="I604" s="62">
        <v>901</v>
      </c>
      <c r="J604" s="62">
        <v>90150</v>
      </c>
      <c r="K604" s="63">
        <v>4</v>
      </c>
      <c r="L604" s="35" t="s">
        <v>6076</v>
      </c>
      <c r="M604" s="35" t="s">
        <v>6077</v>
      </c>
      <c r="N604" s="35" t="s">
        <v>6078</v>
      </c>
      <c r="O604" s="35" t="s">
        <v>693</v>
      </c>
      <c r="P604" s="35" t="s">
        <v>4554</v>
      </c>
      <c r="Q604" s="35"/>
      <c r="R604" s="35" t="s">
        <v>60</v>
      </c>
      <c r="S604" s="35" t="s">
        <v>377</v>
      </c>
      <c r="T604" s="35" t="s">
        <v>4554</v>
      </c>
      <c r="U604" s="35"/>
      <c r="V604" s="35" t="s">
        <v>6079</v>
      </c>
      <c r="W604" s="35" t="s">
        <v>6080</v>
      </c>
      <c r="X604" s="35" t="s">
        <v>6081</v>
      </c>
      <c r="Y604" s="35" t="s">
        <v>6082</v>
      </c>
      <c r="Z604" s="35"/>
      <c r="AA604" s="35"/>
      <c r="AB604" s="35">
        <v>90150362</v>
      </c>
      <c r="AC604" s="35">
        <v>90150362001</v>
      </c>
      <c r="AD604" s="35">
        <v>90150362001002</v>
      </c>
      <c r="AE604" s="63">
        <v>5</v>
      </c>
      <c r="AF604" s="63" t="s">
        <v>772</v>
      </c>
      <c r="AG604" s="29" t="s">
        <v>65</v>
      </c>
      <c r="AH604" s="75"/>
      <c r="AI604" s="65" t="s">
        <v>65</v>
      </c>
      <c r="AJ604" s="32" t="s">
        <v>6939</v>
      </c>
      <c r="AK604" s="33" t="s">
        <v>92</v>
      </c>
      <c r="AL604" s="34"/>
      <c r="AM604" s="35"/>
      <c r="AN604" s="35"/>
      <c r="AO604" s="35"/>
      <c r="AP604" s="35"/>
      <c r="AQ604" s="37">
        <f t="shared" si="30"/>
        <v>0</v>
      </c>
      <c r="AR604" s="38">
        <f t="shared" si="31"/>
        <v>0</v>
      </c>
      <c r="AS604" s="39">
        <f t="shared" si="32"/>
        <v>0</v>
      </c>
      <c r="AT604" s="99"/>
      <c r="AU604" s="99" t="s">
        <v>1356</v>
      </c>
      <c r="AV604" s="99"/>
      <c r="AW604" s="100"/>
      <c r="AX604" s="99"/>
      <c r="AY604" s="101"/>
      <c r="AZ604" s="99"/>
      <c r="BA604" s="99" t="s">
        <v>1356</v>
      </c>
      <c r="BB604" s="99"/>
      <c r="BC604" s="101"/>
      <c r="BD604" s="99"/>
      <c r="BE604" s="101"/>
      <c r="BF604" s="99"/>
      <c r="BG604" s="99" t="s">
        <v>1356</v>
      </c>
      <c r="BH604" s="99"/>
      <c r="BI604" s="101"/>
      <c r="BJ604" s="99"/>
      <c r="BK604" s="101"/>
      <c r="BL604" s="99"/>
      <c r="BM604" s="99" t="s">
        <v>1356</v>
      </c>
      <c r="BN604" s="99"/>
      <c r="BO604" s="101"/>
      <c r="BP604" s="99"/>
      <c r="BQ604" s="101"/>
      <c r="BR604" s="99"/>
      <c r="BS604" s="99" t="s">
        <v>1356</v>
      </c>
      <c r="BT604" s="99"/>
      <c r="BU604" s="101"/>
      <c r="BV604" s="99"/>
      <c r="BW604" s="101"/>
      <c r="BX604" s="119"/>
      <c r="BY604" s="119" t="s">
        <v>1356</v>
      </c>
      <c r="BZ604" s="119"/>
      <c r="CA604" s="120"/>
      <c r="CB604" s="119"/>
      <c r="CC604" s="120"/>
      <c r="CD604" s="119"/>
      <c r="CE604" s="119" t="s">
        <v>1356</v>
      </c>
      <c r="CF604" s="119"/>
      <c r="CG604" s="120"/>
      <c r="CH604" s="119"/>
      <c r="CI604" s="120"/>
      <c r="CJ604" s="119"/>
      <c r="CK604" s="119" t="s">
        <v>1356</v>
      </c>
      <c r="CL604" s="119"/>
      <c r="CM604" s="120"/>
      <c r="CN604" s="119"/>
      <c r="CO604" s="120"/>
      <c r="CP604" s="119"/>
      <c r="CQ604" s="119" t="s">
        <v>1356</v>
      </c>
      <c r="CR604" s="119"/>
      <c r="CS604" s="120"/>
      <c r="CT604" s="119"/>
      <c r="CU604" s="120"/>
      <c r="CV604" s="119"/>
      <c r="CW604" s="119" t="s">
        <v>1356</v>
      </c>
      <c r="CX604" s="119"/>
      <c r="CY604" s="120"/>
      <c r="CZ604" s="119"/>
      <c r="DA604" s="120"/>
      <c r="DB604" s="35"/>
      <c r="DC604" s="59"/>
    </row>
    <row r="605" spans="1:107" s="40" customFormat="1" ht="14.55" customHeight="1" x14ac:dyDescent="0.3">
      <c r="A605" s="66" t="s">
        <v>3500</v>
      </c>
      <c r="B605" s="66" t="s">
        <v>3572</v>
      </c>
      <c r="C605" s="66" t="s">
        <v>3573</v>
      </c>
      <c r="D605" s="66" t="s">
        <v>437</v>
      </c>
      <c r="E605" s="66" t="s">
        <v>438</v>
      </c>
      <c r="F605" s="66" t="s">
        <v>439</v>
      </c>
      <c r="G605" s="68" t="s">
        <v>72</v>
      </c>
      <c r="H605" s="43" t="s">
        <v>251</v>
      </c>
      <c r="I605" s="68">
        <v>1701</v>
      </c>
      <c r="J605" s="68">
        <v>170170</v>
      </c>
      <c r="K605" s="69">
        <v>4</v>
      </c>
      <c r="L605" s="66" t="s">
        <v>440</v>
      </c>
      <c r="M605" s="66" t="s">
        <v>441</v>
      </c>
      <c r="N605" s="66" t="s">
        <v>442</v>
      </c>
      <c r="O605" s="66"/>
      <c r="P605" s="66"/>
      <c r="Q605" s="66" t="s">
        <v>443</v>
      </c>
      <c r="R605" s="66" t="s">
        <v>146</v>
      </c>
      <c r="S605" s="66"/>
      <c r="T605" s="66"/>
      <c r="U605" s="66" t="s">
        <v>444</v>
      </c>
      <c r="V605" s="66"/>
      <c r="W605" s="66" t="s">
        <v>445</v>
      </c>
      <c r="X605" s="66" t="s">
        <v>446</v>
      </c>
      <c r="Y605" s="66" t="s">
        <v>447</v>
      </c>
      <c r="Z605" s="66">
        <v>-78.439116954787096</v>
      </c>
      <c r="AA605" s="66">
        <v>-0.1557846533737646</v>
      </c>
      <c r="AB605" s="66">
        <v>170170001</v>
      </c>
      <c r="AC605" s="66">
        <v>170170001002</v>
      </c>
      <c r="AD605" s="66">
        <v>170170001002001</v>
      </c>
      <c r="AE605" s="69">
        <v>3</v>
      </c>
      <c r="AF605" s="69" t="s">
        <v>377</v>
      </c>
      <c r="AG605" s="46" t="s">
        <v>66</v>
      </c>
      <c r="AH605" s="70" t="s">
        <v>448</v>
      </c>
      <c r="AI605" s="71" t="s">
        <v>66</v>
      </c>
      <c r="AJ605" s="49" t="s">
        <v>6938</v>
      </c>
      <c r="AK605" s="50" t="s">
        <v>67</v>
      </c>
      <c r="AL605" s="58">
        <v>45587</v>
      </c>
      <c r="AM605" s="52" t="s">
        <v>66</v>
      </c>
      <c r="AN605" s="52"/>
      <c r="AO605" s="52"/>
      <c r="AP605" s="52"/>
      <c r="AQ605" s="53">
        <f t="shared" si="30"/>
        <v>1</v>
      </c>
      <c r="AR605" s="54">
        <f t="shared" si="31"/>
        <v>0</v>
      </c>
      <c r="AS605" s="55">
        <f t="shared" si="32"/>
        <v>1</v>
      </c>
      <c r="AT605" s="102" t="s">
        <v>449</v>
      </c>
      <c r="AU605" s="103" t="s">
        <v>6745</v>
      </c>
      <c r="AV605" s="104">
        <v>1.31</v>
      </c>
      <c r="AW605" s="105">
        <v>45587</v>
      </c>
      <c r="AX605" s="104">
        <v>1.31</v>
      </c>
      <c r="AY605" s="106">
        <v>45618</v>
      </c>
      <c r="AZ605" s="102"/>
      <c r="BA605" s="103" t="s">
        <v>1356</v>
      </c>
      <c r="BB605" s="104"/>
      <c r="BC605" s="106"/>
      <c r="BD605" s="104"/>
      <c r="BE605" s="106"/>
      <c r="BF605" s="102"/>
      <c r="BG605" s="103" t="s">
        <v>1356</v>
      </c>
      <c r="BH605" s="104"/>
      <c r="BI605" s="106"/>
      <c r="BJ605" s="104"/>
      <c r="BK605" s="106"/>
      <c r="BL605" s="102"/>
      <c r="BM605" s="103" t="s">
        <v>1356</v>
      </c>
      <c r="BN605" s="104"/>
      <c r="BO605" s="106"/>
      <c r="BP605" s="104"/>
      <c r="BQ605" s="106"/>
      <c r="BR605" s="102"/>
      <c r="BS605" s="103" t="s">
        <v>1356</v>
      </c>
      <c r="BT605" s="104"/>
      <c r="BU605" s="106"/>
      <c r="BV605" s="104"/>
      <c r="BW605" s="106"/>
      <c r="BX605" s="121"/>
      <c r="BY605" s="122" t="s">
        <v>1356</v>
      </c>
      <c r="BZ605" s="123"/>
      <c r="CA605" s="124"/>
      <c r="CB605" s="123"/>
      <c r="CC605" s="124"/>
      <c r="CD605" s="121"/>
      <c r="CE605" s="122" t="s">
        <v>1356</v>
      </c>
      <c r="CF605" s="123"/>
      <c r="CG605" s="124"/>
      <c r="CH605" s="123"/>
      <c r="CI605" s="124"/>
      <c r="CJ605" s="121"/>
      <c r="CK605" s="122" t="s">
        <v>1356</v>
      </c>
      <c r="CL605" s="123"/>
      <c r="CM605" s="124"/>
      <c r="CN605" s="123"/>
      <c r="CO605" s="124"/>
      <c r="CP605" s="121"/>
      <c r="CQ605" s="122" t="s">
        <v>1356</v>
      </c>
      <c r="CR605" s="123"/>
      <c r="CS605" s="124"/>
      <c r="CT605" s="123"/>
      <c r="CU605" s="124"/>
      <c r="CV605" s="121"/>
      <c r="CW605" s="122" t="s">
        <v>1356</v>
      </c>
      <c r="CX605" s="123"/>
      <c r="CY605" s="124"/>
      <c r="CZ605" s="123"/>
      <c r="DA605" s="124"/>
      <c r="DB605" s="52" t="s">
        <v>6962</v>
      </c>
      <c r="DC605" s="73" t="s">
        <v>105</v>
      </c>
    </row>
    <row r="606" spans="1:107" s="40" customFormat="1" ht="14.55" customHeight="1" x14ac:dyDescent="0.3">
      <c r="A606" s="42" t="s">
        <v>4108</v>
      </c>
      <c r="B606" s="42" t="s">
        <v>4183</v>
      </c>
      <c r="C606" s="42" t="s">
        <v>4184</v>
      </c>
      <c r="D606" s="42" t="s">
        <v>3141</v>
      </c>
      <c r="E606" s="42" t="s">
        <v>3142</v>
      </c>
      <c r="F606" s="42" t="s">
        <v>1424</v>
      </c>
      <c r="G606" s="42" t="s">
        <v>404</v>
      </c>
      <c r="H606" s="43" t="s">
        <v>6930</v>
      </c>
      <c r="I606" s="44">
        <v>101</v>
      </c>
      <c r="J606" s="44">
        <v>10150</v>
      </c>
      <c r="K606" s="45">
        <v>4</v>
      </c>
      <c r="L606" s="42" t="s">
        <v>1017</v>
      </c>
      <c r="M606" s="42"/>
      <c r="N606" s="42" t="s">
        <v>3143</v>
      </c>
      <c r="O606" s="42" t="s">
        <v>933</v>
      </c>
      <c r="P606" s="42"/>
      <c r="Q606" s="42"/>
      <c r="R606" s="42" t="s">
        <v>535</v>
      </c>
      <c r="S606" s="42"/>
      <c r="T606" s="42"/>
      <c r="U606" s="42"/>
      <c r="V606" s="42"/>
      <c r="W606" s="42" t="s">
        <v>3144</v>
      </c>
      <c r="X606" s="42" t="s">
        <v>3145</v>
      </c>
      <c r="Y606" s="42" t="s">
        <v>3146</v>
      </c>
      <c r="Z606" s="42"/>
      <c r="AA606" s="42"/>
      <c r="AB606" s="42">
        <v>10150044</v>
      </c>
      <c r="AC606" s="42">
        <v>10150044004</v>
      </c>
      <c r="AD606" s="42">
        <v>10150044004004</v>
      </c>
      <c r="AE606" s="45">
        <v>5</v>
      </c>
      <c r="AF606" s="45" t="s">
        <v>772</v>
      </c>
      <c r="AG606" s="46" t="s">
        <v>66</v>
      </c>
      <c r="AH606" s="47" t="s">
        <v>3147</v>
      </c>
      <c r="AI606" s="48" t="s">
        <v>66</v>
      </c>
      <c r="AJ606" s="49" t="s">
        <v>6938</v>
      </c>
      <c r="AK606" s="50" t="s">
        <v>67</v>
      </c>
      <c r="AL606" s="51">
        <v>45587</v>
      </c>
      <c r="AM606" s="52" t="s">
        <v>66</v>
      </c>
      <c r="AN606" s="42"/>
      <c r="AO606" s="42"/>
      <c r="AP606" s="42"/>
      <c r="AQ606" s="53">
        <f t="shared" si="30"/>
        <v>3</v>
      </c>
      <c r="AR606" s="54">
        <f t="shared" si="31"/>
        <v>0</v>
      </c>
      <c r="AS606" s="55">
        <f t="shared" si="32"/>
        <v>3</v>
      </c>
      <c r="AT606" s="96" t="s">
        <v>1436</v>
      </c>
      <c r="AU606" s="96" t="s">
        <v>1437</v>
      </c>
      <c r="AV606" s="96">
        <v>3.0345</v>
      </c>
      <c r="AW606" s="97">
        <v>45587</v>
      </c>
      <c r="AX606" s="96">
        <v>3.0345</v>
      </c>
      <c r="AY606" s="98">
        <v>45618</v>
      </c>
      <c r="AZ606" s="96" t="s">
        <v>1438</v>
      </c>
      <c r="BA606" s="96" t="s">
        <v>1439</v>
      </c>
      <c r="BB606" s="96">
        <v>2.12</v>
      </c>
      <c r="BC606" s="98">
        <v>45587</v>
      </c>
      <c r="BD606" s="96">
        <v>2.12</v>
      </c>
      <c r="BE606" s="98">
        <v>45618</v>
      </c>
      <c r="BF606" s="96" t="s">
        <v>2444</v>
      </c>
      <c r="BG606" s="96" t="s">
        <v>2445</v>
      </c>
      <c r="BH606" s="96" t="s">
        <v>3148</v>
      </c>
      <c r="BI606" s="98">
        <v>45587</v>
      </c>
      <c r="BJ606" s="96" t="s">
        <v>3148</v>
      </c>
      <c r="BK606" s="98">
        <v>45618</v>
      </c>
      <c r="BL606" s="96"/>
      <c r="BM606" s="96" t="s">
        <v>1356</v>
      </c>
      <c r="BN606" s="96"/>
      <c r="BO606" s="98"/>
      <c r="BP606" s="96"/>
      <c r="BQ606" s="98"/>
      <c r="BR606" s="96"/>
      <c r="BS606" s="96" t="s">
        <v>1356</v>
      </c>
      <c r="BT606" s="96"/>
      <c r="BU606" s="98"/>
      <c r="BV606" s="96"/>
      <c r="BW606" s="98"/>
      <c r="BX606" s="117"/>
      <c r="BY606" s="117" t="s">
        <v>1356</v>
      </c>
      <c r="BZ606" s="117"/>
      <c r="CA606" s="118"/>
      <c r="CB606" s="117"/>
      <c r="CC606" s="118"/>
      <c r="CD606" s="117"/>
      <c r="CE606" s="117" t="s">
        <v>1356</v>
      </c>
      <c r="CF606" s="117"/>
      <c r="CG606" s="118"/>
      <c r="CH606" s="117"/>
      <c r="CI606" s="118"/>
      <c r="CJ606" s="117"/>
      <c r="CK606" s="117" t="s">
        <v>1356</v>
      </c>
      <c r="CL606" s="117"/>
      <c r="CM606" s="118"/>
      <c r="CN606" s="117"/>
      <c r="CO606" s="118"/>
      <c r="CP606" s="117"/>
      <c r="CQ606" s="117" t="s">
        <v>1356</v>
      </c>
      <c r="CR606" s="117"/>
      <c r="CS606" s="118"/>
      <c r="CT606" s="117"/>
      <c r="CU606" s="118"/>
      <c r="CV606" s="117"/>
      <c r="CW606" s="117" t="s">
        <v>1356</v>
      </c>
      <c r="CX606" s="117"/>
      <c r="CY606" s="118"/>
      <c r="CZ606" s="117"/>
      <c r="DA606" s="118"/>
      <c r="DB606" s="52" t="s">
        <v>6962</v>
      </c>
      <c r="DC606" s="57" t="s">
        <v>105</v>
      </c>
    </row>
    <row r="607" spans="1:107" s="40" customFormat="1" ht="14.55" customHeight="1" x14ac:dyDescent="0.3">
      <c r="A607" s="42" t="s">
        <v>4219</v>
      </c>
      <c r="B607" s="42" t="s">
        <v>6181</v>
      </c>
      <c r="C607" s="42" t="s">
        <v>6182</v>
      </c>
      <c r="D607" s="42" t="s">
        <v>6183</v>
      </c>
      <c r="E607" s="42" t="s">
        <v>6184</v>
      </c>
      <c r="F607" s="42" t="s">
        <v>825</v>
      </c>
      <c r="G607" s="42" t="s">
        <v>4237</v>
      </c>
      <c r="H607" s="43" t="s">
        <v>686</v>
      </c>
      <c r="I607" s="44">
        <v>901</v>
      </c>
      <c r="J607" s="44">
        <v>90150</v>
      </c>
      <c r="K607" s="45">
        <v>4</v>
      </c>
      <c r="L607" s="42" t="s">
        <v>5024</v>
      </c>
      <c r="M607" s="42" t="s">
        <v>6185</v>
      </c>
      <c r="N607" s="42"/>
      <c r="O607" s="42" t="s">
        <v>6186</v>
      </c>
      <c r="P607" s="42"/>
      <c r="Q607" s="42"/>
      <c r="R607" s="42"/>
      <c r="S607" s="42"/>
      <c r="T607" s="42"/>
      <c r="U607" s="42"/>
      <c r="V607" s="42" t="s">
        <v>6187</v>
      </c>
      <c r="W607" s="42" t="s">
        <v>6188</v>
      </c>
      <c r="X607" s="42" t="s">
        <v>6189</v>
      </c>
      <c r="Y607" s="42" t="s">
        <v>6190</v>
      </c>
      <c r="Z607" s="42">
        <v>-79.944881200790405</v>
      </c>
      <c r="AA607" s="42">
        <v>-2.1011700928211199</v>
      </c>
      <c r="AB607" s="42">
        <v>90150517</v>
      </c>
      <c r="AC607" s="42">
        <v>90150517006</v>
      </c>
      <c r="AD607" s="42">
        <v>90150517006012</v>
      </c>
      <c r="AE607" s="45">
        <v>5</v>
      </c>
      <c r="AF607" s="45" t="s">
        <v>772</v>
      </c>
      <c r="AG607" s="46" t="s">
        <v>66</v>
      </c>
      <c r="AH607" s="47" t="s">
        <v>6191</v>
      </c>
      <c r="AI607" s="48" t="s">
        <v>66</v>
      </c>
      <c r="AJ607" s="49" t="s">
        <v>6938</v>
      </c>
      <c r="AK607" s="50" t="s">
        <v>67</v>
      </c>
      <c r="AL607" s="58">
        <v>45587</v>
      </c>
      <c r="AM607" s="52" t="s">
        <v>66</v>
      </c>
      <c r="AN607" s="42"/>
      <c r="AO607" s="42"/>
      <c r="AP607" s="42"/>
      <c r="AQ607" s="53">
        <f t="shared" si="30"/>
        <v>1</v>
      </c>
      <c r="AR607" s="54">
        <f t="shared" si="31"/>
        <v>0</v>
      </c>
      <c r="AS607" s="55">
        <f t="shared" si="32"/>
        <v>1</v>
      </c>
      <c r="AT607" s="96" t="s">
        <v>6854</v>
      </c>
      <c r="AU607" s="96" t="s">
        <v>6855</v>
      </c>
      <c r="AV607" s="96" t="s">
        <v>6856</v>
      </c>
      <c r="AW607" s="97" t="s">
        <v>6796</v>
      </c>
      <c r="AX607" s="96" t="s">
        <v>6856</v>
      </c>
      <c r="AY607" s="98" t="s">
        <v>6796</v>
      </c>
      <c r="AZ607" s="96"/>
      <c r="BA607" s="96" t="s">
        <v>1356</v>
      </c>
      <c r="BB607" s="96"/>
      <c r="BC607" s="98"/>
      <c r="BD607" s="96"/>
      <c r="BE607" s="98"/>
      <c r="BF607" s="96"/>
      <c r="BG607" s="96" t="s">
        <v>1356</v>
      </c>
      <c r="BH607" s="96"/>
      <c r="BI607" s="98"/>
      <c r="BJ607" s="96"/>
      <c r="BK607" s="98"/>
      <c r="BL607" s="96"/>
      <c r="BM607" s="96" t="s">
        <v>1356</v>
      </c>
      <c r="BN607" s="96"/>
      <c r="BO607" s="98"/>
      <c r="BP607" s="96"/>
      <c r="BQ607" s="98"/>
      <c r="BR607" s="96"/>
      <c r="BS607" s="96" t="s">
        <v>1356</v>
      </c>
      <c r="BT607" s="96"/>
      <c r="BU607" s="98"/>
      <c r="BV607" s="96"/>
      <c r="BW607" s="98"/>
      <c r="BX607" s="117"/>
      <c r="BY607" s="117" t="s">
        <v>1356</v>
      </c>
      <c r="BZ607" s="117"/>
      <c r="CA607" s="118"/>
      <c r="CB607" s="117"/>
      <c r="CC607" s="118"/>
      <c r="CD607" s="117"/>
      <c r="CE607" s="117" t="s">
        <v>1356</v>
      </c>
      <c r="CF607" s="117"/>
      <c r="CG607" s="118"/>
      <c r="CH607" s="117"/>
      <c r="CI607" s="118"/>
      <c r="CJ607" s="117"/>
      <c r="CK607" s="117" t="s">
        <v>1356</v>
      </c>
      <c r="CL607" s="117"/>
      <c r="CM607" s="118"/>
      <c r="CN607" s="117"/>
      <c r="CO607" s="118"/>
      <c r="CP607" s="117"/>
      <c r="CQ607" s="117" t="s">
        <v>1356</v>
      </c>
      <c r="CR607" s="117"/>
      <c r="CS607" s="118"/>
      <c r="CT607" s="117"/>
      <c r="CU607" s="118"/>
      <c r="CV607" s="117"/>
      <c r="CW607" s="117" t="s">
        <v>1356</v>
      </c>
      <c r="CX607" s="117"/>
      <c r="CY607" s="118"/>
      <c r="CZ607" s="117"/>
      <c r="DA607" s="118"/>
      <c r="DB607" s="52" t="s">
        <v>6962</v>
      </c>
      <c r="DC607" s="57" t="s">
        <v>105</v>
      </c>
    </row>
    <row r="608" spans="1:107" s="40" customFormat="1" x14ac:dyDescent="0.3">
      <c r="A608" s="35" t="s">
        <v>4219</v>
      </c>
      <c r="B608" s="35" t="s">
        <v>6109</v>
      </c>
      <c r="C608" s="35" t="s">
        <v>6110</v>
      </c>
      <c r="D608" s="35" t="s">
        <v>6111</v>
      </c>
      <c r="E608" s="35" t="s">
        <v>6112</v>
      </c>
      <c r="F608" s="35" t="s">
        <v>256</v>
      </c>
      <c r="G608" s="35" t="s">
        <v>4237</v>
      </c>
      <c r="H608" s="27" t="s">
        <v>686</v>
      </c>
      <c r="I608" s="62">
        <v>901</v>
      </c>
      <c r="J608" s="62">
        <v>90150</v>
      </c>
      <c r="K608" s="63">
        <v>4</v>
      </c>
      <c r="L608" s="35" t="s">
        <v>4446</v>
      </c>
      <c r="M608" s="35" t="s">
        <v>258</v>
      </c>
      <c r="N608" s="35" t="s">
        <v>810</v>
      </c>
      <c r="O608" s="35" t="s">
        <v>3061</v>
      </c>
      <c r="P608" s="35"/>
      <c r="Q608" s="35"/>
      <c r="R608" s="35"/>
      <c r="S608" s="35"/>
      <c r="T608" s="35"/>
      <c r="U608" s="35"/>
      <c r="V608" s="35"/>
      <c r="W608" s="35" t="s">
        <v>6113</v>
      </c>
      <c r="X608" s="35" t="s">
        <v>6114</v>
      </c>
      <c r="Y608" s="35" t="s">
        <v>6115</v>
      </c>
      <c r="Z608" s="35"/>
      <c r="AA608" s="35"/>
      <c r="AB608" s="35">
        <v>90150421</v>
      </c>
      <c r="AC608" s="35">
        <v>90150421009</v>
      </c>
      <c r="AD608" s="35">
        <v>90150421009004</v>
      </c>
      <c r="AE608" s="63">
        <v>5</v>
      </c>
      <c r="AF608" s="63" t="s">
        <v>772</v>
      </c>
      <c r="AG608" s="29" t="s">
        <v>65</v>
      </c>
      <c r="AH608" s="75"/>
      <c r="AI608" s="65" t="s">
        <v>66</v>
      </c>
      <c r="AJ608" s="32" t="s">
        <v>6938</v>
      </c>
      <c r="AK608" s="33" t="s">
        <v>67</v>
      </c>
      <c r="AL608" s="34">
        <v>45562</v>
      </c>
      <c r="AM608" s="35" t="s">
        <v>66</v>
      </c>
      <c r="AN608" s="35"/>
      <c r="AO608" s="35"/>
      <c r="AP608" s="35"/>
      <c r="AQ608" s="37">
        <f t="shared" si="30"/>
        <v>0</v>
      </c>
      <c r="AR608" s="38">
        <f t="shared" si="31"/>
        <v>0</v>
      </c>
      <c r="AS608" s="39">
        <f t="shared" si="32"/>
        <v>0</v>
      </c>
      <c r="AT608" s="99"/>
      <c r="AU608" s="99" t="s">
        <v>1356</v>
      </c>
      <c r="AV608" s="99"/>
      <c r="AW608" s="100"/>
      <c r="AX608" s="99"/>
      <c r="AY608" s="101"/>
      <c r="AZ608" s="99"/>
      <c r="BA608" s="99" t="s">
        <v>1356</v>
      </c>
      <c r="BB608" s="99"/>
      <c r="BC608" s="101"/>
      <c r="BD608" s="99"/>
      <c r="BE608" s="101"/>
      <c r="BF608" s="99"/>
      <c r="BG608" s="99" t="s">
        <v>1356</v>
      </c>
      <c r="BH608" s="99"/>
      <c r="BI608" s="101"/>
      <c r="BJ608" s="99"/>
      <c r="BK608" s="101"/>
      <c r="BL608" s="99"/>
      <c r="BM608" s="99" t="s">
        <v>1356</v>
      </c>
      <c r="BN608" s="99"/>
      <c r="BO608" s="101"/>
      <c r="BP608" s="99"/>
      <c r="BQ608" s="101"/>
      <c r="BR608" s="99"/>
      <c r="BS608" s="99" t="s">
        <v>1356</v>
      </c>
      <c r="BT608" s="99"/>
      <c r="BU608" s="101"/>
      <c r="BV608" s="99"/>
      <c r="BW608" s="101"/>
      <c r="BX608" s="119"/>
      <c r="BY608" s="119" t="s">
        <v>1356</v>
      </c>
      <c r="BZ608" s="119"/>
      <c r="CA608" s="120"/>
      <c r="CB608" s="119"/>
      <c r="CC608" s="120"/>
      <c r="CD608" s="119"/>
      <c r="CE608" s="119" t="s">
        <v>1356</v>
      </c>
      <c r="CF608" s="119"/>
      <c r="CG608" s="120"/>
      <c r="CH608" s="119"/>
      <c r="CI608" s="120"/>
      <c r="CJ608" s="119"/>
      <c r="CK608" s="119" t="s">
        <v>1356</v>
      </c>
      <c r="CL608" s="119"/>
      <c r="CM608" s="120"/>
      <c r="CN608" s="119"/>
      <c r="CO608" s="120"/>
      <c r="CP608" s="119"/>
      <c r="CQ608" s="119" t="s">
        <v>1356</v>
      </c>
      <c r="CR608" s="119"/>
      <c r="CS608" s="120"/>
      <c r="CT608" s="119"/>
      <c r="CU608" s="120"/>
      <c r="CV608" s="119"/>
      <c r="CW608" s="119" t="s">
        <v>1356</v>
      </c>
      <c r="CX608" s="119"/>
      <c r="CY608" s="120"/>
      <c r="CZ608" s="119"/>
      <c r="DA608" s="120"/>
      <c r="DB608" s="36" t="s">
        <v>7085</v>
      </c>
      <c r="DC608" s="59" t="s">
        <v>105</v>
      </c>
    </row>
    <row r="609" spans="1:107" s="40" customFormat="1" ht="14.55" customHeight="1" x14ac:dyDescent="0.3">
      <c r="A609" s="66" t="s">
        <v>3500</v>
      </c>
      <c r="B609" s="66" t="s">
        <v>3836</v>
      </c>
      <c r="C609" s="66" t="s">
        <v>3837</v>
      </c>
      <c r="D609" s="66" t="s">
        <v>1724</v>
      </c>
      <c r="E609" s="66" t="s">
        <v>1725</v>
      </c>
      <c r="F609" s="66" t="s">
        <v>1329</v>
      </c>
      <c r="G609" s="68" t="s">
        <v>72</v>
      </c>
      <c r="H609" s="43" t="s">
        <v>251</v>
      </c>
      <c r="I609" s="68">
        <v>1701</v>
      </c>
      <c r="J609" s="68">
        <v>170155</v>
      </c>
      <c r="K609" s="69">
        <v>4</v>
      </c>
      <c r="L609" s="66" t="s">
        <v>1726</v>
      </c>
      <c r="M609" s="66" t="s">
        <v>1727</v>
      </c>
      <c r="N609" s="66" t="s">
        <v>1728</v>
      </c>
      <c r="O609" s="66"/>
      <c r="P609" s="66"/>
      <c r="Q609" s="66"/>
      <c r="R609" s="66"/>
      <c r="S609" s="66"/>
      <c r="T609" s="66"/>
      <c r="U609" s="66"/>
      <c r="V609" s="66"/>
      <c r="W609" s="66" t="s">
        <v>1729</v>
      </c>
      <c r="X609" s="66" t="s">
        <v>1730</v>
      </c>
      <c r="Y609" s="66" t="s">
        <v>1731</v>
      </c>
      <c r="Z609" s="66"/>
      <c r="AA609" s="66"/>
      <c r="AB609" s="66"/>
      <c r="AC609" s="66"/>
      <c r="AD609" s="66"/>
      <c r="AE609" s="69">
        <v>3</v>
      </c>
      <c r="AF609" s="69" t="s">
        <v>377</v>
      </c>
      <c r="AG609" s="46" t="s">
        <v>66</v>
      </c>
      <c r="AH609" s="70" t="s">
        <v>6943</v>
      </c>
      <c r="AI609" s="71" t="s">
        <v>66</v>
      </c>
      <c r="AJ609" s="49" t="s">
        <v>6938</v>
      </c>
      <c r="AK609" s="50" t="s">
        <v>67</v>
      </c>
      <c r="AL609" s="58">
        <v>45588</v>
      </c>
      <c r="AM609" s="52" t="s">
        <v>66</v>
      </c>
      <c r="AN609" s="52"/>
      <c r="AO609" s="52"/>
      <c r="AP609" s="52"/>
      <c r="AQ609" s="53">
        <f t="shared" si="30"/>
        <v>3</v>
      </c>
      <c r="AR609" s="54">
        <f t="shared" si="31"/>
        <v>0</v>
      </c>
      <c r="AS609" s="55">
        <f t="shared" si="32"/>
        <v>3</v>
      </c>
      <c r="AT609" s="102" t="s">
        <v>1336</v>
      </c>
      <c r="AU609" s="103" t="s">
        <v>1381</v>
      </c>
      <c r="AV609" s="104">
        <v>5.04</v>
      </c>
      <c r="AW609" s="105">
        <v>45588</v>
      </c>
      <c r="AX609" s="104"/>
      <c r="AY609" s="106"/>
      <c r="AZ609" s="102" t="s">
        <v>1336</v>
      </c>
      <c r="BA609" s="103" t="s">
        <v>1381</v>
      </c>
      <c r="BB609" s="104">
        <v>5.04</v>
      </c>
      <c r="BC609" s="106">
        <v>45588</v>
      </c>
      <c r="BD609" s="104"/>
      <c r="BE609" s="106"/>
      <c r="BF609" s="102" t="s">
        <v>1336</v>
      </c>
      <c r="BG609" s="103" t="s">
        <v>1381</v>
      </c>
      <c r="BH609" s="104">
        <v>3</v>
      </c>
      <c r="BI609" s="106">
        <v>45588</v>
      </c>
      <c r="BJ609" s="104"/>
      <c r="BK609" s="106"/>
      <c r="BL609" s="102"/>
      <c r="BM609" s="103" t="s">
        <v>1356</v>
      </c>
      <c r="BN609" s="104"/>
      <c r="BO609" s="106"/>
      <c r="BP609" s="104"/>
      <c r="BQ609" s="106"/>
      <c r="BR609" s="102"/>
      <c r="BS609" s="103" t="s">
        <v>1356</v>
      </c>
      <c r="BT609" s="104"/>
      <c r="BU609" s="106"/>
      <c r="BV609" s="104"/>
      <c r="BW609" s="106"/>
      <c r="BX609" s="121"/>
      <c r="BY609" s="122" t="s">
        <v>1356</v>
      </c>
      <c r="BZ609" s="123"/>
      <c r="CA609" s="124"/>
      <c r="CB609" s="123"/>
      <c r="CC609" s="124"/>
      <c r="CD609" s="121"/>
      <c r="CE609" s="122" t="s">
        <v>1356</v>
      </c>
      <c r="CF609" s="123"/>
      <c r="CG609" s="124"/>
      <c r="CH609" s="123"/>
      <c r="CI609" s="124"/>
      <c r="CJ609" s="121"/>
      <c r="CK609" s="122" t="s">
        <v>1356</v>
      </c>
      <c r="CL609" s="123"/>
      <c r="CM609" s="124"/>
      <c r="CN609" s="123"/>
      <c r="CO609" s="124"/>
      <c r="CP609" s="121"/>
      <c r="CQ609" s="122" t="s">
        <v>1356</v>
      </c>
      <c r="CR609" s="123"/>
      <c r="CS609" s="124"/>
      <c r="CT609" s="123"/>
      <c r="CU609" s="124"/>
      <c r="CV609" s="121"/>
      <c r="CW609" s="122" t="s">
        <v>1356</v>
      </c>
      <c r="CX609" s="123"/>
      <c r="CY609" s="124"/>
      <c r="CZ609" s="123"/>
      <c r="DA609" s="124"/>
      <c r="DB609" s="52" t="s">
        <v>6962</v>
      </c>
      <c r="DC609" s="73" t="s">
        <v>105</v>
      </c>
    </row>
    <row r="610" spans="1:107" s="40" customFormat="1" x14ac:dyDescent="0.3">
      <c r="A610" s="66" t="s">
        <v>3500</v>
      </c>
      <c r="B610" s="66" t="s">
        <v>3958</v>
      </c>
      <c r="C610" s="66" t="s">
        <v>3959</v>
      </c>
      <c r="D610" s="66" t="s">
        <v>2163</v>
      </c>
      <c r="E610" s="66" t="s">
        <v>70</v>
      </c>
      <c r="F610" s="66" t="s">
        <v>2164</v>
      </c>
      <c r="G610" s="68" t="s">
        <v>72</v>
      </c>
      <c r="H610" s="43" t="s">
        <v>251</v>
      </c>
      <c r="I610" s="68">
        <v>1701</v>
      </c>
      <c r="J610" s="68">
        <v>170151</v>
      </c>
      <c r="K610" s="69">
        <v>4</v>
      </c>
      <c r="L610" s="66" t="s">
        <v>2165</v>
      </c>
      <c r="M610" s="66" t="s">
        <v>2166</v>
      </c>
      <c r="N610" s="66" t="s">
        <v>2167</v>
      </c>
      <c r="O610" s="66"/>
      <c r="P610" s="66" t="s">
        <v>2168</v>
      </c>
      <c r="Q610" s="66"/>
      <c r="R610" s="66"/>
      <c r="S610" s="66" t="s">
        <v>146</v>
      </c>
      <c r="T610" s="66" t="s">
        <v>2169</v>
      </c>
      <c r="U610" s="66" t="s">
        <v>2170</v>
      </c>
      <c r="V610" s="66" t="s">
        <v>2171</v>
      </c>
      <c r="W610" s="66" t="s">
        <v>2172</v>
      </c>
      <c r="X610" s="66" t="s">
        <v>2173</v>
      </c>
      <c r="Y610" s="66" t="s">
        <v>2174</v>
      </c>
      <c r="Z610" s="66"/>
      <c r="AA610" s="66"/>
      <c r="AB610" s="66"/>
      <c r="AC610" s="66"/>
      <c r="AD610" s="66"/>
      <c r="AE610" s="69">
        <v>2</v>
      </c>
      <c r="AF610" s="69" t="s">
        <v>64</v>
      </c>
      <c r="AG610" s="46" t="s">
        <v>66</v>
      </c>
      <c r="AH610" s="70">
        <v>40908</v>
      </c>
      <c r="AI610" s="71" t="s">
        <v>66</v>
      </c>
      <c r="AJ610" s="49" t="s">
        <v>6938</v>
      </c>
      <c r="AK610" s="50" t="s">
        <v>67</v>
      </c>
      <c r="AL610" s="58">
        <v>45588</v>
      </c>
      <c r="AM610" s="52" t="s">
        <v>66</v>
      </c>
      <c r="AN610" s="52"/>
      <c r="AO610" s="52"/>
      <c r="AP610" s="52"/>
      <c r="AQ610" s="53">
        <f t="shared" si="30"/>
        <v>5</v>
      </c>
      <c r="AR610" s="54">
        <f t="shared" si="31"/>
        <v>0</v>
      </c>
      <c r="AS610" s="55">
        <f t="shared" si="32"/>
        <v>5</v>
      </c>
      <c r="AT610" s="107" t="s">
        <v>2175</v>
      </c>
      <c r="AU610" s="103" t="s">
        <v>1420</v>
      </c>
      <c r="AV610" s="104" t="s">
        <v>2176</v>
      </c>
      <c r="AW610" s="105">
        <v>45588</v>
      </c>
      <c r="AX610" s="104"/>
      <c r="AY610" s="106"/>
      <c r="AZ610" s="107" t="s">
        <v>1418</v>
      </c>
      <c r="BA610" s="103" t="s">
        <v>2177</v>
      </c>
      <c r="BB610" s="104" t="s">
        <v>2178</v>
      </c>
      <c r="BC610" s="106">
        <v>45588</v>
      </c>
      <c r="BD610" s="104"/>
      <c r="BE610" s="106"/>
      <c r="BF610" s="107" t="s">
        <v>1418</v>
      </c>
      <c r="BG610" s="103" t="s">
        <v>2177</v>
      </c>
      <c r="BH610" s="104" t="s">
        <v>2179</v>
      </c>
      <c r="BI610" s="106">
        <v>45588</v>
      </c>
      <c r="BJ610" s="104"/>
      <c r="BK610" s="106"/>
      <c r="BL610" s="107" t="s">
        <v>1418</v>
      </c>
      <c r="BM610" s="103" t="s">
        <v>2177</v>
      </c>
      <c r="BN610" s="104" t="s">
        <v>2180</v>
      </c>
      <c r="BO610" s="106">
        <v>45588</v>
      </c>
      <c r="BP610" s="104"/>
      <c r="BQ610" s="106"/>
      <c r="BR610" s="107" t="s">
        <v>1418</v>
      </c>
      <c r="BS610" s="103" t="s">
        <v>2177</v>
      </c>
      <c r="BT610" s="104" t="s">
        <v>2180</v>
      </c>
      <c r="BU610" s="106">
        <v>45588</v>
      </c>
      <c r="BV610" s="104"/>
      <c r="BW610" s="106"/>
      <c r="BX610" s="121"/>
      <c r="BY610" s="122" t="s">
        <v>1356</v>
      </c>
      <c r="BZ610" s="123"/>
      <c r="CA610" s="124"/>
      <c r="CB610" s="123"/>
      <c r="CC610" s="124"/>
      <c r="CD610" s="121"/>
      <c r="CE610" s="122" t="s">
        <v>1356</v>
      </c>
      <c r="CF610" s="123"/>
      <c r="CG610" s="124"/>
      <c r="CH610" s="123"/>
      <c r="CI610" s="124"/>
      <c r="CJ610" s="121"/>
      <c r="CK610" s="122" t="s">
        <v>1356</v>
      </c>
      <c r="CL610" s="123"/>
      <c r="CM610" s="124"/>
      <c r="CN610" s="123"/>
      <c r="CO610" s="124"/>
      <c r="CP610" s="121"/>
      <c r="CQ610" s="122" t="s">
        <v>1356</v>
      </c>
      <c r="CR610" s="123"/>
      <c r="CS610" s="124"/>
      <c r="CT610" s="123"/>
      <c r="CU610" s="124"/>
      <c r="CV610" s="121"/>
      <c r="CW610" s="122" t="s">
        <v>1356</v>
      </c>
      <c r="CX610" s="123"/>
      <c r="CY610" s="124"/>
      <c r="CZ610" s="123"/>
      <c r="DA610" s="124"/>
      <c r="DB610" s="52" t="s">
        <v>6962</v>
      </c>
      <c r="DC610" s="73" t="s">
        <v>105</v>
      </c>
    </row>
    <row r="611" spans="1:107" s="40" customFormat="1" ht="14.55" customHeight="1" x14ac:dyDescent="0.3">
      <c r="A611" s="42" t="s">
        <v>3456</v>
      </c>
      <c r="B611" s="42" t="s">
        <v>4102</v>
      </c>
      <c r="C611" s="42" t="s">
        <v>2839</v>
      </c>
      <c r="D611" s="42" t="s">
        <v>2840</v>
      </c>
      <c r="E611" s="42" t="s">
        <v>2841</v>
      </c>
      <c r="F611" s="42" t="s">
        <v>2498</v>
      </c>
      <c r="G611" s="42" t="s">
        <v>1059</v>
      </c>
      <c r="H611" s="43" t="s">
        <v>6924</v>
      </c>
      <c r="I611" s="44">
        <v>1801</v>
      </c>
      <c r="J611" s="44">
        <v>180156</v>
      </c>
      <c r="K611" s="45">
        <v>4</v>
      </c>
      <c r="L611" s="42" t="s">
        <v>2842</v>
      </c>
      <c r="M611" s="42"/>
      <c r="N611" s="42" t="s">
        <v>2731</v>
      </c>
      <c r="O611" s="42"/>
      <c r="P611" s="42" t="s">
        <v>2843</v>
      </c>
      <c r="Q611" s="42"/>
      <c r="R611" s="42"/>
      <c r="S611" s="42"/>
      <c r="T611" s="42" t="s">
        <v>2236</v>
      </c>
      <c r="U611" s="42"/>
      <c r="V611" s="42"/>
      <c r="W611" s="42" t="s">
        <v>2844</v>
      </c>
      <c r="X611" s="42" t="s">
        <v>2845</v>
      </c>
      <c r="Y611" s="42" t="s">
        <v>2846</v>
      </c>
      <c r="Z611" s="42">
        <v>-78.587382000000005</v>
      </c>
      <c r="AA611" s="42">
        <v>-1.1964999999999999</v>
      </c>
      <c r="AB611" s="42">
        <v>180156904</v>
      </c>
      <c r="AC611" s="42">
        <v>180156904004</v>
      </c>
      <c r="AD611" s="42">
        <v>180156904004011</v>
      </c>
      <c r="AE611" s="45">
        <v>5</v>
      </c>
      <c r="AF611" s="45" t="s">
        <v>772</v>
      </c>
      <c r="AG611" s="46" t="s">
        <v>66</v>
      </c>
      <c r="AH611" s="47" t="s">
        <v>6947</v>
      </c>
      <c r="AI611" s="48" t="s">
        <v>66</v>
      </c>
      <c r="AJ611" s="49" t="s">
        <v>6938</v>
      </c>
      <c r="AK611" s="50" t="s">
        <v>67</v>
      </c>
      <c r="AL611" s="56">
        <v>45588</v>
      </c>
      <c r="AM611" s="52" t="s">
        <v>66</v>
      </c>
      <c r="AN611" s="42"/>
      <c r="AO611" s="42"/>
      <c r="AP611" s="42"/>
      <c r="AQ611" s="53">
        <f t="shared" si="30"/>
        <v>1</v>
      </c>
      <c r="AR611" s="54">
        <f t="shared" si="31"/>
        <v>0</v>
      </c>
      <c r="AS611" s="55">
        <f t="shared" si="32"/>
        <v>1</v>
      </c>
      <c r="AT611" s="96" t="s">
        <v>2506</v>
      </c>
      <c r="AU611" s="96" t="s">
        <v>2507</v>
      </c>
      <c r="AV611" s="96">
        <v>0.19</v>
      </c>
      <c r="AW611" s="97">
        <v>45586</v>
      </c>
      <c r="AX611" s="96"/>
      <c r="AY611" s="98"/>
      <c r="AZ611" s="96"/>
      <c r="BA611" s="96" t="s">
        <v>1356</v>
      </c>
      <c r="BB611" s="96"/>
      <c r="BC611" s="98"/>
      <c r="BD611" s="96"/>
      <c r="BE611" s="98"/>
      <c r="BF611" s="96"/>
      <c r="BG611" s="96" t="s">
        <v>1356</v>
      </c>
      <c r="BH611" s="96"/>
      <c r="BI611" s="98"/>
      <c r="BJ611" s="96"/>
      <c r="BK611" s="98"/>
      <c r="BL611" s="96"/>
      <c r="BM611" s="96" t="s">
        <v>1356</v>
      </c>
      <c r="BN611" s="96"/>
      <c r="BO611" s="98"/>
      <c r="BP611" s="96"/>
      <c r="BQ611" s="98"/>
      <c r="BR611" s="96"/>
      <c r="BS611" s="96" t="s">
        <v>1356</v>
      </c>
      <c r="BT611" s="96"/>
      <c r="BU611" s="98"/>
      <c r="BV611" s="96"/>
      <c r="BW611" s="98"/>
      <c r="BX611" s="117"/>
      <c r="BY611" s="117" t="s">
        <v>1356</v>
      </c>
      <c r="BZ611" s="117"/>
      <c r="CA611" s="118"/>
      <c r="CB611" s="117"/>
      <c r="CC611" s="118"/>
      <c r="CD611" s="117"/>
      <c r="CE611" s="117" t="s">
        <v>1356</v>
      </c>
      <c r="CF611" s="117"/>
      <c r="CG611" s="118"/>
      <c r="CH611" s="117"/>
      <c r="CI611" s="118"/>
      <c r="CJ611" s="117"/>
      <c r="CK611" s="117" t="s">
        <v>1356</v>
      </c>
      <c r="CL611" s="117"/>
      <c r="CM611" s="118"/>
      <c r="CN611" s="117"/>
      <c r="CO611" s="118"/>
      <c r="CP611" s="117"/>
      <c r="CQ611" s="117" t="s">
        <v>1356</v>
      </c>
      <c r="CR611" s="117"/>
      <c r="CS611" s="118"/>
      <c r="CT611" s="117"/>
      <c r="CU611" s="118"/>
      <c r="CV611" s="117"/>
      <c r="CW611" s="117" t="s">
        <v>1356</v>
      </c>
      <c r="CX611" s="117"/>
      <c r="CY611" s="118"/>
      <c r="CZ611" s="117"/>
      <c r="DA611" s="118"/>
      <c r="DB611" s="52" t="s">
        <v>6962</v>
      </c>
      <c r="DC611" s="57" t="s">
        <v>105</v>
      </c>
    </row>
    <row r="612" spans="1:107" s="40" customFormat="1" x14ac:dyDescent="0.3">
      <c r="A612" s="35" t="s">
        <v>4219</v>
      </c>
      <c r="B612" s="35" t="s">
        <v>6144</v>
      </c>
      <c r="C612" s="35" t="s">
        <v>6145</v>
      </c>
      <c r="D612" s="35" t="s">
        <v>6146</v>
      </c>
      <c r="E612" s="35" t="s">
        <v>6147</v>
      </c>
      <c r="F612" s="35" t="s">
        <v>3036</v>
      </c>
      <c r="G612" s="35" t="s">
        <v>4237</v>
      </c>
      <c r="H612" s="27" t="s">
        <v>686</v>
      </c>
      <c r="I612" s="62">
        <v>907</v>
      </c>
      <c r="J612" s="62">
        <v>90750</v>
      </c>
      <c r="K612" s="63">
        <v>4</v>
      </c>
      <c r="L612" s="35" t="s">
        <v>6148</v>
      </c>
      <c r="M612" s="35"/>
      <c r="N612" s="35"/>
      <c r="O612" s="35"/>
      <c r="P612" s="35"/>
      <c r="Q612" s="35"/>
      <c r="R612" s="35" t="s">
        <v>60</v>
      </c>
      <c r="S612" s="35"/>
      <c r="T612" s="35" t="s">
        <v>6149</v>
      </c>
      <c r="U612" s="35"/>
      <c r="V612" s="35" t="s">
        <v>5439</v>
      </c>
      <c r="W612" s="35" t="s">
        <v>6150</v>
      </c>
      <c r="X612" s="35" t="s">
        <v>6151</v>
      </c>
      <c r="Y612" s="35" t="s">
        <v>6152</v>
      </c>
      <c r="Z612" s="35"/>
      <c r="AA612" s="35"/>
      <c r="AB612" s="35">
        <v>90750046</v>
      </c>
      <c r="AC612" s="35">
        <v>90750046010</v>
      </c>
      <c r="AD612" s="35">
        <v>90750046010001</v>
      </c>
      <c r="AE612" s="63">
        <v>5</v>
      </c>
      <c r="AF612" s="63" t="s">
        <v>772</v>
      </c>
      <c r="AG612" s="29" t="s">
        <v>65</v>
      </c>
      <c r="AH612" s="75"/>
      <c r="AI612" s="65" t="s">
        <v>65</v>
      </c>
      <c r="AJ612" s="32" t="s">
        <v>6939</v>
      </c>
      <c r="AK612" s="33" t="s">
        <v>92</v>
      </c>
      <c r="AL612" s="34"/>
      <c r="AM612" s="35"/>
      <c r="AN612" s="35"/>
      <c r="AO612" s="35"/>
      <c r="AP612" s="35"/>
      <c r="AQ612" s="37">
        <f t="shared" si="30"/>
        <v>0</v>
      </c>
      <c r="AR612" s="38">
        <f t="shared" si="31"/>
        <v>0</v>
      </c>
      <c r="AS612" s="39">
        <f t="shared" si="32"/>
        <v>0</v>
      </c>
      <c r="AT612" s="99"/>
      <c r="AU612" s="99" t="s">
        <v>1356</v>
      </c>
      <c r="AV612" s="99"/>
      <c r="AW612" s="100"/>
      <c r="AX612" s="99"/>
      <c r="AY612" s="101"/>
      <c r="AZ612" s="99"/>
      <c r="BA612" s="99" t="s">
        <v>1356</v>
      </c>
      <c r="BB612" s="99"/>
      <c r="BC612" s="101"/>
      <c r="BD612" s="99"/>
      <c r="BE612" s="101"/>
      <c r="BF612" s="99"/>
      <c r="BG612" s="99" t="s">
        <v>1356</v>
      </c>
      <c r="BH612" s="99"/>
      <c r="BI612" s="101"/>
      <c r="BJ612" s="99"/>
      <c r="BK612" s="101"/>
      <c r="BL612" s="99"/>
      <c r="BM612" s="99" t="s">
        <v>1356</v>
      </c>
      <c r="BN612" s="99"/>
      <c r="BO612" s="101"/>
      <c r="BP612" s="99"/>
      <c r="BQ612" s="101"/>
      <c r="BR612" s="99"/>
      <c r="BS612" s="99" t="s">
        <v>1356</v>
      </c>
      <c r="BT612" s="99"/>
      <c r="BU612" s="101"/>
      <c r="BV612" s="99"/>
      <c r="BW612" s="101"/>
      <c r="BX612" s="119"/>
      <c r="BY612" s="119" t="s">
        <v>1356</v>
      </c>
      <c r="BZ612" s="119"/>
      <c r="CA612" s="120"/>
      <c r="CB612" s="119"/>
      <c r="CC612" s="120"/>
      <c r="CD612" s="119"/>
      <c r="CE612" s="119" t="s">
        <v>1356</v>
      </c>
      <c r="CF612" s="119"/>
      <c r="CG612" s="120"/>
      <c r="CH612" s="119"/>
      <c r="CI612" s="120"/>
      <c r="CJ612" s="119"/>
      <c r="CK612" s="119" t="s">
        <v>1356</v>
      </c>
      <c r="CL612" s="119"/>
      <c r="CM612" s="120"/>
      <c r="CN612" s="119"/>
      <c r="CO612" s="120"/>
      <c r="CP612" s="119"/>
      <c r="CQ612" s="119" t="s">
        <v>1356</v>
      </c>
      <c r="CR612" s="119"/>
      <c r="CS612" s="120"/>
      <c r="CT612" s="119"/>
      <c r="CU612" s="120"/>
      <c r="CV612" s="119"/>
      <c r="CW612" s="119" t="s">
        <v>1356</v>
      </c>
      <c r="CX612" s="119"/>
      <c r="CY612" s="120"/>
      <c r="CZ612" s="119"/>
      <c r="DA612" s="120"/>
      <c r="DB612" s="35"/>
      <c r="DC612" s="59"/>
    </row>
    <row r="613" spans="1:107" s="40" customFormat="1" x14ac:dyDescent="0.3">
      <c r="A613" s="35" t="s">
        <v>4219</v>
      </c>
      <c r="B613" s="35" t="s">
        <v>6153</v>
      </c>
      <c r="C613" s="35" t="s">
        <v>6154</v>
      </c>
      <c r="D613" s="35" t="s">
        <v>6155</v>
      </c>
      <c r="E613" s="35" t="s">
        <v>6156</v>
      </c>
      <c r="F613" s="35" t="s">
        <v>81</v>
      </c>
      <c r="G613" s="35" t="s">
        <v>4329</v>
      </c>
      <c r="H613" s="27" t="s">
        <v>6935</v>
      </c>
      <c r="I613" s="62">
        <v>2301</v>
      </c>
      <c r="J613" s="62">
        <v>230150</v>
      </c>
      <c r="K613" s="63">
        <v>4</v>
      </c>
      <c r="L613" s="35" t="s">
        <v>6157</v>
      </c>
      <c r="M613" s="35"/>
      <c r="N613" s="35" t="s">
        <v>6158</v>
      </c>
      <c r="O613" s="35" t="s">
        <v>6159</v>
      </c>
      <c r="P613" s="35"/>
      <c r="Q613" s="35"/>
      <c r="R613" s="35" t="s">
        <v>60</v>
      </c>
      <c r="S613" s="35" t="s">
        <v>6160</v>
      </c>
      <c r="T613" s="35"/>
      <c r="U613" s="35"/>
      <c r="V613" s="35"/>
      <c r="W613" s="35" t="s">
        <v>6161</v>
      </c>
      <c r="X613" s="35" t="s">
        <v>4773</v>
      </c>
      <c r="Y613" s="35" t="s">
        <v>6162</v>
      </c>
      <c r="Z613" s="35"/>
      <c r="AA613" s="35"/>
      <c r="AB613" s="35">
        <v>230150999</v>
      </c>
      <c r="AC613" s="35">
        <v>230150999038</v>
      </c>
      <c r="AD613" s="35">
        <v>230150999038001</v>
      </c>
      <c r="AE613" s="63">
        <v>5</v>
      </c>
      <c r="AF613" s="63" t="s">
        <v>772</v>
      </c>
      <c r="AG613" s="29" t="s">
        <v>65</v>
      </c>
      <c r="AH613" s="75"/>
      <c r="AI613" s="65" t="s">
        <v>65</v>
      </c>
      <c r="AJ613" s="32" t="s">
        <v>6939</v>
      </c>
      <c r="AK613" s="33" t="s">
        <v>92</v>
      </c>
      <c r="AL613" s="34"/>
      <c r="AM613" s="35"/>
      <c r="AN613" s="35"/>
      <c r="AO613" s="35"/>
      <c r="AP613" s="35"/>
      <c r="AQ613" s="37">
        <f t="shared" si="30"/>
        <v>0</v>
      </c>
      <c r="AR613" s="38">
        <f t="shared" si="31"/>
        <v>0</v>
      </c>
      <c r="AS613" s="39">
        <f t="shared" si="32"/>
        <v>0</v>
      </c>
      <c r="AT613" s="99"/>
      <c r="AU613" s="99" t="s">
        <v>1356</v>
      </c>
      <c r="AV613" s="99"/>
      <c r="AW613" s="100"/>
      <c r="AX613" s="99"/>
      <c r="AY613" s="101"/>
      <c r="AZ613" s="99"/>
      <c r="BA613" s="99" t="s">
        <v>1356</v>
      </c>
      <c r="BB613" s="99"/>
      <c r="BC613" s="101"/>
      <c r="BD613" s="99"/>
      <c r="BE613" s="101"/>
      <c r="BF613" s="99"/>
      <c r="BG613" s="99" t="s">
        <v>1356</v>
      </c>
      <c r="BH613" s="99"/>
      <c r="BI613" s="101"/>
      <c r="BJ613" s="99"/>
      <c r="BK613" s="101"/>
      <c r="BL613" s="99"/>
      <c r="BM613" s="99" t="s">
        <v>1356</v>
      </c>
      <c r="BN613" s="99"/>
      <c r="BO613" s="101"/>
      <c r="BP613" s="99"/>
      <c r="BQ613" s="101"/>
      <c r="BR613" s="99"/>
      <c r="BS613" s="99" t="s">
        <v>1356</v>
      </c>
      <c r="BT613" s="99"/>
      <c r="BU613" s="101"/>
      <c r="BV613" s="99"/>
      <c r="BW613" s="101"/>
      <c r="BX613" s="119"/>
      <c r="BY613" s="119" t="s">
        <v>1356</v>
      </c>
      <c r="BZ613" s="119"/>
      <c r="CA613" s="120"/>
      <c r="CB613" s="119"/>
      <c r="CC613" s="120"/>
      <c r="CD613" s="119"/>
      <c r="CE613" s="119" t="s">
        <v>1356</v>
      </c>
      <c r="CF613" s="119"/>
      <c r="CG613" s="120"/>
      <c r="CH613" s="119"/>
      <c r="CI613" s="120"/>
      <c r="CJ613" s="119"/>
      <c r="CK613" s="119" t="s">
        <v>1356</v>
      </c>
      <c r="CL613" s="119"/>
      <c r="CM613" s="120"/>
      <c r="CN613" s="119"/>
      <c r="CO613" s="120"/>
      <c r="CP613" s="119"/>
      <c r="CQ613" s="119" t="s">
        <v>1356</v>
      </c>
      <c r="CR613" s="119"/>
      <c r="CS613" s="120"/>
      <c r="CT613" s="119"/>
      <c r="CU613" s="120"/>
      <c r="CV613" s="119"/>
      <c r="CW613" s="119" t="s">
        <v>1356</v>
      </c>
      <c r="CX613" s="119"/>
      <c r="CY613" s="120"/>
      <c r="CZ613" s="119"/>
      <c r="DA613" s="120"/>
      <c r="DB613" s="35"/>
      <c r="DC613" s="59"/>
    </row>
    <row r="614" spans="1:107" s="40" customFormat="1" ht="14.55" customHeight="1" x14ac:dyDescent="0.3">
      <c r="A614" s="42" t="s">
        <v>3456</v>
      </c>
      <c r="B614" s="42" t="s">
        <v>4103</v>
      </c>
      <c r="C614" s="42" t="s">
        <v>2847</v>
      </c>
      <c r="D614" s="42" t="s">
        <v>2848</v>
      </c>
      <c r="E614" s="42" t="s">
        <v>2849</v>
      </c>
      <c r="F614" s="42" t="s">
        <v>256</v>
      </c>
      <c r="G614" s="42" t="s">
        <v>1059</v>
      </c>
      <c r="H614" s="43" t="s">
        <v>6924</v>
      </c>
      <c r="I614" s="44">
        <v>1801</v>
      </c>
      <c r="J614" s="44">
        <v>180150</v>
      </c>
      <c r="K614" s="45">
        <v>4</v>
      </c>
      <c r="L614" s="42" t="s">
        <v>1586</v>
      </c>
      <c r="M614" s="42"/>
      <c r="N614" s="42" t="s">
        <v>2850</v>
      </c>
      <c r="O614" s="42"/>
      <c r="P614" s="42"/>
      <c r="Q614" s="42"/>
      <c r="R614" s="42"/>
      <c r="S614" s="42"/>
      <c r="T614" s="42"/>
      <c r="U614" s="42" t="s">
        <v>2851</v>
      </c>
      <c r="V614" s="42"/>
      <c r="W614" s="42" t="s">
        <v>2852</v>
      </c>
      <c r="X614" s="42" t="s">
        <v>2853</v>
      </c>
      <c r="Y614" s="42" t="s">
        <v>2854</v>
      </c>
      <c r="Z614" s="42">
        <v>-78.629744000000002</v>
      </c>
      <c r="AA614" s="42">
        <v>-1.2724690000000001</v>
      </c>
      <c r="AB614" s="42">
        <v>180150039</v>
      </c>
      <c r="AC614" s="42">
        <v>180150039010</v>
      </c>
      <c r="AD614" s="42">
        <v>180150039010006</v>
      </c>
      <c r="AE614" s="45">
        <v>5</v>
      </c>
      <c r="AF614" s="45" t="s">
        <v>772</v>
      </c>
      <c r="AG614" s="46" t="s">
        <v>66</v>
      </c>
      <c r="AH614" s="47" t="s">
        <v>2855</v>
      </c>
      <c r="AI614" s="48" t="s">
        <v>66</v>
      </c>
      <c r="AJ614" s="49" t="s">
        <v>6938</v>
      </c>
      <c r="AK614" s="50" t="s">
        <v>67</v>
      </c>
      <c r="AL614" s="51">
        <v>45588</v>
      </c>
      <c r="AM614" s="52" t="s">
        <v>66</v>
      </c>
      <c r="AN614" s="42"/>
      <c r="AO614" s="42"/>
      <c r="AP614" s="42"/>
      <c r="AQ614" s="53">
        <f t="shared" si="30"/>
        <v>5</v>
      </c>
      <c r="AR614" s="54">
        <f t="shared" si="31"/>
        <v>0</v>
      </c>
      <c r="AS614" s="55">
        <f t="shared" si="32"/>
        <v>5</v>
      </c>
      <c r="AT614" s="96" t="s">
        <v>2856</v>
      </c>
      <c r="AU614" s="96" t="s">
        <v>2857</v>
      </c>
      <c r="AV614" s="96">
        <v>5.42</v>
      </c>
      <c r="AW614" s="97">
        <v>45579</v>
      </c>
      <c r="AX614" s="96"/>
      <c r="AY614" s="98"/>
      <c r="AZ614" s="96" t="s">
        <v>2858</v>
      </c>
      <c r="BA614" s="96" t="s">
        <v>2859</v>
      </c>
      <c r="BB614" s="96">
        <v>1.65</v>
      </c>
      <c r="BC614" s="98">
        <v>45579</v>
      </c>
      <c r="BD614" s="96"/>
      <c r="BE614" s="98"/>
      <c r="BF614" s="96" t="s">
        <v>2860</v>
      </c>
      <c r="BG614" s="96" t="s">
        <v>2861</v>
      </c>
      <c r="BH614" s="96">
        <v>2.48</v>
      </c>
      <c r="BI614" s="98">
        <v>45579</v>
      </c>
      <c r="BJ614" s="96"/>
      <c r="BK614" s="98"/>
      <c r="BL614" s="96" t="s">
        <v>2862</v>
      </c>
      <c r="BM614" s="96" t="s">
        <v>2863</v>
      </c>
      <c r="BN614" s="96">
        <v>2.5</v>
      </c>
      <c r="BO614" s="98">
        <v>45579</v>
      </c>
      <c r="BP614" s="96"/>
      <c r="BQ614" s="98"/>
      <c r="BR614" s="96" t="s">
        <v>2864</v>
      </c>
      <c r="BS614" s="96" t="s">
        <v>2865</v>
      </c>
      <c r="BT614" s="96">
        <v>15</v>
      </c>
      <c r="BU614" s="98">
        <v>45579</v>
      </c>
      <c r="BV614" s="96"/>
      <c r="BW614" s="98"/>
      <c r="BX614" s="117"/>
      <c r="BY614" s="117" t="s">
        <v>1356</v>
      </c>
      <c r="BZ614" s="117"/>
      <c r="CA614" s="118"/>
      <c r="CB614" s="117"/>
      <c r="CC614" s="118"/>
      <c r="CD614" s="117"/>
      <c r="CE614" s="117" t="s">
        <v>1356</v>
      </c>
      <c r="CF614" s="117"/>
      <c r="CG614" s="118"/>
      <c r="CH614" s="117"/>
      <c r="CI614" s="118"/>
      <c r="CJ614" s="117"/>
      <c r="CK614" s="117" t="s">
        <v>1356</v>
      </c>
      <c r="CL614" s="117"/>
      <c r="CM614" s="118"/>
      <c r="CN614" s="117"/>
      <c r="CO614" s="118"/>
      <c r="CP614" s="117"/>
      <c r="CQ614" s="117" t="s">
        <v>1356</v>
      </c>
      <c r="CR614" s="117"/>
      <c r="CS614" s="118"/>
      <c r="CT614" s="117"/>
      <c r="CU614" s="118"/>
      <c r="CV614" s="117"/>
      <c r="CW614" s="117" t="s">
        <v>1356</v>
      </c>
      <c r="CX614" s="117"/>
      <c r="CY614" s="118"/>
      <c r="CZ614" s="117"/>
      <c r="DA614" s="118"/>
      <c r="DB614" s="52" t="s">
        <v>6962</v>
      </c>
      <c r="DC614" s="57" t="s">
        <v>105</v>
      </c>
    </row>
    <row r="615" spans="1:107" s="40" customFormat="1" ht="14.55" customHeight="1" x14ac:dyDescent="0.3">
      <c r="A615" s="42" t="s">
        <v>3456</v>
      </c>
      <c r="B615" s="42" t="s">
        <v>4106</v>
      </c>
      <c r="C615" s="42" t="s">
        <v>2892</v>
      </c>
      <c r="D615" s="42" t="s">
        <v>2893</v>
      </c>
      <c r="E615" s="42" t="s">
        <v>70</v>
      </c>
      <c r="F615" s="42" t="s">
        <v>169</v>
      </c>
      <c r="G615" s="42" t="s">
        <v>1059</v>
      </c>
      <c r="H615" s="43" t="s">
        <v>6924</v>
      </c>
      <c r="I615" s="44">
        <v>1801</v>
      </c>
      <c r="J615" s="44">
        <v>180165</v>
      </c>
      <c r="K615" s="45">
        <v>4</v>
      </c>
      <c r="L615" s="42" t="s">
        <v>2894</v>
      </c>
      <c r="M615" s="42"/>
      <c r="N615" s="42" t="s">
        <v>2463</v>
      </c>
      <c r="O615" s="42"/>
      <c r="P615" s="42"/>
      <c r="Q615" s="42"/>
      <c r="R615" s="42"/>
      <c r="S615" s="42"/>
      <c r="T615" s="42"/>
      <c r="U615" s="42"/>
      <c r="V615" s="42"/>
      <c r="W615" s="42" t="s">
        <v>2465</v>
      </c>
      <c r="X615" s="42"/>
      <c r="Y615" s="42"/>
      <c r="Z615" s="42"/>
      <c r="AA615" s="42"/>
      <c r="AB615" s="42"/>
      <c r="AC615" s="42"/>
      <c r="AD615" s="42"/>
      <c r="AE615" s="45">
        <v>5</v>
      </c>
      <c r="AF615" s="45" t="s">
        <v>772</v>
      </c>
      <c r="AG615" s="46" t="s">
        <v>66</v>
      </c>
      <c r="AH615" s="47">
        <v>30428</v>
      </c>
      <c r="AI615" s="48" t="s">
        <v>66</v>
      </c>
      <c r="AJ615" s="49" t="s">
        <v>6938</v>
      </c>
      <c r="AK615" s="50" t="s">
        <v>67</v>
      </c>
      <c r="AL615" s="56">
        <v>45588</v>
      </c>
      <c r="AM615" s="52" t="s">
        <v>66</v>
      </c>
      <c r="AN615" s="42"/>
      <c r="AO615" s="42"/>
      <c r="AP615" s="42"/>
      <c r="AQ615" s="53">
        <f t="shared" si="30"/>
        <v>5</v>
      </c>
      <c r="AR615" s="54">
        <f t="shared" si="31"/>
        <v>0</v>
      </c>
      <c r="AS615" s="55">
        <f t="shared" si="32"/>
        <v>5</v>
      </c>
      <c r="AT615" s="96" t="s">
        <v>2469</v>
      </c>
      <c r="AU615" s="96" t="s">
        <v>2470</v>
      </c>
      <c r="AV615" s="96">
        <v>16.52</v>
      </c>
      <c r="AW615" s="97">
        <v>45588</v>
      </c>
      <c r="AX615" s="96"/>
      <c r="AY615" s="98"/>
      <c r="AZ615" s="96" t="s">
        <v>2471</v>
      </c>
      <c r="BA615" s="96" t="s">
        <v>2472</v>
      </c>
      <c r="BB615" s="96">
        <v>4.6399999999999997</v>
      </c>
      <c r="BC615" s="98">
        <v>45588</v>
      </c>
      <c r="BD615" s="96"/>
      <c r="BE615" s="98"/>
      <c r="BF615" s="96" t="s">
        <v>2473</v>
      </c>
      <c r="BG615" s="96" t="s">
        <v>2474</v>
      </c>
      <c r="BH615" s="96">
        <v>33.479999999999997</v>
      </c>
      <c r="BI615" s="98">
        <v>45588</v>
      </c>
      <c r="BJ615" s="96"/>
      <c r="BK615" s="98"/>
      <c r="BL615" s="96" t="s">
        <v>1720</v>
      </c>
      <c r="BM615" s="96" t="s">
        <v>1721</v>
      </c>
      <c r="BN615" s="96">
        <v>16.899999999999999</v>
      </c>
      <c r="BO615" s="98">
        <v>45588</v>
      </c>
      <c r="BP615" s="96"/>
      <c r="BQ615" s="98"/>
      <c r="BR615" s="96" t="s">
        <v>2475</v>
      </c>
      <c r="BS615" s="96" t="s">
        <v>2476</v>
      </c>
      <c r="BT615" s="96">
        <v>29.02</v>
      </c>
      <c r="BU615" s="98">
        <v>45588</v>
      </c>
      <c r="BV615" s="96"/>
      <c r="BW615" s="98"/>
      <c r="BX615" s="117"/>
      <c r="BY615" s="117" t="s">
        <v>1356</v>
      </c>
      <c r="BZ615" s="117"/>
      <c r="CA615" s="118"/>
      <c r="CB615" s="117"/>
      <c r="CC615" s="118"/>
      <c r="CD615" s="117"/>
      <c r="CE615" s="117" t="s">
        <v>1356</v>
      </c>
      <c r="CF615" s="117"/>
      <c r="CG615" s="118"/>
      <c r="CH615" s="117"/>
      <c r="CI615" s="118"/>
      <c r="CJ615" s="117"/>
      <c r="CK615" s="117" t="s">
        <v>1356</v>
      </c>
      <c r="CL615" s="117"/>
      <c r="CM615" s="118"/>
      <c r="CN615" s="117"/>
      <c r="CO615" s="118"/>
      <c r="CP615" s="117"/>
      <c r="CQ615" s="117" t="s">
        <v>1356</v>
      </c>
      <c r="CR615" s="117"/>
      <c r="CS615" s="118"/>
      <c r="CT615" s="117"/>
      <c r="CU615" s="118"/>
      <c r="CV615" s="117"/>
      <c r="CW615" s="117" t="s">
        <v>1356</v>
      </c>
      <c r="CX615" s="117"/>
      <c r="CY615" s="118"/>
      <c r="CZ615" s="117"/>
      <c r="DA615" s="118"/>
      <c r="DB615" s="52" t="s">
        <v>6962</v>
      </c>
      <c r="DC615" s="57" t="s">
        <v>105</v>
      </c>
    </row>
    <row r="616" spans="1:107" s="40" customFormat="1" ht="14.55" customHeight="1" x14ac:dyDescent="0.3">
      <c r="A616" s="42" t="s">
        <v>4108</v>
      </c>
      <c r="B616" s="42" t="s">
        <v>4173</v>
      </c>
      <c r="C616" s="42" t="s">
        <v>4174</v>
      </c>
      <c r="D616" s="42" t="s">
        <v>3094</v>
      </c>
      <c r="E616" s="42" t="s">
        <v>70</v>
      </c>
      <c r="F616" s="42" t="s">
        <v>327</v>
      </c>
      <c r="G616" s="42" t="s">
        <v>404</v>
      </c>
      <c r="H616" s="43" t="s">
        <v>6930</v>
      </c>
      <c r="I616" s="44">
        <v>101</v>
      </c>
      <c r="J616" s="44">
        <v>10170</v>
      </c>
      <c r="K616" s="45">
        <v>4</v>
      </c>
      <c r="L616" s="42" t="s">
        <v>3095</v>
      </c>
      <c r="M616" s="42" t="s">
        <v>258</v>
      </c>
      <c r="N616" s="42" t="s">
        <v>3096</v>
      </c>
      <c r="O616" s="42"/>
      <c r="P616" s="42"/>
      <c r="Q616" s="42" t="s">
        <v>3097</v>
      </c>
      <c r="R616" s="42" t="s">
        <v>60</v>
      </c>
      <c r="S616" s="42"/>
      <c r="T616" s="42"/>
      <c r="U616" s="42" t="s">
        <v>3098</v>
      </c>
      <c r="V616" s="42"/>
      <c r="W616" s="42" t="s">
        <v>3099</v>
      </c>
      <c r="X616" s="42"/>
      <c r="Y616" s="42" t="s">
        <v>3100</v>
      </c>
      <c r="Z616" s="42"/>
      <c r="AA616" s="42"/>
      <c r="AB616" s="42">
        <v>10170999</v>
      </c>
      <c r="AC616" s="42">
        <v>10170999016</v>
      </c>
      <c r="AD616" s="42"/>
      <c r="AE616" s="45">
        <v>4</v>
      </c>
      <c r="AF616" s="45" t="s">
        <v>499</v>
      </c>
      <c r="AG616" s="46" t="s">
        <v>66</v>
      </c>
      <c r="AH616" s="47" t="s">
        <v>3101</v>
      </c>
      <c r="AI616" s="48" t="s">
        <v>66</v>
      </c>
      <c r="AJ616" s="49" t="s">
        <v>6938</v>
      </c>
      <c r="AK616" s="50" t="s">
        <v>67</v>
      </c>
      <c r="AL616" s="51">
        <v>45588</v>
      </c>
      <c r="AM616" s="52" t="s">
        <v>66</v>
      </c>
      <c r="AN616" s="42"/>
      <c r="AO616" s="42"/>
      <c r="AP616" s="42"/>
      <c r="AQ616" s="53">
        <f t="shared" si="30"/>
        <v>1</v>
      </c>
      <c r="AR616" s="54">
        <f t="shared" si="31"/>
        <v>0</v>
      </c>
      <c r="AS616" s="55">
        <f t="shared" si="32"/>
        <v>1</v>
      </c>
      <c r="AT616" s="96" t="s">
        <v>3102</v>
      </c>
      <c r="AU616" s="96" t="s">
        <v>3350</v>
      </c>
      <c r="AV616" s="96">
        <v>2.7</v>
      </c>
      <c r="AW616" s="97">
        <v>45588</v>
      </c>
      <c r="AX616" s="96">
        <v>2.68</v>
      </c>
      <c r="AY616" s="98">
        <v>45622</v>
      </c>
      <c r="AZ616" s="96"/>
      <c r="BA616" s="96" t="s">
        <v>1356</v>
      </c>
      <c r="BB616" s="96"/>
      <c r="BC616" s="98"/>
      <c r="BD616" s="96"/>
      <c r="BE616" s="98"/>
      <c r="BF616" s="96"/>
      <c r="BG616" s="96" t="s">
        <v>1356</v>
      </c>
      <c r="BH616" s="96"/>
      <c r="BI616" s="98"/>
      <c r="BJ616" s="96"/>
      <c r="BK616" s="98"/>
      <c r="BL616" s="96"/>
      <c r="BM616" s="96" t="s">
        <v>1356</v>
      </c>
      <c r="BN616" s="96"/>
      <c r="BO616" s="98"/>
      <c r="BP616" s="96"/>
      <c r="BQ616" s="98"/>
      <c r="BR616" s="96"/>
      <c r="BS616" s="96" t="s">
        <v>1356</v>
      </c>
      <c r="BT616" s="96"/>
      <c r="BU616" s="98"/>
      <c r="BV616" s="96"/>
      <c r="BW616" s="98"/>
      <c r="BX616" s="117"/>
      <c r="BY616" s="117" t="s">
        <v>1356</v>
      </c>
      <c r="BZ616" s="117"/>
      <c r="CA616" s="118"/>
      <c r="CB616" s="117"/>
      <c r="CC616" s="118"/>
      <c r="CD616" s="117"/>
      <c r="CE616" s="117" t="s">
        <v>1356</v>
      </c>
      <c r="CF616" s="117"/>
      <c r="CG616" s="118"/>
      <c r="CH616" s="117"/>
      <c r="CI616" s="118"/>
      <c r="CJ616" s="117"/>
      <c r="CK616" s="117" t="s">
        <v>1356</v>
      </c>
      <c r="CL616" s="117"/>
      <c r="CM616" s="118"/>
      <c r="CN616" s="117"/>
      <c r="CO616" s="118"/>
      <c r="CP616" s="117"/>
      <c r="CQ616" s="117" t="s">
        <v>1356</v>
      </c>
      <c r="CR616" s="117"/>
      <c r="CS616" s="118"/>
      <c r="CT616" s="117"/>
      <c r="CU616" s="118"/>
      <c r="CV616" s="117"/>
      <c r="CW616" s="117" t="s">
        <v>1356</v>
      </c>
      <c r="CX616" s="117"/>
      <c r="CY616" s="118"/>
      <c r="CZ616" s="117"/>
      <c r="DA616" s="118"/>
      <c r="DB616" s="52" t="s">
        <v>6962</v>
      </c>
      <c r="DC616" s="57" t="s">
        <v>105</v>
      </c>
    </row>
    <row r="617" spans="1:107" s="40" customFormat="1" x14ac:dyDescent="0.3">
      <c r="A617" s="35" t="s">
        <v>4219</v>
      </c>
      <c r="B617" s="35" t="s">
        <v>6192</v>
      </c>
      <c r="C617" s="35" t="s">
        <v>6193</v>
      </c>
      <c r="D617" s="35" t="s">
        <v>6194</v>
      </c>
      <c r="E617" s="35" t="s">
        <v>6195</v>
      </c>
      <c r="F617" s="35" t="s">
        <v>4289</v>
      </c>
      <c r="G617" s="35" t="s">
        <v>461</v>
      </c>
      <c r="H617" s="27" t="s">
        <v>6933</v>
      </c>
      <c r="I617" s="62">
        <v>1321</v>
      </c>
      <c r="J617" s="62">
        <v>132150</v>
      </c>
      <c r="K617" s="63">
        <v>4</v>
      </c>
      <c r="L617" s="35" t="s">
        <v>5861</v>
      </c>
      <c r="M617" s="35"/>
      <c r="N617" s="35" t="s">
        <v>6196</v>
      </c>
      <c r="O617" s="35" t="s">
        <v>608</v>
      </c>
      <c r="P617" s="35" t="s">
        <v>6197</v>
      </c>
      <c r="Q617" s="35"/>
      <c r="R617" s="35"/>
      <c r="S617" s="35"/>
      <c r="T617" s="35"/>
      <c r="U617" s="35" t="s">
        <v>6198</v>
      </c>
      <c r="V617" s="35"/>
      <c r="W617" s="35" t="s">
        <v>6199</v>
      </c>
      <c r="X617" s="35" t="s">
        <v>6200</v>
      </c>
      <c r="Y617" s="35" t="s">
        <v>6201</v>
      </c>
      <c r="Z617" s="35"/>
      <c r="AA617" s="35"/>
      <c r="AB617" s="35">
        <v>132150003</v>
      </c>
      <c r="AC617" s="35">
        <v>132150003012</v>
      </c>
      <c r="AD617" s="35">
        <v>132150003012016</v>
      </c>
      <c r="AE617" s="63">
        <v>5</v>
      </c>
      <c r="AF617" s="63" t="s">
        <v>772</v>
      </c>
      <c r="AG617" s="29" t="s">
        <v>65</v>
      </c>
      <c r="AH617" s="75"/>
      <c r="AI617" s="65" t="s">
        <v>66</v>
      </c>
      <c r="AJ617" s="32" t="s">
        <v>6938</v>
      </c>
      <c r="AK617" s="33" t="s">
        <v>67</v>
      </c>
      <c r="AL617" s="34">
        <v>45573</v>
      </c>
      <c r="AM617" s="35" t="s">
        <v>66</v>
      </c>
      <c r="AN617" s="35"/>
      <c r="AO617" s="35"/>
      <c r="AP617" s="35"/>
      <c r="AQ617" s="37">
        <f t="shared" si="30"/>
        <v>0</v>
      </c>
      <c r="AR617" s="38">
        <f t="shared" si="31"/>
        <v>0</v>
      </c>
      <c r="AS617" s="39">
        <f t="shared" si="32"/>
        <v>0</v>
      </c>
      <c r="AT617" s="99"/>
      <c r="AU617" s="99" t="s">
        <v>1356</v>
      </c>
      <c r="AV617" s="99"/>
      <c r="AW617" s="100"/>
      <c r="AX617" s="99"/>
      <c r="AY617" s="101"/>
      <c r="AZ617" s="99"/>
      <c r="BA617" s="99" t="s">
        <v>1356</v>
      </c>
      <c r="BB617" s="99"/>
      <c r="BC617" s="101"/>
      <c r="BD617" s="99"/>
      <c r="BE617" s="101"/>
      <c r="BF617" s="99"/>
      <c r="BG617" s="99" t="s">
        <v>1356</v>
      </c>
      <c r="BH617" s="99"/>
      <c r="BI617" s="101"/>
      <c r="BJ617" s="99"/>
      <c r="BK617" s="101"/>
      <c r="BL617" s="99"/>
      <c r="BM617" s="99" t="s">
        <v>1356</v>
      </c>
      <c r="BN617" s="99"/>
      <c r="BO617" s="101"/>
      <c r="BP617" s="99"/>
      <c r="BQ617" s="101"/>
      <c r="BR617" s="99"/>
      <c r="BS617" s="99" t="s">
        <v>1356</v>
      </c>
      <c r="BT617" s="99"/>
      <c r="BU617" s="101"/>
      <c r="BV617" s="99"/>
      <c r="BW617" s="101"/>
      <c r="BX617" s="119"/>
      <c r="BY617" s="119" t="s">
        <v>1356</v>
      </c>
      <c r="BZ617" s="119"/>
      <c r="CA617" s="120"/>
      <c r="CB617" s="119"/>
      <c r="CC617" s="120"/>
      <c r="CD617" s="119"/>
      <c r="CE617" s="119" t="s">
        <v>1356</v>
      </c>
      <c r="CF617" s="119"/>
      <c r="CG617" s="120"/>
      <c r="CH617" s="119"/>
      <c r="CI617" s="120"/>
      <c r="CJ617" s="119"/>
      <c r="CK617" s="119" t="s">
        <v>1356</v>
      </c>
      <c r="CL617" s="119"/>
      <c r="CM617" s="120"/>
      <c r="CN617" s="119"/>
      <c r="CO617" s="120"/>
      <c r="CP617" s="119"/>
      <c r="CQ617" s="119" t="s">
        <v>1356</v>
      </c>
      <c r="CR617" s="119"/>
      <c r="CS617" s="120"/>
      <c r="CT617" s="119"/>
      <c r="CU617" s="120"/>
      <c r="CV617" s="119"/>
      <c r="CW617" s="119" t="s">
        <v>1356</v>
      </c>
      <c r="CX617" s="119"/>
      <c r="CY617" s="120"/>
      <c r="CZ617" s="119"/>
      <c r="DA617" s="120"/>
      <c r="DB617" s="36" t="s">
        <v>7085</v>
      </c>
      <c r="DC617" s="59" t="s">
        <v>6751</v>
      </c>
    </row>
    <row r="618" spans="1:107" s="40" customFormat="1" ht="14.55" customHeight="1" x14ac:dyDescent="0.3">
      <c r="A618" s="42" t="s">
        <v>4219</v>
      </c>
      <c r="B618" s="42" t="s">
        <v>5732</v>
      </c>
      <c r="C618" s="42" t="s">
        <v>5733</v>
      </c>
      <c r="D618" s="42" t="s">
        <v>5734</v>
      </c>
      <c r="E618" s="42" t="s">
        <v>5735</v>
      </c>
      <c r="F618" s="42" t="s">
        <v>319</v>
      </c>
      <c r="G618" s="42" t="s">
        <v>4237</v>
      </c>
      <c r="H618" s="43" t="s">
        <v>686</v>
      </c>
      <c r="I618" s="44">
        <v>901</v>
      </c>
      <c r="J618" s="44">
        <v>90150</v>
      </c>
      <c r="K618" s="45">
        <v>4</v>
      </c>
      <c r="L618" s="42" t="s">
        <v>5024</v>
      </c>
      <c r="M618" s="42"/>
      <c r="N618" s="42" t="s">
        <v>810</v>
      </c>
      <c r="O618" s="42" t="s">
        <v>4964</v>
      </c>
      <c r="P618" s="42"/>
      <c r="Q618" s="42"/>
      <c r="R618" s="42" t="s">
        <v>60</v>
      </c>
      <c r="S618" s="42"/>
      <c r="T618" s="42"/>
      <c r="U618" s="42"/>
      <c r="V618" s="42"/>
      <c r="W618" s="42" t="s">
        <v>5736</v>
      </c>
      <c r="X618" s="42" t="s">
        <v>5737</v>
      </c>
      <c r="Y618" s="42" t="s">
        <v>5738</v>
      </c>
      <c r="Z618" s="42"/>
      <c r="AA618" s="42"/>
      <c r="AB618" s="42">
        <v>90150681</v>
      </c>
      <c r="AC618" s="42">
        <v>90150681009</v>
      </c>
      <c r="AD618" s="42">
        <v>90150681009004</v>
      </c>
      <c r="AE618" s="45">
        <v>5</v>
      </c>
      <c r="AF618" s="45" t="s">
        <v>772</v>
      </c>
      <c r="AG618" s="46" t="s">
        <v>66</v>
      </c>
      <c r="AH618" s="47" t="s">
        <v>5739</v>
      </c>
      <c r="AI618" s="48" t="s">
        <v>66</v>
      </c>
      <c r="AJ618" s="49" t="s">
        <v>6938</v>
      </c>
      <c r="AK618" s="50" t="s">
        <v>67</v>
      </c>
      <c r="AL618" s="34">
        <v>45588</v>
      </c>
      <c r="AM618" s="52" t="s">
        <v>66</v>
      </c>
      <c r="AN618" s="42"/>
      <c r="AO618" s="42"/>
      <c r="AP618" s="42"/>
      <c r="AQ618" s="53">
        <f t="shared" si="30"/>
        <v>1</v>
      </c>
      <c r="AR618" s="54">
        <f t="shared" si="31"/>
        <v>0</v>
      </c>
      <c r="AS618" s="55">
        <f t="shared" si="32"/>
        <v>1</v>
      </c>
      <c r="AT618" s="96" t="s">
        <v>6803</v>
      </c>
      <c r="AU618" s="96" t="s">
        <v>6804</v>
      </c>
      <c r="AV618" s="96">
        <v>8.17</v>
      </c>
      <c r="AW618" s="97" t="s">
        <v>6805</v>
      </c>
      <c r="AX618" s="96">
        <v>8.17</v>
      </c>
      <c r="AY618" s="98" t="s">
        <v>6806</v>
      </c>
      <c r="AZ618" s="96"/>
      <c r="BA618" s="96" t="s">
        <v>1356</v>
      </c>
      <c r="BB618" s="96"/>
      <c r="BC618" s="98"/>
      <c r="BD618" s="96"/>
      <c r="BE618" s="98"/>
      <c r="BF618" s="96"/>
      <c r="BG618" s="96" t="s">
        <v>1356</v>
      </c>
      <c r="BH618" s="96"/>
      <c r="BI618" s="98"/>
      <c r="BJ618" s="96"/>
      <c r="BK618" s="98"/>
      <c r="BL618" s="96"/>
      <c r="BM618" s="96" t="s">
        <v>1356</v>
      </c>
      <c r="BN618" s="96"/>
      <c r="BO618" s="98"/>
      <c r="BP618" s="96"/>
      <c r="BQ618" s="98"/>
      <c r="BR618" s="96"/>
      <c r="BS618" s="96" t="s">
        <v>1356</v>
      </c>
      <c r="BT618" s="96"/>
      <c r="BU618" s="98"/>
      <c r="BV618" s="96"/>
      <c r="BW618" s="98"/>
      <c r="BX618" s="117"/>
      <c r="BY618" s="117" t="s">
        <v>1356</v>
      </c>
      <c r="BZ618" s="117"/>
      <c r="CA618" s="118"/>
      <c r="CB618" s="117"/>
      <c r="CC618" s="118"/>
      <c r="CD618" s="117"/>
      <c r="CE618" s="117" t="s">
        <v>1356</v>
      </c>
      <c r="CF618" s="117"/>
      <c r="CG618" s="118"/>
      <c r="CH618" s="117"/>
      <c r="CI618" s="118"/>
      <c r="CJ618" s="117"/>
      <c r="CK618" s="117" t="s">
        <v>1356</v>
      </c>
      <c r="CL618" s="117"/>
      <c r="CM618" s="118"/>
      <c r="CN618" s="117"/>
      <c r="CO618" s="118"/>
      <c r="CP618" s="117"/>
      <c r="CQ618" s="117" t="s">
        <v>1356</v>
      </c>
      <c r="CR618" s="117"/>
      <c r="CS618" s="118"/>
      <c r="CT618" s="117"/>
      <c r="CU618" s="118"/>
      <c r="CV618" s="117"/>
      <c r="CW618" s="117" t="s">
        <v>1356</v>
      </c>
      <c r="CX618" s="117"/>
      <c r="CY618" s="118"/>
      <c r="CZ618" s="117"/>
      <c r="DA618" s="118"/>
      <c r="DB618" s="52" t="s">
        <v>6962</v>
      </c>
      <c r="DC618" s="57" t="s">
        <v>105</v>
      </c>
    </row>
    <row r="619" spans="1:107" s="40" customFormat="1" x14ac:dyDescent="0.3">
      <c r="A619" s="35" t="s">
        <v>4219</v>
      </c>
      <c r="B619" s="35" t="s">
        <v>6210</v>
      </c>
      <c r="C619" s="35" t="s">
        <v>6211</v>
      </c>
      <c r="D619" s="35" t="s">
        <v>6212</v>
      </c>
      <c r="E619" s="35" t="s">
        <v>6213</v>
      </c>
      <c r="F619" s="35" t="s">
        <v>71</v>
      </c>
      <c r="G619" s="35" t="s">
        <v>4237</v>
      </c>
      <c r="H619" s="27" t="s">
        <v>686</v>
      </c>
      <c r="I619" s="62">
        <v>907</v>
      </c>
      <c r="J619" s="62">
        <v>90750</v>
      </c>
      <c r="K619" s="63">
        <v>4</v>
      </c>
      <c r="L619" s="35" t="s">
        <v>6214</v>
      </c>
      <c r="M619" s="35"/>
      <c r="N619" s="35"/>
      <c r="O619" s="35" t="s">
        <v>1526</v>
      </c>
      <c r="P619" s="35"/>
      <c r="Q619" s="35"/>
      <c r="R619" s="35" t="s">
        <v>60</v>
      </c>
      <c r="S619" s="35"/>
      <c r="T619" s="35" t="s">
        <v>6215</v>
      </c>
      <c r="U619" s="35"/>
      <c r="V619" s="35"/>
      <c r="W619" s="35" t="s">
        <v>6216</v>
      </c>
      <c r="X619" s="35" t="s">
        <v>6217</v>
      </c>
      <c r="Y619" s="35" t="s">
        <v>6218</v>
      </c>
      <c r="Z619" s="35"/>
      <c r="AA619" s="35"/>
      <c r="AB619" s="35">
        <v>90750072</v>
      </c>
      <c r="AC619" s="35">
        <v>90750072004</v>
      </c>
      <c r="AD619" s="35">
        <v>90750072004011</v>
      </c>
      <c r="AE619" s="63">
        <v>5</v>
      </c>
      <c r="AF619" s="63" t="s">
        <v>772</v>
      </c>
      <c r="AG619" s="29" t="s">
        <v>65</v>
      </c>
      <c r="AH619" s="75"/>
      <c r="AI619" s="65" t="s">
        <v>65</v>
      </c>
      <c r="AJ619" s="32" t="s">
        <v>6939</v>
      </c>
      <c r="AK619" s="33" t="s">
        <v>92</v>
      </c>
      <c r="AL619" s="34"/>
      <c r="AM619" s="35"/>
      <c r="AN619" s="35"/>
      <c r="AO619" s="35"/>
      <c r="AP619" s="35"/>
      <c r="AQ619" s="37">
        <f t="shared" si="30"/>
        <v>0</v>
      </c>
      <c r="AR619" s="38">
        <f t="shared" si="31"/>
        <v>0</v>
      </c>
      <c r="AS619" s="39">
        <f t="shared" si="32"/>
        <v>0</v>
      </c>
      <c r="AT619" s="99"/>
      <c r="AU619" s="99" t="s">
        <v>1356</v>
      </c>
      <c r="AV619" s="99"/>
      <c r="AW619" s="100"/>
      <c r="AX619" s="99"/>
      <c r="AY619" s="101"/>
      <c r="AZ619" s="99"/>
      <c r="BA619" s="99" t="s">
        <v>1356</v>
      </c>
      <c r="BB619" s="99"/>
      <c r="BC619" s="101"/>
      <c r="BD619" s="99"/>
      <c r="BE619" s="101"/>
      <c r="BF619" s="99"/>
      <c r="BG619" s="99" t="s">
        <v>1356</v>
      </c>
      <c r="BH619" s="99"/>
      <c r="BI619" s="101"/>
      <c r="BJ619" s="99"/>
      <c r="BK619" s="101"/>
      <c r="BL619" s="99"/>
      <c r="BM619" s="99" t="s">
        <v>1356</v>
      </c>
      <c r="BN619" s="99"/>
      <c r="BO619" s="101"/>
      <c r="BP619" s="99"/>
      <c r="BQ619" s="101"/>
      <c r="BR619" s="99"/>
      <c r="BS619" s="99" t="s">
        <v>1356</v>
      </c>
      <c r="BT619" s="99"/>
      <c r="BU619" s="101"/>
      <c r="BV619" s="99"/>
      <c r="BW619" s="101"/>
      <c r="BX619" s="119"/>
      <c r="BY619" s="119" t="s">
        <v>1356</v>
      </c>
      <c r="BZ619" s="119"/>
      <c r="CA619" s="120"/>
      <c r="CB619" s="119"/>
      <c r="CC619" s="120"/>
      <c r="CD619" s="119"/>
      <c r="CE619" s="119" t="s">
        <v>1356</v>
      </c>
      <c r="CF619" s="119"/>
      <c r="CG619" s="120"/>
      <c r="CH619" s="119"/>
      <c r="CI619" s="120"/>
      <c r="CJ619" s="119"/>
      <c r="CK619" s="119" t="s">
        <v>1356</v>
      </c>
      <c r="CL619" s="119"/>
      <c r="CM619" s="120"/>
      <c r="CN619" s="119"/>
      <c r="CO619" s="120"/>
      <c r="CP619" s="119"/>
      <c r="CQ619" s="119" t="s">
        <v>1356</v>
      </c>
      <c r="CR619" s="119"/>
      <c r="CS619" s="120"/>
      <c r="CT619" s="119"/>
      <c r="CU619" s="120"/>
      <c r="CV619" s="119"/>
      <c r="CW619" s="119" t="s">
        <v>1356</v>
      </c>
      <c r="CX619" s="119"/>
      <c r="CY619" s="120"/>
      <c r="CZ619" s="119"/>
      <c r="DA619" s="120"/>
      <c r="DB619" s="35"/>
      <c r="DC619" s="59"/>
    </row>
    <row r="620" spans="1:107" s="40" customFormat="1" ht="14.55" customHeight="1" x14ac:dyDescent="0.3">
      <c r="A620" s="35" t="s">
        <v>4219</v>
      </c>
      <c r="B620" s="35" t="s">
        <v>5768</v>
      </c>
      <c r="C620" s="35" t="s">
        <v>5769</v>
      </c>
      <c r="D620" s="35" t="s">
        <v>5770</v>
      </c>
      <c r="E620" s="35" t="s">
        <v>5771</v>
      </c>
      <c r="F620" s="35" t="s">
        <v>190</v>
      </c>
      <c r="G620" s="35" t="s">
        <v>4237</v>
      </c>
      <c r="H620" s="27" t="s">
        <v>686</v>
      </c>
      <c r="I620" s="62">
        <v>901</v>
      </c>
      <c r="J620" s="62">
        <v>90150</v>
      </c>
      <c r="K620" s="63">
        <v>4</v>
      </c>
      <c r="L620" s="35" t="s">
        <v>4899</v>
      </c>
      <c r="M620" s="35"/>
      <c r="N620" s="35" t="s">
        <v>810</v>
      </c>
      <c r="O620" s="35" t="s">
        <v>1537</v>
      </c>
      <c r="P620" s="35"/>
      <c r="Q620" s="35"/>
      <c r="R620" s="35" t="s">
        <v>60</v>
      </c>
      <c r="S620" s="35"/>
      <c r="T620" s="35"/>
      <c r="U620" s="35" t="s">
        <v>5772</v>
      </c>
      <c r="V620" s="35"/>
      <c r="W620" s="35" t="s">
        <v>5773</v>
      </c>
      <c r="X620" s="35" t="s">
        <v>5774</v>
      </c>
      <c r="Y620" s="35" t="s">
        <v>5775</v>
      </c>
      <c r="Z620" s="35">
        <v>-79.966746999999998</v>
      </c>
      <c r="AA620" s="35">
        <v>-2.0015770000000002</v>
      </c>
      <c r="AB620" s="35">
        <v>90150690</v>
      </c>
      <c r="AC620" s="35">
        <v>90150690005</v>
      </c>
      <c r="AD620" s="35">
        <v>90150690005006</v>
      </c>
      <c r="AE620" s="63">
        <v>5</v>
      </c>
      <c r="AF620" s="63" t="s">
        <v>772</v>
      </c>
      <c r="AG620" s="46" t="s">
        <v>66</v>
      </c>
      <c r="AH620" s="64">
        <v>80179</v>
      </c>
      <c r="AI620" s="65" t="s">
        <v>66</v>
      </c>
      <c r="AJ620" s="32" t="s">
        <v>6938</v>
      </c>
      <c r="AK620" s="33" t="s">
        <v>67</v>
      </c>
      <c r="AL620" s="58">
        <v>45588</v>
      </c>
      <c r="AM620" s="52" t="s">
        <v>66</v>
      </c>
      <c r="AN620" s="35"/>
      <c r="AO620" s="35"/>
      <c r="AP620" s="35"/>
      <c r="AQ620" s="37">
        <f t="shared" si="30"/>
        <v>1</v>
      </c>
      <c r="AR620" s="38">
        <f t="shared" si="31"/>
        <v>0</v>
      </c>
      <c r="AS620" s="39">
        <f t="shared" si="32"/>
        <v>1</v>
      </c>
      <c r="AT620" s="99" t="s">
        <v>7060</v>
      </c>
      <c r="AU620" s="99" t="s">
        <v>7061</v>
      </c>
      <c r="AV620" s="99">
        <v>460</v>
      </c>
      <c r="AW620" s="100">
        <v>45597</v>
      </c>
      <c r="AX620" s="99"/>
      <c r="AY620" s="101"/>
      <c r="AZ620" s="99"/>
      <c r="BA620" s="99" t="s">
        <v>1356</v>
      </c>
      <c r="BB620" s="99"/>
      <c r="BC620" s="101"/>
      <c r="BD620" s="99"/>
      <c r="BE620" s="101"/>
      <c r="BF620" s="99"/>
      <c r="BG620" s="99" t="s">
        <v>1356</v>
      </c>
      <c r="BH620" s="99"/>
      <c r="BI620" s="101"/>
      <c r="BJ620" s="99"/>
      <c r="BK620" s="101"/>
      <c r="BL620" s="99"/>
      <c r="BM620" s="99" t="s">
        <v>1356</v>
      </c>
      <c r="BN620" s="99"/>
      <c r="BO620" s="101"/>
      <c r="BP620" s="99"/>
      <c r="BQ620" s="101"/>
      <c r="BR620" s="99"/>
      <c r="BS620" s="99" t="s">
        <v>1356</v>
      </c>
      <c r="BT620" s="99"/>
      <c r="BU620" s="101"/>
      <c r="BV620" s="99"/>
      <c r="BW620" s="101"/>
      <c r="BX620" s="119"/>
      <c r="BY620" s="119" t="s">
        <v>1356</v>
      </c>
      <c r="BZ620" s="119"/>
      <c r="CA620" s="120"/>
      <c r="CB620" s="119"/>
      <c r="CC620" s="120"/>
      <c r="CD620" s="119"/>
      <c r="CE620" s="119" t="s">
        <v>1356</v>
      </c>
      <c r="CF620" s="119"/>
      <c r="CG620" s="120"/>
      <c r="CH620" s="119"/>
      <c r="CI620" s="120"/>
      <c r="CJ620" s="119"/>
      <c r="CK620" s="119" t="s">
        <v>1356</v>
      </c>
      <c r="CL620" s="119"/>
      <c r="CM620" s="120"/>
      <c r="CN620" s="119"/>
      <c r="CO620" s="120"/>
      <c r="CP620" s="119"/>
      <c r="CQ620" s="119" t="s">
        <v>1356</v>
      </c>
      <c r="CR620" s="119"/>
      <c r="CS620" s="120"/>
      <c r="CT620" s="119"/>
      <c r="CU620" s="120"/>
      <c r="CV620" s="119"/>
      <c r="CW620" s="119" t="s">
        <v>1356</v>
      </c>
      <c r="CX620" s="119"/>
      <c r="CY620" s="120"/>
      <c r="CZ620" s="119"/>
      <c r="DA620" s="120"/>
      <c r="DB620" s="52" t="s">
        <v>6962</v>
      </c>
      <c r="DC620" s="59" t="s">
        <v>105</v>
      </c>
    </row>
    <row r="621" spans="1:107" s="40" customFormat="1" ht="14.55" customHeight="1" x14ac:dyDescent="0.3">
      <c r="A621" s="35" t="s">
        <v>4219</v>
      </c>
      <c r="B621" s="35" t="s">
        <v>6226</v>
      </c>
      <c r="C621" s="35" t="s">
        <v>6227</v>
      </c>
      <c r="D621" s="35" t="s">
        <v>6228</v>
      </c>
      <c r="E621" s="35" t="s">
        <v>6229</v>
      </c>
      <c r="F621" s="35" t="s">
        <v>3036</v>
      </c>
      <c r="G621" s="35" t="s">
        <v>4237</v>
      </c>
      <c r="H621" s="27" t="s">
        <v>686</v>
      </c>
      <c r="I621" s="62">
        <v>901</v>
      </c>
      <c r="J621" s="62">
        <v>90150</v>
      </c>
      <c r="K621" s="63">
        <v>4</v>
      </c>
      <c r="L621" s="35" t="s">
        <v>5407</v>
      </c>
      <c r="M621" s="35" t="s">
        <v>258</v>
      </c>
      <c r="N621" s="35" t="s">
        <v>258</v>
      </c>
      <c r="O621" s="35" t="s">
        <v>6230</v>
      </c>
      <c r="P621" s="35"/>
      <c r="Q621" s="35"/>
      <c r="R621" s="35" t="s">
        <v>60</v>
      </c>
      <c r="S621" s="35" t="s">
        <v>653</v>
      </c>
      <c r="T621" s="35"/>
      <c r="U621" s="35"/>
      <c r="V621" s="35" t="s">
        <v>60</v>
      </c>
      <c r="W621" s="35" t="s">
        <v>6231</v>
      </c>
      <c r="X621" s="35" t="s">
        <v>6232</v>
      </c>
      <c r="Y621" s="35" t="s">
        <v>6233</v>
      </c>
      <c r="Z621" s="35">
        <v>-80.073339000000004</v>
      </c>
      <c r="AA621" s="35">
        <v>-2.2122099999999998</v>
      </c>
      <c r="AB621" s="35">
        <v>90150217</v>
      </c>
      <c r="AC621" s="35">
        <v>90150217001</v>
      </c>
      <c r="AD621" s="35">
        <v>90150217001010</v>
      </c>
      <c r="AE621" s="63">
        <v>5</v>
      </c>
      <c r="AF621" s="63" t="s">
        <v>772</v>
      </c>
      <c r="AG621" s="29" t="s">
        <v>65</v>
      </c>
      <c r="AH621" s="75"/>
      <c r="AI621" s="65" t="s">
        <v>65</v>
      </c>
      <c r="AJ621" s="32" t="s">
        <v>6938</v>
      </c>
      <c r="AK621" s="33" t="s">
        <v>92</v>
      </c>
      <c r="AL621" s="58">
        <v>45587</v>
      </c>
      <c r="AM621" s="35"/>
      <c r="AN621" s="35"/>
      <c r="AO621" s="35"/>
      <c r="AP621" s="35"/>
      <c r="AQ621" s="37">
        <f t="shared" si="30"/>
        <v>0</v>
      </c>
      <c r="AR621" s="38">
        <f t="shared" si="31"/>
        <v>0</v>
      </c>
      <c r="AS621" s="39">
        <f t="shared" si="32"/>
        <v>0</v>
      </c>
      <c r="AT621" s="99"/>
      <c r="AU621" s="99" t="s">
        <v>1356</v>
      </c>
      <c r="AV621" s="99"/>
      <c r="AW621" s="100"/>
      <c r="AX621" s="99"/>
      <c r="AY621" s="101"/>
      <c r="AZ621" s="99"/>
      <c r="BA621" s="99" t="s">
        <v>1356</v>
      </c>
      <c r="BB621" s="99"/>
      <c r="BC621" s="101"/>
      <c r="BD621" s="99"/>
      <c r="BE621" s="101"/>
      <c r="BF621" s="99"/>
      <c r="BG621" s="99" t="s">
        <v>1356</v>
      </c>
      <c r="BH621" s="99"/>
      <c r="BI621" s="101"/>
      <c r="BJ621" s="99"/>
      <c r="BK621" s="101"/>
      <c r="BL621" s="99"/>
      <c r="BM621" s="99" t="s">
        <v>1356</v>
      </c>
      <c r="BN621" s="99"/>
      <c r="BO621" s="101"/>
      <c r="BP621" s="99"/>
      <c r="BQ621" s="101"/>
      <c r="BR621" s="99"/>
      <c r="BS621" s="99" t="s">
        <v>1356</v>
      </c>
      <c r="BT621" s="99"/>
      <c r="BU621" s="101"/>
      <c r="BV621" s="99"/>
      <c r="BW621" s="101"/>
      <c r="BX621" s="119"/>
      <c r="BY621" s="119" t="s">
        <v>1356</v>
      </c>
      <c r="BZ621" s="119"/>
      <c r="CA621" s="120"/>
      <c r="CB621" s="119"/>
      <c r="CC621" s="120"/>
      <c r="CD621" s="119"/>
      <c r="CE621" s="119" t="s">
        <v>1356</v>
      </c>
      <c r="CF621" s="119"/>
      <c r="CG621" s="120"/>
      <c r="CH621" s="119"/>
      <c r="CI621" s="120"/>
      <c r="CJ621" s="119"/>
      <c r="CK621" s="119" t="s">
        <v>1356</v>
      </c>
      <c r="CL621" s="119"/>
      <c r="CM621" s="120"/>
      <c r="CN621" s="119"/>
      <c r="CO621" s="120"/>
      <c r="CP621" s="119"/>
      <c r="CQ621" s="119" t="s">
        <v>1356</v>
      </c>
      <c r="CR621" s="119"/>
      <c r="CS621" s="120"/>
      <c r="CT621" s="119"/>
      <c r="CU621" s="120"/>
      <c r="CV621" s="119"/>
      <c r="CW621" s="119" t="s">
        <v>1356</v>
      </c>
      <c r="CX621" s="119"/>
      <c r="CY621" s="120"/>
      <c r="CZ621" s="119"/>
      <c r="DA621" s="120"/>
      <c r="DB621" s="36" t="s">
        <v>7085</v>
      </c>
      <c r="DC621" s="59" t="s">
        <v>92</v>
      </c>
    </row>
    <row r="622" spans="1:107" s="40" customFormat="1" ht="14.55" customHeight="1" x14ac:dyDescent="0.3">
      <c r="A622" s="35" t="s">
        <v>4219</v>
      </c>
      <c r="B622" s="35" t="s">
        <v>5865</v>
      </c>
      <c r="C622" s="35" t="s">
        <v>5866</v>
      </c>
      <c r="D622" s="35" t="s">
        <v>5867</v>
      </c>
      <c r="E622" s="35" t="s">
        <v>5868</v>
      </c>
      <c r="F622" s="35" t="s">
        <v>4289</v>
      </c>
      <c r="G622" s="35" t="s">
        <v>461</v>
      </c>
      <c r="H622" s="27" t="s">
        <v>6933</v>
      </c>
      <c r="I622" s="62">
        <v>1321</v>
      </c>
      <c r="J622" s="62">
        <v>132150</v>
      </c>
      <c r="K622" s="63">
        <v>4</v>
      </c>
      <c r="L622" s="35" t="s">
        <v>5869</v>
      </c>
      <c r="M622" s="35"/>
      <c r="N622" s="35"/>
      <c r="O622" s="35" t="s">
        <v>4655</v>
      </c>
      <c r="P622" s="35"/>
      <c r="Q622" s="35"/>
      <c r="R622" s="35"/>
      <c r="S622" s="35"/>
      <c r="T622" s="35"/>
      <c r="U622" s="35"/>
      <c r="V622" s="35"/>
      <c r="W622" s="35" t="s">
        <v>5870</v>
      </c>
      <c r="X622" s="35"/>
      <c r="Y622" s="35" t="s">
        <v>5871</v>
      </c>
      <c r="Z622" s="35">
        <v>-80.640256583701557</v>
      </c>
      <c r="AA622" s="35">
        <v>-0.94493024304672479</v>
      </c>
      <c r="AB622" s="35">
        <v>132150001</v>
      </c>
      <c r="AC622" s="35">
        <v>132150001005</v>
      </c>
      <c r="AD622" s="35">
        <v>132150001005005</v>
      </c>
      <c r="AE622" s="63">
        <v>5</v>
      </c>
      <c r="AF622" s="63" t="s">
        <v>772</v>
      </c>
      <c r="AG622" s="46" t="s">
        <v>66</v>
      </c>
      <c r="AH622" s="64">
        <v>80113</v>
      </c>
      <c r="AI622" s="65" t="s">
        <v>66</v>
      </c>
      <c r="AJ622" s="32" t="s">
        <v>6938</v>
      </c>
      <c r="AK622" s="33" t="s">
        <v>67</v>
      </c>
      <c r="AL622" s="34">
        <v>45588</v>
      </c>
      <c r="AM622" s="52" t="s">
        <v>66</v>
      </c>
      <c r="AN622" s="35"/>
      <c r="AO622" s="35"/>
      <c r="AP622" s="35"/>
      <c r="AQ622" s="37">
        <f t="shared" si="30"/>
        <v>4</v>
      </c>
      <c r="AR622" s="38">
        <f t="shared" si="31"/>
        <v>0</v>
      </c>
      <c r="AS622" s="39">
        <f t="shared" si="32"/>
        <v>4</v>
      </c>
      <c r="AT622" s="99" t="s">
        <v>6132</v>
      </c>
      <c r="AU622" s="99" t="s">
        <v>6133</v>
      </c>
      <c r="AV622" s="99">
        <v>2900</v>
      </c>
      <c r="AW622" s="100">
        <v>45627</v>
      </c>
      <c r="AX622" s="99"/>
      <c r="AY622" s="101"/>
      <c r="AZ622" s="99" t="s">
        <v>4315</v>
      </c>
      <c r="BA622" s="99" t="s">
        <v>6995</v>
      </c>
      <c r="BB622" s="99">
        <v>1150</v>
      </c>
      <c r="BC622" s="101">
        <v>45597</v>
      </c>
      <c r="BD622" s="99"/>
      <c r="BE622" s="101"/>
      <c r="BF622" s="99" t="s">
        <v>4315</v>
      </c>
      <c r="BG622" s="99" t="s">
        <v>6995</v>
      </c>
      <c r="BH622" s="99">
        <v>1250</v>
      </c>
      <c r="BI622" s="101">
        <v>45597</v>
      </c>
      <c r="BJ622" s="99"/>
      <c r="BK622" s="101"/>
      <c r="BL622" s="99" t="s">
        <v>4315</v>
      </c>
      <c r="BM622" s="99" t="s">
        <v>6995</v>
      </c>
      <c r="BN622" s="99">
        <v>1350</v>
      </c>
      <c r="BO622" s="101">
        <v>45597</v>
      </c>
      <c r="BP622" s="99"/>
      <c r="BQ622" s="101"/>
      <c r="BR622" s="99"/>
      <c r="BS622" s="99" t="s">
        <v>1356</v>
      </c>
      <c r="BT622" s="99"/>
      <c r="BU622" s="101"/>
      <c r="BV622" s="99"/>
      <c r="BW622" s="101"/>
      <c r="BX622" s="119"/>
      <c r="BY622" s="119" t="s">
        <v>1356</v>
      </c>
      <c r="BZ622" s="119"/>
      <c r="CA622" s="120"/>
      <c r="CB622" s="119"/>
      <c r="CC622" s="120"/>
      <c r="CD622" s="119"/>
      <c r="CE622" s="119" t="s">
        <v>1356</v>
      </c>
      <c r="CF622" s="119"/>
      <c r="CG622" s="120"/>
      <c r="CH622" s="119"/>
      <c r="CI622" s="120"/>
      <c r="CJ622" s="119"/>
      <c r="CK622" s="119" t="s">
        <v>1356</v>
      </c>
      <c r="CL622" s="119"/>
      <c r="CM622" s="120"/>
      <c r="CN622" s="119"/>
      <c r="CO622" s="120"/>
      <c r="CP622" s="119"/>
      <c r="CQ622" s="119" t="s">
        <v>1356</v>
      </c>
      <c r="CR622" s="119"/>
      <c r="CS622" s="120"/>
      <c r="CT622" s="119"/>
      <c r="CU622" s="120"/>
      <c r="CV622" s="119"/>
      <c r="CW622" s="119" t="s">
        <v>1356</v>
      </c>
      <c r="CX622" s="119"/>
      <c r="CY622" s="120"/>
      <c r="CZ622" s="119"/>
      <c r="DA622" s="120"/>
      <c r="DB622" s="52" t="s">
        <v>6962</v>
      </c>
      <c r="DC622" s="59" t="s">
        <v>105</v>
      </c>
    </row>
    <row r="623" spans="1:107" s="40" customFormat="1" x14ac:dyDescent="0.3">
      <c r="A623" s="35" t="s">
        <v>4219</v>
      </c>
      <c r="B623" s="35" t="s">
        <v>6240</v>
      </c>
      <c r="C623" s="35" t="s">
        <v>6241</v>
      </c>
      <c r="D623" s="35" t="s">
        <v>6242</v>
      </c>
      <c r="E623" s="35" t="s">
        <v>6242</v>
      </c>
      <c r="F623" s="35" t="s">
        <v>233</v>
      </c>
      <c r="G623" s="35" t="s">
        <v>4237</v>
      </c>
      <c r="H623" s="27" t="s">
        <v>686</v>
      </c>
      <c r="I623" s="62">
        <v>907</v>
      </c>
      <c r="J623" s="62">
        <v>90750</v>
      </c>
      <c r="K623" s="63">
        <v>4</v>
      </c>
      <c r="L623" s="35" t="s">
        <v>6243</v>
      </c>
      <c r="M623" s="35" t="s">
        <v>258</v>
      </c>
      <c r="N623" s="35"/>
      <c r="O623" s="35" t="s">
        <v>766</v>
      </c>
      <c r="P623" s="35"/>
      <c r="Q623" s="35"/>
      <c r="R623" s="35" t="s">
        <v>60</v>
      </c>
      <c r="S623" s="35"/>
      <c r="T623" s="35"/>
      <c r="U623" s="35"/>
      <c r="V623" s="35" t="s">
        <v>6244</v>
      </c>
      <c r="W623" s="35" t="s">
        <v>6245</v>
      </c>
      <c r="X623" s="35" t="s">
        <v>6246</v>
      </c>
      <c r="Y623" s="35" t="s">
        <v>6247</v>
      </c>
      <c r="Z623" s="35"/>
      <c r="AA623" s="35"/>
      <c r="AB623" s="35">
        <v>90750067</v>
      </c>
      <c r="AC623" s="35">
        <v>90750067009</v>
      </c>
      <c r="AD623" s="35">
        <v>90750067009007</v>
      </c>
      <c r="AE623" s="63">
        <v>5</v>
      </c>
      <c r="AF623" s="63" t="s">
        <v>772</v>
      </c>
      <c r="AG623" s="29" t="s">
        <v>65</v>
      </c>
      <c r="AH623" s="75"/>
      <c r="AI623" s="65" t="s">
        <v>66</v>
      </c>
      <c r="AJ623" s="32" t="s">
        <v>6938</v>
      </c>
      <c r="AK623" s="33" t="s">
        <v>67</v>
      </c>
      <c r="AL623" s="58">
        <v>45573</v>
      </c>
      <c r="AM623" s="35" t="s">
        <v>66</v>
      </c>
      <c r="AN623" s="35"/>
      <c r="AO623" s="35"/>
      <c r="AP623" s="35"/>
      <c r="AQ623" s="37">
        <f t="shared" si="30"/>
        <v>0</v>
      </c>
      <c r="AR623" s="38">
        <f t="shared" si="31"/>
        <v>0</v>
      </c>
      <c r="AS623" s="39">
        <f t="shared" si="32"/>
        <v>0</v>
      </c>
      <c r="AT623" s="99"/>
      <c r="AU623" s="99" t="s">
        <v>1356</v>
      </c>
      <c r="AV623" s="99"/>
      <c r="AW623" s="100"/>
      <c r="AX623" s="99"/>
      <c r="AY623" s="101"/>
      <c r="AZ623" s="99"/>
      <c r="BA623" s="99" t="s">
        <v>1356</v>
      </c>
      <c r="BB623" s="99"/>
      <c r="BC623" s="101"/>
      <c r="BD623" s="99"/>
      <c r="BE623" s="101"/>
      <c r="BF623" s="99"/>
      <c r="BG623" s="99" t="s">
        <v>1356</v>
      </c>
      <c r="BH623" s="99"/>
      <c r="BI623" s="101"/>
      <c r="BJ623" s="99"/>
      <c r="BK623" s="101"/>
      <c r="BL623" s="99"/>
      <c r="BM623" s="99" t="s">
        <v>1356</v>
      </c>
      <c r="BN623" s="99"/>
      <c r="BO623" s="101"/>
      <c r="BP623" s="99"/>
      <c r="BQ623" s="101"/>
      <c r="BR623" s="99"/>
      <c r="BS623" s="99" t="s">
        <v>1356</v>
      </c>
      <c r="BT623" s="99"/>
      <c r="BU623" s="101"/>
      <c r="BV623" s="99"/>
      <c r="BW623" s="101"/>
      <c r="BX623" s="119"/>
      <c r="BY623" s="119" t="s">
        <v>1356</v>
      </c>
      <c r="BZ623" s="119"/>
      <c r="CA623" s="120"/>
      <c r="CB623" s="119"/>
      <c r="CC623" s="120"/>
      <c r="CD623" s="119"/>
      <c r="CE623" s="119" t="s">
        <v>1356</v>
      </c>
      <c r="CF623" s="119"/>
      <c r="CG623" s="120"/>
      <c r="CH623" s="119"/>
      <c r="CI623" s="120"/>
      <c r="CJ623" s="119"/>
      <c r="CK623" s="119" t="s">
        <v>1356</v>
      </c>
      <c r="CL623" s="119"/>
      <c r="CM623" s="120"/>
      <c r="CN623" s="119"/>
      <c r="CO623" s="120"/>
      <c r="CP623" s="119"/>
      <c r="CQ623" s="119" t="s">
        <v>1356</v>
      </c>
      <c r="CR623" s="119"/>
      <c r="CS623" s="120"/>
      <c r="CT623" s="119"/>
      <c r="CU623" s="120"/>
      <c r="CV623" s="119"/>
      <c r="CW623" s="119" t="s">
        <v>1356</v>
      </c>
      <c r="CX623" s="119"/>
      <c r="CY623" s="120"/>
      <c r="CZ623" s="119"/>
      <c r="DA623" s="120"/>
      <c r="DB623" s="36" t="s">
        <v>7085</v>
      </c>
      <c r="DC623" s="59" t="s">
        <v>105</v>
      </c>
    </row>
    <row r="624" spans="1:107" s="40" customFormat="1" x14ac:dyDescent="0.3">
      <c r="A624" s="35" t="s">
        <v>4219</v>
      </c>
      <c r="B624" s="35" t="s">
        <v>6248</v>
      </c>
      <c r="C624" s="35" t="s">
        <v>6249</v>
      </c>
      <c r="D624" s="35" t="s">
        <v>6250</v>
      </c>
      <c r="E624" s="35" t="s">
        <v>6251</v>
      </c>
      <c r="F624" s="35" t="s">
        <v>319</v>
      </c>
      <c r="G624" s="35" t="s">
        <v>4237</v>
      </c>
      <c r="H624" s="27" t="s">
        <v>686</v>
      </c>
      <c r="I624" s="62">
        <v>920</v>
      </c>
      <c r="J624" s="62">
        <v>92050</v>
      </c>
      <c r="K624" s="63">
        <v>4</v>
      </c>
      <c r="L624" s="35" t="s">
        <v>6252</v>
      </c>
      <c r="M624" s="35"/>
      <c r="N624" s="35" t="s">
        <v>810</v>
      </c>
      <c r="O624" s="35" t="s">
        <v>1319</v>
      </c>
      <c r="P624" s="35"/>
      <c r="Q624" s="35"/>
      <c r="R624" s="35" t="s">
        <v>60</v>
      </c>
      <c r="S624" s="35"/>
      <c r="T624" s="35"/>
      <c r="U624" s="35" t="s">
        <v>6253</v>
      </c>
      <c r="V624" s="35"/>
      <c r="W624" s="35" t="s">
        <v>6254</v>
      </c>
      <c r="X624" s="35"/>
      <c r="Y624" s="35" t="s">
        <v>6255</v>
      </c>
      <c r="Z624" s="35"/>
      <c r="AA624" s="35"/>
      <c r="AB624" s="35">
        <v>92050999</v>
      </c>
      <c r="AC624" s="35">
        <v>92050999029</v>
      </c>
      <c r="AD624" s="35"/>
      <c r="AE624" s="63">
        <v>5</v>
      </c>
      <c r="AF624" s="63" t="s">
        <v>772</v>
      </c>
      <c r="AG624" s="29" t="s">
        <v>65</v>
      </c>
      <c r="AH624" s="75"/>
      <c r="AI624" s="65" t="s">
        <v>66</v>
      </c>
      <c r="AJ624" s="32" t="s">
        <v>6938</v>
      </c>
      <c r="AK624" s="33" t="s">
        <v>67</v>
      </c>
      <c r="AL624" s="34">
        <v>45575</v>
      </c>
      <c r="AM624" s="35" t="s">
        <v>66</v>
      </c>
      <c r="AN624" s="35"/>
      <c r="AO624" s="35"/>
      <c r="AP624" s="35"/>
      <c r="AQ624" s="37">
        <f t="shared" si="30"/>
        <v>0</v>
      </c>
      <c r="AR624" s="38">
        <f t="shared" si="31"/>
        <v>0</v>
      </c>
      <c r="AS624" s="39">
        <f t="shared" si="32"/>
        <v>0</v>
      </c>
      <c r="AT624" s="99"/>
      <c r="AU624" s="99" t="s">
        <v>1356</v>
      </c>
      <c r="AV624" s="99"/>
      <c r="AW624" s="100"/>
      <c r="AX624" s="99"/>
      <c r="AY624" s="101"/>
      <c r="AZ624" s="99"/>
      <c r="BA624" s="99" t="s">
        <v>1356</v>
      </c>
      <c r="BB624" s="99"/>
      <c r="BC624" s="101"/>
      <c r="BD624" s="99"/>
      <c r="BE624" s="101"/>
      <c r="BF624" s="99"/>
      <c r="BG624" s="99" t="s">
        <v>1356</v>
      </c>
      <c r="BH624" s="99"/>
      <c r="BI624" s="101"/>
      <c r="BJ624" s="99"/>
      <c r="BK624" s="101"/>
      <c r="BL624" s="99"/>
      <c r="BM624" s="99" t="s">
        <v>1356</v>
      </c>
      <c r="BN624" s="99"/>
      <c r="BO624" s="101"/>
      <c r="BP624" s="99"/>
      <c r="BQ624" s="101"/>
      <c r="BR624" s="99"/>
      <c r="BS624" s="99" t="s">
        <v>1356</v>
      </c>
      <c r="BT624" s="99"/>
      <c r="BU624" s="101"/>
      <c r="BV624" s="99"/>
      <c r="BW624" s="101"/>
      <c r="BX624" s="119"/>
      <c r="BY624" s="119" t="s">
        <v>1356</v>
      </c>
      <c r="BZ624" s="119"/>
      <c r="CA624" s="120"/>
      <c r="CB624" s="119"/>
      <c r="CC624" s="120"/>
      <c r="CD624" s="119"/>
      <c r="CE624" s="119" t="s">
        <v>1356</v>
      </c>
      <c r="CF624" s="119"/>
      <c r="CG624" s="120"/>
      <c r="CH624" s="119"/>
      <c r="CI624" s="120"/>
      <c r="CJ624" s="119"/>
      <c r="CK624" s="119" t="s">
        <v>1356</v>
      </c>
      <c r="CL624" s="119"/>
      <c r="CM624" s="120"/>
      <c r="CN624" s="119"/>
      <c r="CO624" s="120"/>
      <c r="CP624" s="119"/>
      <c r="CQ624" s="119" t="s">
        <v>1356</v>
      </c>
      <c r="CR624" s="119"/>
      <c r="CS624" s="120"/>
      <c r="CT624" s="119"/>
      <c r="CU624" s="120"/>
      <c r="CV624" s="119"/>
      <c r="CW624" s="119" t="s">
        <v>1356</v>
      </c>
      <c r="CX624" s="119"/>
      <c r="CY624" s="120"/>
      <c r="CZ624" s="119"/>
      <c r="DA624" s="120"/>
      <c r="DB624" s="36" t="s">
        <v>7085</v>
      </c>
      <c r="DC624" s="59" t="s">
        <v>2935</v>
      </c>
    </row>
    <row r="625" spans="1:107" s="40" customFormat="1" ht="14.55" customHeight="1" x14ac:dyDescent="0.3">
      <c r="A625" s="66" t="s">
        <v>3500</v>
      </c>
      <c r="B625" s="66" t="s">
        <v>3834</v>
      </c>
      <c r="C625" s="66" t="s">
        <v>3835</v>
      </c>
      <c r="D625" s="66" t="s">
        <v>1713</v>
      </c>
      <c r="E625" s="66" t="s">
        <v>1714</v>
      </c>
      <c r="F625" s="66" t="s">
        <v>169</v>
      </c>
      <c r="G625" s="68" t="s">
        <v>72</v>
      </c>
      <c r="H625" s="43" t="s">
        <v>251</v>
      </c>
      <c r="I625" s="68">
        <v>1701</v>
      </c>
      <c r="J625" s="68">
        <v>170155</v>
      </c>
      <c r="K625" s="69">
        <v>4</v>
      </c>
      <c r="L625" s="66" t="s">
        <v>1715</v>
      </c>
      <c r="M625" s="66" t="s">
        <v>1716</v>
      </c>
      <c r="N625" s="66" t="s">
        <v>1717</v>
      </c>
      <c r="O625" s="66"/>
      <c r="P625" s="66"/>
      <c r="Q625" s="66"/>
      <c r="R625" s="66"/>
      <c r="S625" s="66"/>
      <c r="T625" s="66"/>
      <c r="U625" s="66"/>
      <c r="V625" s="66"/>
      <c r="W625" s="66"/>
      <c r="X625" s="66" t="s">
        <v>1718</v>
      </c>
      <c r="Y625" s="66" t="s">
        <v>1719</v>
      </c>
      <c r="Z625" s="66">
        <v>-78.438879999999997</v>
      </c>
      <c r="AA625" s="66">
        <v>-8.4460999999999994E-2</v>
      </c>
      <c r="AB625" s="66">
        <v>170155019</v>
      </c>
      <c r="AC625" s="66">
        <v>170155019007</v>
      </c>
      <c r="AD625" s="66">
        <v>170155019007003</v>
      </c>
      <c r="AE625" s="69">
        <v>3</v>
      </c>
      <c r="AF625" s="69" t="s">
        <v>377</v>
      </c>
      <c r="AG625" s="46" t="s">
        <v>66</v>
      </c>
      <c r="AH625" s="70" t="s">
        <v>6942</v>
      </c>
      <c r="AI625" s="71" t="s">
        <v>66</v>
      </c>
      <c r="AJ625" s="49" t="s">
        <v>6938</v>
      </c>
      <c r="AK625" s="50" t="s">
        <v>67</v>
      </c>
      <c r="AL625" s="58">
        <v>45589</v>
      </c>
      <c r="AM625" s="52" t="s">
        <v>66</v>
      </c>
      <c r="AN625" s="52"/>
      <c r="AO625" s="52"/>
      <c r="AP625" s="52"/>
      <c r="AQ625" s="53">
        <f t="shared" si="30"/>
        <v>3</v>
      </c>
      <c r="AR625" s="54">
        <f t="shared" si="31"/>
        <v>0</v>
      </c>
      <c r="AS625" s="55">
        <f t="shared" si="32"/>
        <v>3</v>
      </c>
      <c r="AT625" s="102" t="s">
        <v>1720</v>
      </c>
      <c r="AU625" s="103" t="s">
        <v>1721</v>
      </c>
      <c r="AV625" s="104">
        <v>6.5</v>
      </c>
      <c r="AW625" s="105">
        <v>45589</v>
      </c>
      <c r="AX625" s="104"/>
      <c r="AY625" s="106"/>
      <c r="AZ625" s="102" t="s">
        <v>1720</v>
      </c>
      <c r="BA625" s="103" t="s">
        <v>1721</v>
      </c>
      <c r="BB625" s="104">
        <v>9.5</v>
      </c>
      <c r="BC625" s="106">
        <v>45589</v>
      </c>
      <c r="BD625" s="104"/>
      <c r="BE625" s="106"/>
      <c r="BF625" s="102" t="s">
        <v>1722</v>
      </c>
      <c r="BG625" s="103" t="s">
        <v>1723</v>
      </c>
      <c r="BH625" s="104">
        <v>16.5</v>
      </c>
      <c r="BI625" s="106">
        <v>45589</v>
      </c>
      <c r="BJ625" s="104"/>
      <c r="BK625" s="106"/>
      <c r="BL625" s="102"/>
      <c r="BM625" s="103" t="s">
        <v>1356</v>
      </c>
      <c r="BN625" s="104"/>
      <c r="BO625" s="106"/>
      <c r="BP625" s="104"/>
      <c r="BQ625" s="106"/>
      <c r="BR625" s="102"/>
      <c r="BS625" s="103" t="s">
        <v>1356</v>
      </c>
      <c r="BT625" s="104"/>
      <c r="BU625" s="106"/>
      <c r="BV625" s="104"/>
      <c r="BW625" s="106"/>
      <c r="BX625" s="121"/>
      <c r="BY625" s="122" t="s">
        <v>1356</v>
      </c>
      <c r="BZ625" s="123"/>
      <c r="CA625" s="124"/>
      <c r="CB625" s="123"/>
      <c r="CC625" s="124"/>
      <c r="CD625" s="121"/>
      <c r="CE625" s="122" t="s">
        <v>1356</v>
      </c>
      <c r="CF625" s="123"/>
      <c r="CG625" s="124"/>
      <c r="CH625" s="123"/>
      <c r="CI625" s="124"/>
      <c r="CJ625" s="121"/>
      <c r="CK625" s="122" t="s">
        <v>1356</v>
      </c>
      <c r="CL625" s="123"/>
      <c r="CM625" s="124"/>
      <c r="CN625" s="123"/>
      <c r="CO625" s="124"/>
      <c r="CP625" s="121"/>
      <c r="CQ625" s="122" t="s">
        <v>1356</v>
      </c>
      <c r="CR625" s="123"/>
      <c r="CS625" s="124"/>
      <c r="CT625" s="123"/>
      <c r="CU625" s="124"/>
      <c r="CV625" s="121"/>
      <c r="CW625" s="122" t="s">
        <v>1356</v>
      </c>
      <c r="CX625" s="123"/>
      <c r="CY625" s="124"/>
      <c r="CZ625" s="123"/>
      <c r="DA625" s="124"/>
      <c r="DB625" s="52" t="s">
        <v>6962</v>
      </c>
      <c r="DC625" s="73" t="s">
        <v>105</v>
      </c>
    </row>
    <row r="626" spans="1:107" s="40" customFormat="1" ht="14.55" customHeight="1" x14ac:dyDescent="0.3">
      <c r="A626" s="42" t="s">
        <v>4108</v>
      </c>
      <c r="B626" s="42" t="s">
        <v>4175</v>
      </c>
      <c r="C626" s="42" t="s">
        <v>4176</v>
      </c>
      <c r="D626" s="42" t="s">
        <v>3103</v>
      </c>
      <c r="E626" s="42" t="s">
        <v>3104</v>
      </c>
      <c r="F626" s="42" t="s">
        <v>1585</v>
      </c>
      <c r="G626" s="42" t="s">
        <v>404</v>
      </c>
      <c r="H626" s="43" t="s">
        <v>6930</v>
      </c>
      <c r="I626" s="44">
        <v>101</v>
      </c>
      <c r="J626" s="44">
        <v>10150</v>
      </c>
      <c r="K626" s="45">
        <v>4</v>
      </c>
      <c r="L626" s="42" t="s">
        <v>3105</v>
      </c>
      <c r="M626" s="42" t="s">
        <v>3106</v>
      </c>
      <c r="N626" s="42" t="s">
        <v>3107</v>
      </c>
      <c r="O626" s="42"/>
      <c r="P626" s="42"/>
      <c r="Q626" s="42" t="s">
        <v>3108</v>
      </c>
      <c r="R626" s="42" t="s">
        <v>60</v>
      </c>
      <c r="S626" s="42"/>
      <c r="T626" s="42"/>
      <c r="U626" s="42" t="s">
        <v>2236</v>
      </c>
      <c r="V626" s="42"/>
      <c r="W626" s="42" t="s">
        <v>3109</v>
      </c>
      <c r="X626" s="42" t="s">
        <v>3110</v>
      </c>
      <c r="Y626" s="42" t="s">
        <v>3111</v>
      </c>
      <c r="Z626" s="42"/>
      <c r="AA626" s="42"/>
      <c r="AB626" s="42">
        <v>10150026</v>
      </c>
      <c r="AC626" s="42">
        <v>10150026008</v>
      </c>
      <c r="AD626" s="42">
        <v>10150026008017</v>
      </c>
      <c r="AE626" s="45">
        <v>5</v>
      </c>
      <c r="AF626" s="45" t="s">
        <v>772</v>
      </c>
      <c r="AG626" s="46" t="s">
        <v>66</v>
      </c>
      <c r="AH626" s="47" t="s">
        <v>3112</v>
      </c>
      <c r="AI626" s="48" t="s">
        <v>66</v>
      </c>
      <c r="AJ626" s="49" t="s">
        <v>6938</v>
      </c>
      <c r="AK626" s="50" t="s">
        <v>67</v>
      </c>
      <c r="AL626" s="51">
        <v>45589</v>
      </c>
      <c r="AM626" s="52" t="s">
        <v>66</v>
      </c>
      <c r="AN626" s="42"/>
      <c r="AO626" s="42"/>
      <c r="AP626" s="42"/>
      <c r="AQ626" s="53">
        <f t="shared" si="30"/>
        <v>3</v>
      </c>
      <c r="AR626" s="54">
        <f t="shared" si="31"/>
        <v>0</v>
      </c>
      <c r="AS626" s="55">
        <f t="shared" si="32"/>
        <v>3</v>
      </c>
      <c r="AT626" s="96" t="s">
        <v>1038</v>
      </c>
      <c r="AU626" s="96" t="s">
        <v>3351</v>
      </c>
      <c r="AV626" s="96">
        <v>197.03</v>
      </c>
      <c r="AW626" s="97">
        <v>45589</v>
      </c>
      <c r="AX626" s="96">
        <v>197.03</v>
      </c>
      <c r="AY626" s="98">
        <v>45618</v>
      </c>
      <c r="AZ626" s="96" t="s">
        <v>1037</v>
      </c>
      <c r="BA626" s="96" t="s">
        <v>1959</v>
      </c>
      <c r="BB626" s="96">
        <v>42.99</v>
      </c>
      <c r="BC626" s="98">
        <v>45589</v>
      </c>
      <c r="BD626" s="96">
        <v>42.99</v>
      </c>
      <c r="BE626" s="98">
        <v>45618</v>
      </c>
      <c r="BF626" s="96" t="s">
        <v>3113</v>
      </c>
      <c r="BG626" s="96" t="s">
        <v>3352</v>
      </c>
      <c r="BH626" s="96">
        <v>40.450000000000003</v>
      </c>
      <c r="BI626" s="98">
        <v>45589</v>
      </c>
      <c r="BJ626" s="96">
        <v>40.450000000000003</v>
      </c>
      <c r="BK626" s="98">
        <v>45618</v>
      </c>
      <c r="BL626" s="96"/>
      <c r="BM626" s="96" t="s">
        <v>1356</v>
      </c>
      <c r="BN626" s="96"/>
      <c r="BO626" s="98"/>
      <c r="BP626" s="96"/>
      <c r="BQ626" s="98"/>
      <c r="BR626" s="96"/>
      <c r="BS626" s="96" t="s">
        <v>1356</v>
      </c>
      <c r="BT626" s="96"/>
      <c r="BU626" s="98"/>
      <c r="BV626" s="96"/>
      <c r="BW626" s="98"/>
      <c r="BX626" s="117"/>
      <c r="BY626" s="117" t="s">
        <v>1356</v>
      </c>
      <c r="BZ626" s="117"/>
      <c r="CA626" s="118"/>
      <c r="CB626" s="117"/>
      <c r="CC626" s="118"/>
      <c r="CD626" s="117"/>
      <c r="CE626" s="117" t="s">
        <v>1356</v>
      </c>
      <c r="CF626" s="117"/>
      <c r="CG626" s="118"/>
      <c r="CH626" s="117"/>
      <c r="CI626" s="118"/>
      <c r="CJ626" s="117"/>
      <c r="CK626" s="117" t="s">
        <v>1356</v>
      </c>
      <c r="CL626" s="117"/>
      <c r="CM626" s="118"/>
      <c r="CN626" s="117"/>
      <c r="CO626" s="118"/>
      <c r="CP626" s="117"/>
      <c r="CQ626" s="117" t="s">
        <v>1356</v>
      </c>
      <c r="CR626" s="117"/>
      <c r="CS626" s="118"/>
      <c r="CT626" s="117"/>
      <c r="CU626" s="118"/>
      <c r="CV626" s="117"/>
      <c r="CW626" s="117" t="s">
        <v>1356</v>
      </c>
      <c r="CX626" s="117"/>
      <c r="CY626" s="118"/>
      <c r="CZ626" s="117"/>
      <c r="DA626" s="118"/>
      <c r="DB626" s="52" t="s">
        <v>6962</v>
      </c>
      <c r="DC626" s="57" t="s">
        <v>105</v>
      </c>
    </row>
    <row r="627" spans="1:107" s="40" customFormat="1" ht="14.55" customHeight="1" x14ac:dyDescent="0.3">
      <c r="A627" s="42" t="s">
        <v>4108</v>
      </c>
      <c r="B627" s="42" t="s">
        <v>4189</v>
      </c>
      <c r="C627" s="42" t="s">
        <v>4190</v>
      </c>
      <c r="D627" s="42" t="s">
        <v>3165</v>
      </c>
      <c r="E627" s="42" t="s">
        <v>3166</v>
      </c>
      <c r="F627" s="42" t="s">
        <v>108</v>
      </c>
      <c r="G627" s="42" t="s">
        <v>1688</v>
      </c>
      <c r="H627" s="43" t="s">
        <v>6931</v>
      </c>
      <c r="I627" s="44">
        <v>1101</v>
      </c>
      <c r="J627" s="44">
        <v>110150</v>
      </c>
      <c r="K627" s="45">
        <v>4</v>
      </c>
      <c r="L627" s="42" t="s">
        <v>3167</v>
      </c>
      <c r="M627" s="42"/>
      <c r="N627" s="42" t="s">
        <v>3168</v>
      </c>
      <c r="O627" s="42" t="s">
        <v>60</v>
      </c>
      <c r="P627" s="42"/>
      <c r="Q627" s="42" t="s">
        <v>3169</v>
      </c>
      <c r="R627" s="42" t="s">
        <v>60</v>
      </c>
      <c r="S627" s="42"/>
      <c r="T627" s="42"/>
      <c r="U627" s="42" t="s">
        <v>3170</v>
      </c>
      <c r="V627" s="42"/>
      <c r="W627" s="42" t="s">
        <v>3171</v>
      </c>
      <c r="X627" s="42" t="s">
        <v>3172</v>
      </c>
      <c r="Y627" s="42" t="s">
        <v>3173</v>
      </c>
      <c r="Z627" s="42">
        <v>-79.218919</v>
      </c>
      <c r="AA627" s="42">
        <v>-3.974043</v>
      </c>
      <c r="AB627" s="42">
        <v>110150014</v>
      </c>
      <c r="AC627" s="42">
        <v>110150014003</v>
      </c>
      <c r="AD627" s="42">
        <v>110150014003001</v>
      </c>
      <c r="AE627" s="45">
        <v>5</v>
      </c>
      <c r="AF627" s="45" t="s">
        <v>772</v>
      </c>
      <c r="AG627" s="46" t="s">
        <v>66</v>
      </c>
      <c r="AH627" s="47" t="s">
        <v>3174</v>
      </c>
      <c r="AI627" s="48" t="s">
        <v>66</v>
      </c>
      <c r="AJ627" s="49" t="s">
        <v>6938</v>
      </c>
      <c r="AK627" s="50" t="s">
        <v>67</v>
      </c>
      <c r="AL627" s="51">
        <v>45589</v>
      </c>
      <c r="AM627" s="52" t="s">
        <v>66</v>
      </c>
      <c r="AN627" s="42"/>
      <c r="AO627" s="42"/>
      <c r="AP627" s="42"/>
      <c r="AQ627" s="53">
        <f t="shared" si="30"/>
        <v>5</v>
      </c>
      <c r="AR627" s="54">
        <f t="shared" si="31"/>
        <v>0</v>
      </c>
      <c r="AS627" s="55">
        <f t="shared" si="32"/>
        <v>5</v>
      </c>
      <c r="AT627" s="96" t="s">
        <v>121</v>
      </c>
      <c r="AU627" s="96" t="s">
        <v>3342</v>
      </c>
      <c r="AV627" s="96">
        <v>1.81</v>
      </c>
      <c r="AW627" s="97">
        <v>45589</v>
      </c>
      <c r="AX627" s="96">
        <v>1.81</v>
      </c>
      <c r="AY627" s="98">
        <v>45616</v>
      </c>
      <c r="AZ627" s="96" t="s">
        <v>3175</v>
      </c>
      <c r="BA627" s="96" t="s">
        <v>3356</v>
      </c>
      <c r="BB627" s="96">
        <v>0.63</v>
      </c>
      <c r="BC627" s="98">
        <v>45589</v>
      </c>
      <c r="BD627" s="96">
        <v>0.63</v>
      </c>
      <c r="BE627" s="98">
        <v>45616</v>
      </c>
      <c r="BF627" s="96" t="s">
        <v>3176</v>
      </c>
      <c r="BG627" s="96" t="s">
        <v>3357</v>
      </c>
      <c r="BH627" s="96">
        <v>0.63</v>
      </c>
      <c r="BI627" s="98">
        <v>45589</v>
      </c>
      <c r="BJ627" s="96">
        <v>0.63</v>
      </c>
      <c r="BK627" s="98">
        <v>45616</v>
      </c>
      <c r="BL627" s="96" t="s">
        <v>3177</v>
      </c>
      <c r="BM627" s="96" t="s">
        <v>3358</v>
      </c>
      <c r="BN627" s="96">
        <v>0.63</v>
      </c>
      <c r="BO627" s="98">
        <v>45589</v>
      </c>
      <c r="BP627" s="96">
        <v>0.63</v>
      </c>
      <c r="BQ627" s="98">
        <v>45616</v>
      </c>
      <c r="BR627" s="96" t="s">
        <v>3178</v>
      </c>
      <c r="BS627" s="96" t="s">
        <v>3359</v>
      </c>
      <c r="BT627" s="96">
        <v>0.86</v>
      </c>
      <c r="BU627" s="98">
        <v>45589</v>
      </c>
      <c r="BV627" s="96">
        <v>0.86</v>
      </c>
      <c r="BW627" s="98">
        <v>45616</v>
      </c>
      <c r="BX627" s="117"/>
      <c r="BY627" s="117" t="s">
        <v>1356</v>
      </c>
      <c r="BZ627" s="117"/>
      <c r="CA627" s="118"/>
      <c r="CB627" s="117"/>
      <c r="CC627" s="118"/>
      <c r="CD627" s="117"/>
      <c r="CE627" s="117" t="s">
        <v>1356</v>
      </c>
      <c r="CF627" s="117"/>
      <c r="CG627" s="118"/>
      <c r="CH627" s="117"/>
      <c r="CI627" s="118"/>
      <c r="CJ627" s="117"/>
      <c r="CK627" s="117" t="s">
        <v>1356</v>
      </c>
      <c r="CL627" s="117"/>
      <c r="CM627" s="118"/>
      <c r="CN627" s="117"/>
      <c r="CO627" s="118"/>
      <c r="CP627" s="117"/>
      <c r="CQ627" s="117" t="s">
        <v>1356</v>
      </c>
      <c r="CR627" s="117"/>
      <c r="CS627" s="118"/>
      <c r="CT627" s="117"/>
      <c r="CU627" s="118"/>
      <c r="CV627" s="117"/>
      <c r="CW627" s="117" t="s">
        <v>1356</v>
      </c>
      <c r="CX627" s="117"/>
      <c r="CY627" s="118"/>
      <c r="CZ627" s="117"/>
      <c r="DA627" s="118"/>
      <c r="DB627" s="52" t="s">
        <v>6962</v>
      </c>
      <c r="DC627" s="57" t="s">
        <v>105</v>
      </c>
    </row>
    <row r="628" spans="1:107" s="40" customFormat="1" x14ac:dyDescent="0.3">
      <c r="A628" s="35" t="s">
        <v>4219</v>
      </c>
      <c r="B628" s="35" t="s">
        <v>6285</v>
      </c>
      <c r="C628" s="35" t="s">
        <v>6286</v>
      </c>
      <c r="D628" s="35" t="s">
        <v>6287</v>
      </c>
      <c r="E628" s="35" t="s">
        <v>6288</v>
      </c>
      <c r="F628" s="35" t="s">
        <v>327</v>
      </c>
      <c r="G628" s="35" t="s">
        <v>461</v>
      </c>
      <c r="H628" s="27" t="s">
        <v>6933</v>
      </c>
      <c r="I628" s="62">
        <v>1308</v>
      </c>
      <c r="J628" s="62">
        <v>130850</v>
      </c>
      <c r="K628" s="63">
        <v>4</v>
      </c>
      <c r="L628" s="35" t="s">
        <v>6289</v>
      </c>
      <c r="M628" s="35"/>
      <c r="N628" s="35" t="s">
        <v>6290</v>
      </c>
      <c r="O628" s="35"/>
      <c r="P628" s="35"/>
      <c r="Q628" s="35" t="s">
        <v>6291</v>
      </c>
      <c r="R628" s="35"/>
      <c r="S628" s="35" t="s">
        <v>6292</v>
      </c>
      <c r="T628" s="35"/>
      <c r="U628" s="35" t="s">
        <v>6293</v>
      </c>
      <c r="V628" s="35"/>
      <c r="W628" s="35"/>
      <c r="X628" s="35" t="s">
        <v>6294</v>
      </c>
      <c r="Y628" s="35" t="s">
        <v>6295</v>
      </c>
      <c r="Z628" s="35">
        <v>-80.733858999999995</v>
      </c>
      <c r="AA628" s="35">
        <v>-0.94197500000000001</v>
      </c>
      <c r="AB628" s="35">
        <v>130850006</v>
      </c>
      <c r="AC628" s="35">
        <v>130850006007</v>
      </c>
      <c r="AD628" s="35">
        <v>130850006007003</v>
      </c>
      <c r="AE628" s="63">
        <v>5</v>
      </c>
      <c r="AF628" s="63" t="s">
        <v>772</v>
      </c>
      <c r="AG628" s="29" t="s">
        <v>65</v>
      </c>
      <c r="AH628" s="75"/>
      <c r="AI628" s="65" t="s">
        <v>66</v>
      </c>
      <c r="AJ628" s="32" t="s">
        <v>6938</v>
      </c>
      <c r="AK628" s="33" t="s">
        <v>67</v>
      </c>
      <c r="AL628" s="58">
        <v>45573</v>
      </c>
      <c r="AM628" s="35" t="s">
        <v>66</v>
      </c>
      <c r="AN628" s="35"/>
      <c r="AO628" s="35"/>
      <c r="AP628" s="35"/>
      <c r="AQ628" s="37">
        <f t="shared" si="30"/>
        <v>0</v>
      </c>
      <c r="AR628" s="38">
        <f t="shared" si="31"/>
        <v>0</v>
      </c>
      <c r="AS628" s="39">
        <f t="shared" si="32"/>
        <v>0</v>
      </c>
      <c r="AT628" s="99"/>
      <c r="AU628" s="99" t="s">
        <v>1356</v>
      </c>
      <c r="AV628" s="99"/>
      <c r="AW628" s="100"/>
      <c r="AX628" s="99"/>
      <c r="AY628" s="101"/>
      <c r="AZ628" s="99"/>
      <c r="BA628" s="99" t="s">
        <v>1356</v>
      </c>
      <c r="BB628" s="99"/>
      <c r="BC628" s="101"/>
      <c r="BD628" s="99"/>
      <c r="BE628" s="101"/>
      <c r="BF628" s="99"/>
      <c r="BG628" s="99" t="s">
        <v>1356</v>
      </c>
      <c r="BH628" s="99"/>
      <c r="BI628" s="101"/>
      <c r="BJ628" s="99"/>
      <c r="BK628" s="101"/>
      <c r="BL628" s="99"/>
      <c r="BM628" s="99" t="s">
        <v>1356</v>
      </c>
      <c r="BN628" s="99"/>
      <c r="BO628" s="101"/>
      <c r="BP628" s="99"/>
      <c r="BQ628" s="101"/>
      <c r="BR628" s="99"/>
      <c r="BS628" s="99" t="s">
        <v>1356</v>
      </c>
      <c r="BT628" s="99"/>
      <c r="BU628" s="101"/>
      <c r="BV628" s="99"/>
      <c r="BW628" s="101"/>
      <c r="BX628" s="119"/>
      <c r="BY628" s="119" t="s">
        <v>1356</v>
      </c>
      <c r="BZ628" s="119"/>
      <c r="CA628" s="120"/>
      <c r="CB628" s="119"/>
      <c r="CC628" s="120"/>
      <c r="CD628" s="119"/>
      <c r="CE628" s="119" t="s">
        <v>1356</v>
      </c>
      <c r="CF628" s="119"/>
      <c r="CG628" s="120"/>
      <c r="CH628" s="119"/>
      <c r="CI628" s="120"/>
      <c r="CJ628" s="119"/>
      <c r="CK628" s="119" t="s">
        <v>1356</v>
      </c>
      <c r="CL628" s="119"/>
      <c r="CM628" s="120"/>
      <c r="CN628" s="119"/>
      <c r="CO628" s="120"/>
      <c r="CP628" s="119"/>
      <c r="CQ628" s="119" t="s">
        <v>1356</v>
      </c>
      <c r="CR628" s="119"/>
      <c r="CS628" s="120"/>
      <c r="CT628" s="119"/>
      <c r="CU628" s="120"/>
      <c r="CV628" s="119"/>
      <c r="CW628" s="119" t="s">
        <v>1356</v>
      </c>
      <c r="CX628" s="119"/>
      <c r="CY628" s="120"/>
      <c r="CZ628" s="119"/>
      <c r="DA628" s="120"/>
      <c r="DB628" s="36" t="s">
        <v>7085</v>
      </c>
      <c r="DC628" s="59" t="s">
        <v>6751</v>
      </c>
    </row>
    <row r="629" spans="1:107" s="40" customFormat="1" ht="14.55" customHeight="1" x14ac:dyDescent="0.3">
      <c r="A629" s="42" t="s">
        <v>4108</v>
      </c>
      <c r="B629" s="42" t="s">
        <v>4193</v>
      </c>
      <c r="C629" s="42" t="s">
        <v>4194</v>
      </c>
      <c r="D629" s="42" t="s">
        <v>3186</v>
      </c>
      <c r="E629" s="42" t="s">
        <v>3187</v>
      </c>
      <c r="F629" s="42" t="s">
        <v>567</v>
      </c>
      <c r="G629" s="42" t="s">
        <v>404</v>
      </c>
      <c r="H629" s="43" t="s">
        <v>6930</v>
      </c>
      <c r="I629" s="44">
        <v>101</v>
      </c>
      <c r="J629" s="44">
        <v>10150</v>
      </c>
      <c r="K629" s="45">
        <v>4</v>
      </c>
      <c r="L629" s="42" t="s">
        <v>3105</v>
      </c>
      <c r="M629" s="42" t="s">
        <v>3188</v>
      </c>
      <c r="N629" s="42" t="s">
        <v>3189</v>
      </c>
      <c r="O629" s="42"/>
      <c r="P629" s="42"/>
      <c r="Q629" s="42" t="s">
        <v>3190</v>
      </c>
      <c r="R629" s="42" t="s">
        <v>60</v>
      </c>
      <c r="S629" s="42"/>
      <c r="T629" s="42"/>
      <c r="U629" s="42" t="s">
        <v>2236</v>
      </c>
      <c r="V629" s="42"/>
      <c r="W629" s="42" t="s">
        <v>3191</v>
      </c>
      <c r="X629" s="42" t="s">
        <v>3120</v>
      </c>
      <c r="Y629" s="42" t="s">
        <v>3121</v>
      </c>
      <c r="Z629" s="42"/>
      <c r="AA629" s="42"/>
      <c r="AB629" s="42">
        <v>10150026</v>
      </c>
      <c r="AC629" s="42">
        <v>10150026008</v>
      </c>
      <c r="AD629" s="42">
        <v>10150026008014</v>
      </c>
      <c r="AE629" s="45">
        <v>5</v>
      </c>
      <c r="AF629" s="45" t="s">
        <v>772</v>
      </c>
      <c r="AG629" s="46" t="s">
        <v>66</v>
      </c>
      <c r="AH629" s="47" t="s">
        <v>3192</v>
      </c>
      <c r="AI629" s="48" t="s">
        <v>66</v>
      </c>
      <c r="AJ629" s="49" t="s">
        <v>6938</v>
      </c>
      <c r="AK629" s="50" t="s">
        <v>67</v>
      </c>
      <c r="AL629" s="51">
        <v>45589</v>
      </c>
      <c r="AM629" s="52" t="s">
        <v>66</v>
      </c>
      <c r="AN629" s="42"/>
      <c r="AO629" s="42"/>
      <c r="AP629" s="42"/>
      <c r="AQ629" s="53">
        <f t="shared" si="30"/>
        <v>3</v>
      </c>
      <c r="AR629" s="54">
        <f t="shared" si="31"/>
        <v>0</v>
      </c>
      <c r="AS629" s="55">
        <f t="shared" si="32"/>
        <v>3</v>
      </c>
      <c r="AT629" s="96" t="s">
        <v>1779</v>
      </c>
      <c r="AU629" s="96" t="s">
        <v>1780</v>
      </c>
      <c r="AV629" s="96">
        <v>12.55</v>
      </c>
      <c r="AW629" s="97">
        <v>45589</v>
      </c>
      <c r="AX629" s="96">
        <v>12.55</v>
      </c>
      <c r="AY629" s="98">
        <v>45618</v>
      </c>
      <c r="AZ629" s="96" t="s">
        <v>575</v>
      </c>
      <c r="BA629" s="96" t="s">
        <v>2635</v>
      </c>
      <c r="BB629" s="96">
        <v>7.42</v>
      </c>
      <c r="BC629" s="98">
        <v>45589</v>
      </c>
      <c r="BD629" s="96">
        <v>7.4175000000000004</v>
      </c>
      <c r="BE629" s="98">
        <v>45618</v>
      </c>
      <c r="BF629" s="96" t="s">
        <v>575</v>
      </c>
      <c r="BG629" s="96" t="s">
        <v>2635</v>
      </c>
      <c r="BH629" s="96">
        <v>14.25</v>
      </c>
      <c r="BI629" s="98">
        <v>45589</v>
      </c>
      <c r="BJ629" s="96">
        <v>14.25</v>
      </c>
      <c r="BK629" s="98">
        <v>45618</v>
      </c>
      <c r="BL629" s="96"/>
      <c r="BM629" s="96" t="s">
        <v>1356</v>
      </c>
      <c r="BN629" s="96"/>
      <c r="BO629" s="98"/>
      <c r="BP629" s="96"/>
      <c r="BQ629" s="98"/>
      <c r="BR629" s="96"/>
      <c r="BS629" s="96" t="s">
        <v>1356</v>
      </c>
      <c r="BT629" s="96"/>
      <c r="BU629" s="98"/>
      <c r="BV629" s="96"/>
      <c r="BW629" s="98"/>
      <c r="BX629" s="117"/>
      <c r="BY629" s="117" t="s">
        <v>1356</v>
      </c>
      <c r="BZ629" s="117"/>
      <c r="CA629" s="118"/>
      <c r="CB629" s="117"/>
      <c r="CC629" s="118"/>
      <c r="CD629" s="117"/>
      <c r="CE629" s="117" t="s">
        <v>1356</v>
      </c>
      <c r="CF629" s="117"/>
      <c r="CG629" s="118"/>
      <c r="CH629" s="117"/>
      <c r="CI629" s="118"/>
      <c r="CJ629" s="117"/>
      <c r="CK629" s="117" t="s">
        <v>1356</v>
      </c>
      <c r="CL629" s="117"/>
      <c r="CM629" s="118"/>
      <c r="CN629" s="117"/>
      <c r="CO629" s="118"/>
      <c r="CP629" s="117"/>
      <c r="CQ629" s="117" t="s">
        <v>1356</v>
      </c>
      <c r="CR629" s="117"/>
      <c r="CS629" s="118"/>
      <c r="CT629" s="117"/>
      <c r="CU629" s="118"/>
      <c r="CV629" s="117"/>
      <c r="CW629" s="117" t="s">
        <v>1356</v>
      </c>
      <c r="CX629" s="117"/>
      <c r="CY629" s="118"/>
      <c r="CZ629" s="117"/>
      <c r="DA629" s="118"/>
      <c r="DB629" s="52" t="s">
        <v>6962</v>
      </c>
      <c r="DC629" s="57" t="s">
        <v>105</v>
      </c>
    </row>
    <row r="630" spans="1:107" s="40" customFormat="1" x14ac:dyDescent="0.3">
      <c r="A630" s="42" t="s">
        <v>4108</v>
      </c>
      <c r="B630" s="42" t="s">
        <v>4195</v>
      </c>
      <c r="C630" s="42" t="s">
        <v>4196</v>
      </c>
      <c r="D630" s="42" t="s">
        <v>3193</v>
      </c>
      <c r="E630" s="42" t="s">
        <v>3193</v>
      </c>
      <c r="F630" s="42" t="s">
        <v>3036</v>
      </c>
      <c r="G630" s="42" t="s">
        <v>2928</v>
      </c>
      <c r="H630" s="43" t="s">
        <v>6929</v>
      </c>
      <c r="I630" s="44">
        <v>701</v>
      </c>
      <c r="J630" s="44">
        <v>70150</v>
      </c>
      <c r="K630" s="45">
        <v>4</v>
      </c>
      <c r="L630" s="42" t="s">
        <v>2955</v>
      </c>
      <c r="M630" s="42" t="s">
        <v>3194</v>
      </c>
      <c r="N630" s="42" t="s">
        <v>3195</v>
      </c>
      <c r="O630" s="42"/>
      <c r="P630" s="42"/>
      <c r="Q630" s="42" t="s">
        <v>3196</v>
      </c>
      <c r="R630" s="42" t="s">
        <v>60</v>
      </c>
      <c r="S630" s="42"/>
      <c r="T630" s="42"/>
      <c r="U630" s="42" t="s">
        <v>414</v>
      </c>
      <c r="V630" s="42"/>
      <c r="W630" s="42" t="s">
        <v>3197</v>
      </c>
      <c r="X630" s="42" t="s">
        <v>3198</v>
      </c>
      <c r="Y630" s="42" t="s">
        <v>3199</v>
      </c>
      <c r="Z630" s="42"/>
      <c r="AA630" s="42"/>
      <c r="AB630" s="42">
        <v>70150032</v>
      </c>
      <c r="AC630" s="42">
        <v>70150032009</v>
      </c>
      <c r="AD630" s="42">
        <v>70150032009001</v>
      </c>
      <c r="AE630" s="45">
        <v>5</v>
      </c>
      <c r="AF630" s="45" t="s">
        <v>772</v>
      </c>
      <c r="AG630" s="46" t="s">
        <v>66</v>
      </c>
      <c r="AH630" s="47" t="s">
        <v>3200</v>
      </c>
      <c r="AI630" s="48" t="s">
        <v>66</v>
      </c>
      <c r="AJ630" s="49" t="s">
        <v>6938</v>
      </c>
      <c r="AK630" s="50" t="s">
        <v>67</v>
      </c>
      <c r="AL630" s="51">
        <v>45589</v>
      </c>
      <c r="AM630" s="52" t="s">
        <v>66</v>
      </c>
      <c r="AN630" s="42"/>
      <c r="AO630" s="42"/>
      <c r="AP630" s="42"/>
      <c r="AQ630" s="53">
        <f t="shared" si="30"/>
        <v>2</v>
      </c>
      <c r="AR630" s="54">
        <f t="shared" si="31"/>
        <v>0</v>
      </c>
      <c r="AS630" s="55">
        <f t="shared" si="32"/>
        <v>2</v>
      </c>
      <c r="AT630" s="96" t="s">
        <v>3201</v>
      </c>
      <c r="AU630" s="96" t="s">
        <v>3360</v>
      </c>
      <c r="AV630" s="96" t="s">
        <v>3202</v>
      </c>
      <c r="AW630" s="97">
        <v>45587</v>
      </c>
      <c r="AX630" s="96">
        <v>4.9000000000000004</v>
      </c>
      <c r="AY630" s="98">
        <v>45617</v>
      </c>
      <c r="AZ630" s="96" t="s">
        <v>3201</v>
      </c>
      <c r="BA630" s="96" t="s">
        <v>3360</v>
      </c>
      <c r="BB630" s="96">
        <v>4</v>
      </c>
      <c r="BC630" s="98">
        <v>45587</v>
      </c>
      <c r="BD630" s="96">
        <v>4.5</v>
      </c>
      <c r="BE630" s="98">
        <v>45617</v>
      </c>
      <c r="BF630" s="96"/>
      <c r="BG630" s="96" t="s">
        <v>1356</v>
      </c>
      <c r="BH630" s="96"/>
      <c r="BI630" s="98"/>
      <c r="BJ630" s="96"/>
      <c r="BK630" s="98"/>
      <c r="BL630" s="96"/>
      <c r="BM630" s="96" t="s">
        <v>1356</v>
      </c>
      <c r="BN630" s="96"/>
      <c r="BO630" s="98"/>
      <c r="BP630" s="96"/>
      <c r="BQ630" s="98"/>
      <c r="BR630" s="96"/>
      <c r="BS630" s="96" t="s">
        <v>1356</v>
      </c>
      <c r="BT630" s="96"/>
      <c r="BU630" s="98"/>
      <c r="BV630" s="96"/>
      <c r="BW630" s="98"/>
      <c r="BX630" s="117"/>
      <c r="BY630" s="117" t="s">
        <v>1356</v>
      </c>
      <c r="BZ630" s="117"/>
      <c r="CA630" s="118"/>
      <c r="CB630" s="117"/>
      <c r="CC630" s="118"/>
      <c r="CD630" s="117"/>
      <c r="CE630" s="117" t="s">
        <v>1356</v>
      </c>
      <c r="CF630" s="117"/>
      <c r="CG630" s="118"/>
      <c r="CH630" s="117"/>
      <c r="CI630" s="118"/>
      <c r="CJ630" s="117"/>
      <c r="CK630" s="117" t="s">
        <v>1356</v>
      </c>
      <c r="CL630" s="117"/>
      <c r="CM630" s="118"/>
      <c r="CN630" s="117"/>
      <c r="CO630" s="118"/>
      <c r="CP630" s="117"/>
      <c r="CQ630" s="117" t="s">
        <v>1356</v>
      </c>
      <c r="CR630" s="117"/>
      <c r="CS630" s="118"/>
      <c r="CT630" s="117"/>
      <c r="CU630" s="118"/>
      <c r="CV630" s="117"/>
      <c r="CW630" s="117" t="s">
        <v>1356</v>
      </c>
      <c r="CX630" s="117"/>
      <c r="CY630" s="118"/>
      <c r="CZ630" s="117"/>
      <c r="DA630" s="118"/>
      <c r="DB630" s="52" t="s">
        <v>6962</v>
      </c>
      <c r="DC630" s="57" t="s">
        <v>105</v>
      </c>
    </row>
    <row r="631" spans="1:107" s="40" customFormat="1" x14ac:dyDescent="0.3">
      <c r="A631" s="35" t="s">
        <v>4219</v>
      </c>
      <c r="B631" s="35" t="s">
        <v>6313</v>
      </c>
      <c r="C631" s="35" t="s">
        <v>6314</v>
      </c>
      <c r="D631" s="35" t="s">
        <v>6315</v>
      </c>
      <c r="E631" s="35" t="s">
        <v>6315</v>
      </c>
      <c r="F631" s="35" t="s">
        <v>4289</v>
      </c>
      <c r="G631" s="35" t="s">
        <v>4230</v>
      </c>
      <c r="H631" s="27" t="s">
        <v>6934</v>
      </c>
      <c r="I631" s="62">
        <v>2401</v>
      </c>
      <c r="J631" s="62">
        <v>240153</v>
      </c>
      <c r="K631" s="63">
        <v>4</v>
      </c>
      <c r="L631" s="35" t="s">
        <v>6316</v>
      </c>
      <c r="M631" s="35"/>
      <c r="N631" s="35" t="s">
        <v>6317</v>
      </c>
      <c r="O631" s="35"/>
      <c r="P631" s="35"/>
      <c r="Q631" s="35"/>
      <c r="R631" s="35"/>
      <c r="S631" s="35"/>
      <c r="T631" s="35"/>
      <c r="U631" s="35"/>
      <c r="V631" s="35"/>
      <c r="W631" s="35" t="s">
        <v>6318</v>
      </c>
      <c r="X631" s="35" t="s">
        <v>6319</v>
      </c>
      <c r="Y631" s="35" t="s">
        <v>6320</v>
      </c>
      <c r="Z631" s="35">
        <v>-80.704695000000001</v>
      </c>
      <c r="AA631" s="35">
        <v>-2.3966780000000001</v>
      </c>
      <c r="AB631" s="35">
        <v>240153902</v>
      </c>
      <c r="AC631" s="35">
        <v>240153902002</v>
      </c>
      <c r="AD631" s="35">
        <v>240153902002012</v>
      </c>
      <c r="AE631" s="63">
        <v>5</v>
      </c>
      <c r="AF631" s="63" t="s">
        <v>772</v>
      </c>
      <c r="AG631" s="29" t="s">
        <v>65</v>
      </c>
      <c r="AH631" s="75"/>
      <c r="AI631" s="65" t="s">
        <v>66</v>
      </c>
      <c r="AJ631" s="32" t="s">
        <v>6938</v>
      </c>
      <c r="AK631" s="33" t="s">
        <v>67</v>
      </c>
      <c r="AL631" s="34">
        <v>45574</v>
      </c>
      <c r="AM631" s="35" t="s">
        <v>66</v>
      </c>
      <c r="AN631" s="35"/>
      <c r="AO631" s="35"/>
      <c r="AP631" s="35"/>
      <c r="AQ631" s="37">
        <f t="shared" si="30"/>
        <v>0</v>
      </c>
      <c r="AR631" s="38">
        <f t="shared" si="31"/>
        <v>0</v>
      </c>
      <c r="AS631" s="39">
        <f t="shared" si="32"/>
        <v>0</v>
      </c>
      <c r="AT631" s="99"/>
      <c r="AU631" s="99" t="s">
        <v>1356</v>
      </c>
      <c r="AV631" s="99"/>
      <c r="AW631" s="100"/>
      <c r="AX631" s="99"/>
      <c r="AY631" s="101"/>
      <c r="AZ631" s="99"/>
      <c r="BA631" s="99" t="s">
        <v>1356</v>
      </c>
      <c r="BB631" s="99"/>
      <c r="BC631" s="101"/>
      <c r="BD631" s="99"/>
      <c r="BE631" s="101"/>
      <c r="BF631" s="99"/>
      <c r="BG631" s="99" t="s">
        <v>1356</v>
      </c>
      <c r="BH631" s="99"/>
      <c r="BI631" s="101"/>
      <c r="BJ631" s="99"/>
      <c r="BK631" s="101"/>
      <c r="BL631" s="99"/>
      <c r="BM631" s="99" t="s">
        <v>1356</v>
      </c>
      <c r="BN631" s="99"/>
      <c r="BO631" s="101"/>
      <c r="BP631" s="99"/>
      <c r="BQ631" s="101"/>
      <c r="BR631" s="99"/>
      <c r="BS631" s="99" t="s">
        <v>1356</v>
      </c>
      <c r="BT631" s="99"/>
      <c r="BU631" s="101"/>
      <c r="BV631" s="99"/>
      <c r="BW631" s="101"/>
      <c r="BX631" s="119"/>
      <c r="BY631" s="119" t="s">
        <v>1356</v>
      </c>
      <c r="BZ631" s="119"/>
      <c r="CA631" s="120"/>
      <c r="CB631" s="119"/>
      <c r="CC631" s="120"/>
      <c r="CD631" s="119"/>
      <c r="CE631" s="119" t="s">
        <v>1356</v>
      </c>
      <c r="CF631" s="119"/>
      <c r="CG631" s="120"/>
      <c r="CH631" s="119"/>
      <c r="CI631" s="120"/>
      <c r="CJ631" s="119"/>
      <c r="CK631" s="119" t="s">
        <v>1356</v>
      </c>
      <c r="CL631" s="119"/>
      <c r="CM631" s="120"/>
      <c r="CN631" s="119"/>
      <c r="CO631" s="120"/>
      <c r="CP631" s="119"/>
      <c r="CQ631" s="119" t="s">
        <v>1356</v>
      </c>
      <c r="CR631" s="119"/>
      <c r="CS631" s="120"/>
      <c r="CT631" s="119"/>
      <c r="CU631" s="120"/>
      <c r="CV631" s="119"/>
      <c r="CW631" s="119" t="s">
        <v>1356</v>
      </c>
      <c r="CX631" s="119"/>
      <c r="CY631" s="120"/>
      <c r="CZ631" s="119"/>
      <c r="DA631" s="120"/>
      <c r="DB631" s="36" t="s">
        <v>7085</v>
      </c>
      <c r="DC631" s="59" t="s">
        <v>105</v>
      </c>
    </row>
    <row r="632" spans="1:107" s="40" customFormat="1" ht="14.55" customHeight="1" x14ac:dyDescent="0.3">
      <c r="A632" s="42" t="s">
        <v>4108</v>
      </c>
      <c r="B632" s="42" t="s">
        <v>4213</v>
      </c>
      <c r="C632" s="42" t="s">
        <v>4214</v>
      </c>
      <c r="D632" s="42" t="s">
        <v>3265</v>
      </c>
      <c r="E632" s="42" t="s">
        <v>3266</v>
      </c>
      <c r="F632" s="42" t="s">
        <v>291</v>
      </c>
      <c r="G632" s="42" t="s">
        <v>404</v>
      </c>
      <c r="H632" s="43" t="s">
        <v>6930</v>
      </c>
      <c r="I632" s="44">
        <v>101</v>
      </c>
      <c r="J632" s="44">
        <v>10150</v>
      </c>
      <c r="K632" s="45">
        <v>4</v>
      </c>
      <c r="L632" s="42" t="s">
        <v>2630</v>
      </c>
      <c r="M632" s="42" t="s">
        <v>258</v>
      </c>
      <c r="N632" s="42" t="s">
        <v>1017</v>
      </c>
      <c r="O632" s="42"/>
      <c r="P632" s="42"/>
      <c r="Q632" s="42" t="s">
        <v>3266</v>
      </c>
      <c r="R632" s="42" t="s">
        <v>60</v>
      </c>
      <c r="S632" s="42"/>
      <c r="T632" s="42"/>
      <c r="U632" s="42"/>
      <c r="V632" s="42"/>
      <c r="W632" s="42" t="s">
        <v>3267</v>
      </c>
      <c r="X632" s="42" t="s">
        <v>3120</v>
      </c>
      <c r="Y632" s="42" t="s">
        <v>3268</v>
      </c>
      <c r="Z632" s="42"/>
      <c r="AA632" s="42"/>
      <c r="AB632" s="42">
        <v>10150041</v>
      </c>
      <c r="AC632" s="42">
        <v>10150041009</v>
      </c>
      <c r="AD632" s="42">
        <v>10150041009001</v>
      </c>
      <c r="AE632" s="45">
        <v>5</v>
      </c>
      <c r="AF632" s="45" t="s">
        <v>772</v>
      </c>
      <c r="AG632" s="46" t="s">
        <v>66</v>
      </c>
      <c r="AH632" s="47" t="s">
        <v>3269</v>
      </c>
      <c r="AI632" s="48" t="s">
        <v>66</v>
      </c>
      <c r="AJ632" s="49" t="s">
        <v>6938</v>
      </c>
      <c r="AK632" s="50" t="s">
        <v>67</v>
      </c>
      <c r="AL632" s="51">
        <v>45589</v>
      </c>
      <c r="AM632" s="52" t="s">
        <v>66</v>
      </c>
      <c r="AN632" s="42"/>
      <c r="AO632" s="42"/>
      <c r="AP632" s="42"/>
      <c r="AQ632" s="53">
        <f t="shared" si="30"/>
        <v>5</v>
      </c>
      <c r="AR632" s="54">
        <f t="shared" si="31"/>
        <v>0</v>
      </c>
      <c r="AS632" s="55">
        <f t="shared" si="32"/>
        <v>5</v>
      </c>
      <c r="AT632" s="96" t="s">
        <v>3132</v>
      </c>
      <c r="AU632" s="96" t="s">
        <v>3355</v>
      </c>
      <c r="AV632" s="96">
        <v>0.73019999999999996</v>
      </c>
      <c r="AW632" s="97">
        <v>45589</v>
      </c>
      <c r="AX632" s="96">
        <v>0.73019999999999996</v>
      </c>
      <c r="AY632" s="98">
        <v>45618</v>
      </c>
      <c r="AZ632" s="96" t="s">
        <v>2572</v>
      </c>
      <c r="BA632" s="96" t="s">
        <v>2573</v>
      </c>
      <c r="BB632" s="96">
        <v>9.4962</v>
      </c>
      <c r="BC632" s="98">
        <v>45589</v>
      </c>
      <c r="BD632" s="96">
        <v>9.4962</v>
      </c>
      <c r="BE632" s="98">
        <v>45618</v>
      </c>
      <c r="BF632" s="96" t="s">
        <v>3067</v>
      </c>
      <c r="BG632" s="96" t="s">
        <v>3348</v>
      </c>
      <c r="BH632" s="96">
        <v>13.422599999999999</v>
      </c>
      <c r="BI632" s="98">
        <v>45589</v>
      </c>
      <c r="BJ632" s="96">
        <v>13.422599999999999</v>
      </c>
      <c r="BK632" s="98">
        <v>45618</v>
      </c>
      <c r="BL632" s="96" t="s">
        <v>3066</v>
      </c>
      <c r="BM632" s="96" t="s">
        <v>3347</v>
      </c>
      <c r="BN632" s="96">
        <v>5.2354000000000003</v>
      </c>
      <c r="BO632" s="98">
        <v>45589</v>
      </c>
      <c r="BP632" s="96">
        <v>5.2354000000000003</v>
      </c>
      <c r="BQ632" s="98">
        <v>45618</v>
      </c>
      <c r="BR632" s="96" t="s">
        <v>300</v>
      </c>
      <c r="BS632" s="96" t="s">
        <v>2263</v>
      </c>
      <c r="BT632" s="96">
        <v>127.4956</v>
      </c>
      <c r="BU632" s="98">
        <v>45589</v>
      </c>
      <c r="BV632" s="96">
        <v>127.4956</v>
      </c>
      <c r="BW632" s="98">
        <v>45618</v>
      </c>
      <c r="BX632" s="117"/>
      <c r="BY632" s="117" t="s">
        <v>1356</v>
      </c>
      <c r="BZ632" s="117"/>
      <c r="CA632" s="118"/>
      <c r="CB632" s="117"/>
      <c r="CC632" s="118"/>
      <c r="CD632" s="117"/>
      <c r="CE632" s="117" t="s">
        <v>1356</v>
      </c>
      <c r="CF632" s="117"/>
      <c r="CG632" s="118"/>
      <c r="CH632" s="117"/>
      <c r="CI632" s="118"/>
      <c r="CJ632" s="117"/>
      <c r="CK632" s="117" t="s">
        <v>1356</v>
      </c>
      <c r="CL632" s="117"/>
      <c r="CM632" s="118"/>
      <c r="CN632" s="117"/>
      <c r="CO632" s="118"/>
      <c r="CP632" s="117"/>
      <c r="CQ632" s="117" t="s">
        <v>1356</v>
      </c>
      <c r="CR632" s="117"/>
      <c r="CS632" s="118"/>
      <c r="CT632" s="117"/>
      <c r="CU632" s="118"/>
      <c r="CV632" s="117"/>
      <c r="CW632" s="117" t="s">
        <v>1356</v>
      </c>
      <c r="CX632" s="117"/>
      <c r="CY632" s="118"/>
      <c r="CZ632" s="117"/>
      <c r="DA632" s="118"/>
      <c r="DB632" s="52" t="s">
        <v>6962</v>
      </c>
      <c r="DC632" s="57" t="s">
        <v>105</v>
      </c>
    </row>
    <row r="633" spans="1:107" s="40" customFormat="1" x14ac:dyDescent="0.3">
      <c r="A633" s="35" t="s">
        <v>4219</v>
      </c>
      <c r="B633" s="35" t="s">
        <v>6331</v>
      </c>
      <c r="C633" s="35" t="s">
        <v>6332</v>
      </c>
      <c r="D633" s="35" t="s">
        <v>6333</v>
      </c>
      <c r="E633" s="35" t="s">
        <v>6334</v>
      </c>
      <c r="F633" s="35" t="s">
        <v>651</v>
      </c>
      <c r="G633" s="35" t="s">
        <v>4237</v>
      </c>
      <c r="H633" s="27" t="s">
        <v>686</v>
      </c>
      <c r="I633" s="62">
        <v>901</v>
      </c>
      <c r="J633" s="62">
        <v>90150</v>
      </c>
      <c r="K633" s="63">
        <v>4</v>
      </c>
      <c r="L633" s="35" t="s">
        <v>5024</v>
      </c>
      <c r="M633" s="35"/>
      <c r="N633" s="35" t="s">
        <v>810</v>
      </c>
      <c r="O633" s="35" t="s">
        <v>4647</v>
      </c>
      <c r="P633" s="35"/>
      <c r="Q633" s="35" t="s">
        <v>6335</v>
      </c>
      <c r="R633" s="35" t="s">
        <v>60</v>
      </c>
      <c r="S633" s="35"/>
      <c r="T633" s="35"/>
      <c r="U633" s="35"/>
      <c r="V633" s="35"/>
      <c r="W633" s="35" t="s">
        <v>6336</v>
      </c>
      <c r="X633" s="35" t="s">
        <v>6337</v>
      </c>
      <c r="Y633" s="35" t="s">
        <v>6338</v>
      </c>
      <c r="Z633" s="35"/>
      <c r="AA633" s="35"/>
      <c r="AB633" s="35">
        <v>90150689</v>
      </c>
      <c r="AC633" s="35">
        <v>90150689003</v>
      </c>
      <c r="AD633" s="35">
        <v>90150689003013</v>
      </c>
      <c r="AE633" s="63">
        <v>5</v>
      </c>
      <c r="AF633" s="63" t="s">
        <v>772</v>
      </c>
      <c r="AG633" s="29" t="s">
        <v>65</v>
      </c>
      <c r="AH633" s="75"/>
      <c r="AI633" s="65" t="s">
        <v>66</v>
      </c>
      <c r="AJ633" s="32" t="s">
        <v>6938</v>
      </c>
      <c r="AK633" s="33" t="s">
        <v>67</v>
      </c>
      <c r="AL633" s="58">
        <v>45574</v>
      </c>
      <c r="AM633" s="35" t="s">
        <v>66</v>
      </c>
      <c r="AN633" s="35"/>
      <c r="AO633" s="35"/>
      <c r="AP633" s="35"/>
      <c r="AQ633" s="37">
        <f t="shared" si="30"/>
        <v>0</v>
      </c>
      <c r="AR633" s="38">
        <f t="shared" si="31"/>
        <v>0</v>
      </c>
      <c r="AS633" s="39">
        <f t="shared" si="32"/>
        <v>0</v>
      </c>
      <c r="AT633" s="99"/>
      <c r="AU633" s="99" t="s">
        <v>1356</v>
      </c>
      <c r="AV633" s="99"/>
      <c r="AW633" s="100"/>
      <c r="AX633" s="99"/>
      <c r="AY633" s="101"/>
      <c r="AZ633" s="99"/>
      <c r="BA633" s="99" t="s">
        <v>1356</v>
      </c>
      <c r="BB633" s="99"/>
      <c r="BC633" s="101"/>
      <c r="BD633" s="99"/>
      <c r="BE633" s="101"/>
      <c r="BF633" s="99"/>
      <c r="BG633" s="99" t="s">
        <v>1356</v>
      </c>
      <c r="BH633" s="99"/>
      <c r="BI633" s="101"/>
      <c r="BJ633" s="99"/>
      <c r="BK633" s="101"/>
      <c r="BL633" s="99"/>
      <c r="BM633" s="99" t="s">
        <v>1356</v>
      </c>
      <c r="BN633" s="99"/>
      <c r="BO633" s="101"/>
      <c r="BP633" s="99"/>
      <c r="BQ633" s="101"/>
      <c r="BR633" s="99"/>
      <c r="BS633" s="99" t="s">
        <v>1356</v>
      </c>
      <c r="BT633" s="99"/>
      <c r="BU633" s="101"/>
      <c r="BV633" s="99"/>
      <c r="BW633" s="101"/>
      <c r="BX633" s="119"/>
      <c r="BY633" s="119" t="s">
        <v>1356</v>
      </c>
      <c r="BZ633" s="119"/>
      <c r="CA633" s="120"/>
      <c r="CB633" s="119"/>
      <c r="CC633" s="120"/>
      <c r="CD633" s="119"/>
      <c r="CE633" s="119" t="s">
        <v>1356</v>
      </c>
      <c r="CF633" s="119"/>
      <c r="CG633" s="120"/>
      <c r="CH633" s="119"/>
      <c r="CI633" s="120"/>
      <c r="CJ633" s="119"/>
      <c r="CK633" s="119" t="s">
        <v>1356</v>
      </c>
      <c r="CL633" s="119"/>
      <c r="CM633" s="120"/>
      <c r="CN633" s="119"/>
      <c r="CO633" s="120"/>
      <c r="CP633" s="119"/>
      <c r="CQ633" s="119" t="s">
        <v>1356</v>
      </c>
      <c r="CR633" s="119"/>
      <c r="CS633" s="120"/>
      <c r="CT633" s="119"/>
      <c r="CU633" s="120"/>
      <c r="CV633" s="119"/>
      <c r="CW633" s="119" t="s">
        <v>1356</v>
      </c>
      <c r="CX633" s="119"/>
      <c r="CY633" s="120"/>
      <c r="CZ633" s="119"/>
      <c r="DA633" s="120"/>
      <c r="DB633" s="36" t="s">
        <v>7085</v>
      </c>
      <c r="DC633" s="59" t="s">
        <v>105</v>
      </c>
    </row>
    <row r="634" spans="1:107" s="40" customFormat="1" ht="14.55" customHeight="1" x14ac:dyDescent="0.3">
      <c r="A634" s="35" t="s">
        <v>4219</v>
      </c>
      <c r="B634" s="35" t="s">
        <v>5757</v>
      </c>
      <c r="C634" s="35" t="s">
        <v>5758</v>
      </c>
      <c r="D634" s="35" t="s">
        <v>5759</v>
      </c>
      <c r="E634" s="35" t="s">
        <v>70</v>
      </c>
      <c r="F634" s="35" t="s">
        <v>327</v>
      </c>
      <c r="G634" s="35" t="s">
        <v>4237</v>
      </c>
      <c r="H634" s="27" t="s">
        <v>686</v>
      </c>
      <c r="I634" s="62">
        <v>901</v>
      </c>
      <c r="J634" s="62">
        <v>90150</v>
      </c>
      <c r="K634" s="63">
        <v>4</v>
      </c>
      <c r="L634" s="35" t="s">
        <v>5760</v>
      </c>
      <c r="M634" s="35" t="s">
        <v>5761</v>
      </c>
      <c r="N634" s="35" t="s">
        <v>5762</v>
      </c>
      <c r="O634" s="35" t="s">
        <v>109</v>
      </c>
      <c r="P634" s="35" t="s">
        <v>4485</v>
      </c>
      <c r="Q634" s="35" t="s">
        <v>5763</v>
      </c>
      <c r="R634" s="35" t="s">
        <v>60</v>
      </c>
      <c r="S634" s="35" t="s">
        <v>5764</v>
      </c>
      <c r="T634" s="35" t="s">
        <v>4485</v>
      </c>
      <c r="U634" s="35" t="s">
        <v>4485</v>
      </c>
      <c r="V634" s="35" t="s">
        <v>1132</v>
      </c>
      <c r="W634" s="35" t="s">
        <v>5765</v>
      </c>
      <c r="X634" s="35" t="s">
        <v>5766</v>
      </c>
      <c r="Y634" s="35" t="s">
        <v>5767</v>
      </c>
      <c r="Z634" s="35">
        <v>-79.940290000000005</v>
      </c>
      <c r="AA634" s="35">
        <v>-2.1181489999999998</v>
      </c>
      <c r="AB634" s="35">
        <v>90150421</v>
      </c>
      <c r="AC634" s="35">
        <v>90150421001</v>
      </c>
      <c r="AD634" s="35">
        <v>90150421001002</v>
      </c>
      <c r="AE634" s="63">
        <v>5</v>
      </c>
      <c r="AF634" s="63" t="s">
        <v>772</v>
      </c>
      <c r="AG634" s="46" t="s">
        <v>66</v>
      </c>
      <c r="AH634" s="64">
        <v>80214</v>
      </c>
      <c r="AI634" s="65" t="s">
        <v>66</v>
      </c>
      <c r="AJ634" s="32" t="s">
        <v>6938</v>
      </c>
      <c r="AK634" s="33" t="s">
        <v>67</v>
      </c>
      <c r="AL634" s="58">
        <v>45589</v>
      </c>
      <c r="AM634" s="52" t="s">
        <v>66</v>
      </c>
      <c r="AN634" s="35"/>
      <c r="AO634" s="35"/>
      <c r="AP634" s="35"/>
      <c r="AQ634" s="37">
        <f t="shared" si="30"/>
        <v>1</v>
      </c>
      <c r="AR634" s="38">
        <f t="shared" si="31"/>
        <v>0</v>
      </c>
      <c r="AS634" s="39">
        <f t="shared" si="32"/>
        <v>1</v>
      </c>
      <c r="AT634" s="99" t="s">
        <v>7062</v>
      </c>
      <c r="AU634" s="99" t="s">
        <v>7063</v>
      </c>
      <c r="AV634" s="99" t="s">
        <v>7064</v>
      </c>
      <c r="AW634" s="100">
        <v>44986</v>
      </c>
      <c r="AX634" s="99"/>
      <c r="AY634" s="101"/>
      <c r="AZ634" s="99"/>
      <c r="BA634" s="99" t="s">
        <v>1356</v>
      </c>
      <c r="BB634" s="99"/>
      <c r="BC634" s="101"/>
      <c r="BD634" s="99"/>
      <c r="BE634" s="101"/>
      <c r="BF634" s="99"/>
      <c r="BG634" s="99" t="s">
        <v>1356</v>
      </c>
      <c r="BH634" s="99"/>
      <c r="BI634" s="101"/>
      <c r="BJ634" s="99"/>
      <c r="BK634" s="101"/>
      <c r="BL634" s="99"/>
      <c r="BM634" s="99" t="s">
        <v>1356</v>
      </c>
      <c r="BN634" s="99"/>
      <c r="BO634" s="101"/>
      <c r="BP634" s="99"/>
      <c r="BQ634" s="101"/>
      <c r="BR634" s="99"/>
      <c r="BS634" s="99" t="s">
        <v>1356</v>
      </c>
      <c r="BT634" s="99"/>
      <c r="BU634" s="101"/>
      <c r="BV634" s="99"/>
      <c r="BW634" s="101"/>
      <c r="BX634" s="119"/>
      <c r="BY634" s="119" t="s">
        <v>1356</v>
      </c>
      <c r="BZ634" s="119"/>
      <c r="CA634" s="120"/>
      <c r="CB634" s="119"/>
      <c r="CC634" s="120"/>
      <c r="CD634" s="119"/>
      <c r="CE634" s="119" t="s">
        <v>1356</v>
      </c>
      <c r="CF634" s="119"/>
      <c r="CG634" s="120"/>
      <c r="CH634" s="119"/>
      <c r="CI634" s="120"/>
      <c r="CJ634" s="119"/>
      <c r="CK634" s="119" t="s">
        <v>1356</v>
      </c>
      <c r="CL634" s="119"/>
      <c r="CM634" s="120"/>
      <c r="CN634" s="119"/>
      <c r="CO634" s="120"/>
      <c r="CP634" s="119"/>
      <c r="CQ634" s="119" t="s">
        <v>1356</v>
      </c>
      <c r="CR634" s="119"/>
      <c r="CS634" s="120"/>
      <c r="CT634" s="119"/>
      <c r="CU634" s="120"/>
      <c r="CV634" s="119"/>
      <c r="CW634" s="119" t="s">
        <v>1356</v>
      </c>
      <c r="CX634" s="119"/>
      <c r="CY634" s="120"/>
      <c r="CZ634" s="119"/>
      <c r="DA634" s="120"/>
      <c r="DB634" s="52" t="s">
        <v>6962</v>
      </c>
      <c r="DC634" s="59" t="s">
        <v>105</v>
      </c>
    </row>
    <row r="635" spans="1:107" s="40" customFormat="1" x14ac:dyDescent="0.3">
      <c r="A635" s="35" t="s">
        <v>4219</v>
      </c>
      <c r="B635" s="35" t="s">
        <v>6346</v>
      </c>
      <c r="C635" s="35" t="s">
        <v>6347</v>
      </c>
      <c r="D635" s="35" t="s">
        <v>6348</v>
      </c>
      <c r="E635" s="35" t="s">
        <v>6349</v>
      </c>
      <c r="F635" s="35" t="s">
        <v>291</v>
      </c>
      <c r="G635" s="35" t="s">
        <v>4237</v>
      </c>
      <c r="H635" s="27" t="s">
        <v>686</v>
      </c>
      <c r="I635" s="62">
        <v>901</v>
      </c>
      <c r="J635" s="62">
        <v>90150</v>
      </c>
      <c r="K635" s="63">
        <v>4</v>
      </c>
      <c r="L635" s="35" t="s">
        <v>4446</v>
      </c>
      <c r="M635" s="35" t="s">
        <v>1677</v>
      </c>
      <c r="N635" s="35" t="s">
        <v>6350</v>
      </c>
      <c r="O635" s="35" t="s">
        <v>5119</v>
      </c>
      <c r="P635" s="35"/>
      <c r="Q635" s="35" t="s">
        <v>6351</v>
      </c>
      <c r="R635" s="35" t="s">
        <v>60</v>
      </c>
      <c r="S635" s="35"/>
      <c r="T635" s="35"/>
      <c r="U635" s="35" t="s">
        <v>6352</v>
      </c>
      <c r="V635" s="35" t="s">
        <v>6353</v>
      </c>
      <c r="W635" s="35" t="s">
        <v>6354</v>
      </c>
      <c r="X635" s="35" t="s">
        <v>6355</v>
      </c>
      <c r="Y635" s="35" t="s">
        <v>6356</v>
      </c>
      <c r="Z635" s="35"/>
      <c r="AA635" s="35"/>
      <c r="AB635" s="35">
        <v>90150338</v>
      </c>
      <c r="AC635" s="35">
        <v>90150338004</v>
      </c>
      <c r="AD635" s="35">
        <v>90150338004004</v>
      </c>
      <c r="AE635" s="63">
        <v>5</v>
      </c>
      <c r="AF635" s="63" t="s">
        <v>772</v>
      </c>
      <c r="AG635" s="29" t="s">
        <v>65</v>
      </c>
      <c r="AH635" s="75"/>
      <c r="AI635" s="65" t="s">
        <v>65</v>
      </c>
      <c r="AJ635" s="32" t="s">
        <v>6939</v>
      </c>
      <c r="AK635" s="33" t="s">
        <v>92</v>
      </c>
      <c r="AL635" s="58"/>
      <c r="AM635" s="35"/>
      <c r="AN635" s="35"/>
      <c r="AO635" s="35"/>
      <c r="AP635" s="35"/>
      <c r="AQ635" s="37">
        <f t="shared" si="30"/>
        <v>0</v>
      </c>
      <c r="AR635" s="38">
        <f t="shared" si="31"/>
        <v>0</v>
      </c>
      <c r="AS635" s="39">
        <f t="shared" si="32"/>
        <v>0</v>
      </c>
      <c r="AT635" s="99"/>
      <c r="AU635" s="99" t="s">
        <v>1356</v>
      </c>
      <c r="AV635" s="99"/>
      <c r="AW635" s="100"/>
      <c r="AX635" s="99"/>
      <c r="AY635" s="101"/>
      <c r="AZ635" s="99"/>
      <c r="BA635" s="99" t="s">
        <v>1356</v>
      </c>
      <c r="BB635" s="99"/>
      <c r="BC635" s="101"/>
      <c r="BD635" s="99"/>
      <c r="BE635" s="101"/>
      <c r="BF635" s="99"/>
      <c r="BG635" s="99" t="s">
        <v>1356</v>
      </c>
      <c r="BH635" s="99"/>
      <c r="BI635" s="101"/>
      <c r="BJ635" s="99"/>
      <c r="BK635" s="101"/>
      <c r="BL635" s="99"/>
      <c r="BM635" s="99" t="s">
        <v>1356</v>
      </c>
      <c r="BN635" s="99"/>
      <c r="BO635" s="101"/>
      <c r="BP635" s="99"/>
      <c r="BQ635" s="101"/>
      <c r="BR635" s="99"/>
      <c r="BS635" s="99" t="s">
        <v>1356</v>
      </c>
      <c r="BT635" s="99"/>
      <c r="BU635" s="101"/>
      <c r="BV635" s="99"/>
      <c r="BW635" s="101"/>
      <c r="BX635" s="119"/>
      <c r="BY635" s="119" t="s">
        <v>1356</v>
      </c>
      <c r="BZ635" s="119"/>
      <c r="CA635" s="120"/>
      <c r="CB635" s="119"/>
      <c r="CC635" s="120"/>
      <c r="CD635" s="119"/>
      <c r="CE635" s="119" t="s">
        <v>1356</v>
      </c>
      <c r="CF635" s="119"/>
      <c r="CG635" s="120"/>
      <c r="CH635" s="119"/>
      <c r="CI635" s="120"/>
      <c r="CJ635" s="119"/>
      <c r="CK635" s="119" t="s">
        <v>1356</v>
      </c>
      <c r="CL635" s="119"/>
      <c r="CM635" s="120"/>
      <c r="CN635" s="119"/>
      <c r="CO635" s="120"/>
      <c r="CP635" s="119"/>
      <c r="CQ635" s="119" t="s">
        <v>1356</v>
      </c>
      <c r="CR635" s="119"/>
      <c r="CS635" s="120"/>
      <c r="CT635" s="119"/>
      <c r="CU635" s="120"/>
      <c r="CV635" s="119"/>
      <c r="CW635" s="119" t="s">
        <v>1356</v>
      </c>
      <c r="CX635" s="119"/>
      <c r="CY635" s="120"/>
      <c r="CZ635" s="119"/>
      <c r="DA635" s="120"/>
      <c r="DB635" s="35"/>
      <c r="DC635" s="59"/>
    </row>
    <row r="636" spans="1:107" s="40" customFormat="1" x14ac:dyDescent="0.3">
      <c r="A636" s="35" t="s">
        <v>4219</v>
      </c>
      <c r="B636" s="35" t="s">
        <v>6357</v>
      </c>
      <c r="C636" s="35" t="s">
        <v>6358</v>
      </c>
      <c r="D636" s="35" t="s">
        <v>6359</v>
      </c>
      <c r="E636" s="35" t="s">
        <v>6360</v>
      </c>
      <c r="F636" s="35" t="s">
        <v>5337</v>
      </c>
      <c r="G636" s="35" t="s">
        <v>4237</v>
      </c>
      <c r="H636" s="27" t="s">
        <v>686</v>
      </c>
      <c r="I636" s="62">
        <v>907</v>
      </c>
      <c r="J636" s="62">
        <v>90750</v>
      </c>
      <c r="K636" s="63">
        <v>4</v>
      </c>
      <c r="L636" s="35" t="s">
        <v>6361</v>
      </c>
      <c r="M636" s="35" t="s">
        <v>6362</v>
      </c>
      <c r="N636" s="35" t="s">
        <v>5478</v>
      </c>
      <c r="O636" s="35" t="s">
        <v>1526</v>
      </c>
      <c r="P636" s="35"/>
      <c r="Q636" s="35"/>
      <c r="R636" s="35" t="s">
        <v>60</v>
      </c>
      <c r="S636" s="35"/>
      <c r="T636" s="35" t="s">
        <v>6363</v>
      </c>
      <c r="U636" s="35"/>
      <c r="V636" s="35" t="s">
        <v>643</v>
      </c>
      <c r="W636" s="35" t="s">
        <v>6364</v>
      </c>
      <c r="X636" s="35" t="s">
        <v>6365</v>
      </c>
      <c r="Y636" s="35" t="s">
        <v>6366</v>
      </c>
      <c r="Z636" s="35"/>
      <c r="AA636" s="35"/>
      <c r="AB636" s="35">
        <v>90750072</v>
      </c>
      <c r="AC636" s="35">
        <v>90750072001</v>
      </c>
      <c r="AD636" s="35">
        <v>90750072001009</v>
      </c>
      <c r="AE636" s="63">
        <v>5</v>
      </c>
      <c r="AF636" s="63" t="s">
        <v>772</v>
      </c>
      <c r="AG636" s="29" t="s">
        <v>65</v>
      </c>
      <c r="AH636" s="75"/>
      <c r="AI636" s="65" t="s">
        <v>65</v>
      </c>
      <c r="AJ636" s="32" t="s">
        <v>6939</v>
      </c>
      <c r="AK636" s="33" t="s">
        <v>92</v>
      </c>
      <c r="AL636" s="34"/>
      <c r="AM636" s="35"/>
      <c r="AN636" s="35"/>
      <c r="AO636" s="35"/>
      <c r="AP636" s="35"/>
      <c r="AQ636" s="37">
        <f t="shared" si="30"/>
        <v>0</v>
      </c>
      <c r="AR636" s="38">
        <f t="shared" si="31"/>
        <v>0</v>
      </c>
      <c r="AS636" s="39">
        <f t="shared" si="32"/>
        <v>0</v>
      </c>
      <c r="AT636" s="99"/>
      <c r="AU636" s="99" t="s">
        <v>1356</v>
      </c>
      <c r="AV636" s="99"/>
      <c r="AW636" s="100"/>
      <c r="AX636" s="99"/>
      <c r="AY636" s="101"/>
      <c r="AZ636" s="99"/>
      <c r="BA636" s="99" t="s">
        <v>1356</v>
      </c>
      <c r="BB636" s="99"/>
      <c r="BC636" s="101"/>
      <c r="BD636" s="99"/>
      <c r="BE636" s="101"/>
      <c r="BF636" s="99"/>
      <c r="BG636" s="99" t="s">
        <v>1356</v>
      </c>
      <c r="BH636" s="99"/>
      <c r="BI636" s="101"/>
      <c r="BJ636" s="99"/>
      <c r="BK636" s="101"/>
      <c r="BL636" s="99"/>
      <c r="BM636" s="99" t="s">
        <v>1356</v>
      </c>
      <c r="BN636" s="99"/>
      <c r="BO636" s="101"/>
      <c r="BP636" s="99"/>
      <c r="BQ636" s="101"/>
      <c r="BR636" s="99"/>
      <c r="BS636" s="99" t="s">
        <v>1356</v>
      </c>
      <c r="BT636" s="99"/>
      <c r="BU636" s="101"/>
      <c r="BV636" s="99"/>
      <c r="BW636" s="101"/>
      <c r="BX636" s="119"/>
      <c r="BY636" s="119" t="s">
        <v>1356</v>
      </c>
      <c r="BZ636" s="119"/>
      <c r="CA636" s="120"/>
      <c r="CB636" s="119"/>
      <c r="CC636" s="120"/>
      <c r="CD636" s="119"/>
      <c r="CE636" s="119" t="s">
        <v>1356</v>
      </c>
      <c r="CF636" s="119"/>
      <c r="CG636" s="120"/>
      <c r="CH636" s="119"/>
      <c r="CI636" s="120"/>
      <c r="CJ636" s="119"/>
      <c r="CK636" s="119" t="s">
        <v>1356</v>
      </c>
      <c r="CL636" s="119"/>
      <c r="CM636" s="120"/>
      <c r="CN636" s="119"/>
      <c r="CO636" s="120"/>
      <c r="CP636" s="119"/>
      <c r="CQ636" s="119" t="s">
        <v>1356</v>
      </c>
      <c r="CR636" s="119"/>
      <c r="CS636" s="120"/>
      <c r="CT636" s="119"/>
      <c r="CU636" s="120"/>
      <c r="CV636" s="119"/>
      <c r="CW636" s="119" t="s">
        <v>1356</v>
      </c>
      <c r="CX636" s="119"/>
      <c r="CY636" s="120"/>
      <c r="CZ636" s="119"/>
      <c r="DA636" s="120"/>
      <c r="DB636" s="35"/>
      <c r="DC636" s="59"/>
    </row>
    <row r="637" spans="1:107" s="40" customFormat="1" x14ac:dyDescent="0.3">
      <c r="A637" s="35" t="s">
        <v>4219</v>
      </c>
      <c r="B637" s="35" t="s">
        <v>6367</v>
      </c>
      <c r="C637" s="35" t="s">
        <v>6368</v>
      </c>
      <c r="D637" s="35" t="s">
        <v>6369</v>
      </c>
      <c r="E637" s="35" t="s">
        <v>6370</v>
      </c>
      <c r="F637" s="35" t="s">
        <v>3036</v>
      </c>
      <c r="G637" s="35" t="s">
        <v>461</v>
      </c>
      <c r="H637" s="27" t="s">
        <v>6933</v>
      </c>
      <c r="I637" s="62">
        <v>1309</v>
      </c>
      <c r="J637" s="62">
        <v>130950</v>
      </c>
      <c r="K637" s="63">
        <v>4</v>
      </c>
      <c r="L637" s="35" t="s">
        <v>6018</v>
      </c>
      <c r="M637" s="35"/>
      <c r="N637" s="35" t="s">
        <v>810</v>
      </c>
      <c r="O637" s="35" t="s">
        <v>693</v>
      </c>
      <c r="P637" s="35"/>
      <c r="Q637" s="35" t="s">
        <v>5535</v>
      </c>
      <c r="R637" s="35" t="s">
        <v>60</v>
      </c>
      <c r="S637" s="35"/>
      <c r="T637" s="35" t="s">
        <v>4742</v>
      </c>
      <c r="U637" s="35" t="s">
        <v>6371</v>
      </c>
      <c r="V637" s="35"/>
      <c r="W637" s="35" t="s">
        <v>6372</v>
      </c>
      <c r="X637" s="35" t="s">
        <v>6373</v>
      </c>
      <c r="Y637" s="35" t="s">
        <v>6374</v>
      </c>
      <c r="Z637" s="35"/>
      <c r="AA637" s="35"/>
      <c r="AB637" s="35">
        <v>130950010</v>
      </c>
      <c r="AC637" s="35">
        <v>130950010007</v>
      </c>
      <c r="AD637" s="35">
        <v>130950010007001</v>
      </c>
      <c r="AE637" s="63">
        <v>5</v>
      </c>
      <c r="AF637" s="63" t="s">
        <v>772</v>
      </c>
      <c r="AG637" s="29" t="s">
        <v>65</v>
      </c>
      <c r="AH637" s="75"/>
      <c r="AI637" s="65" t="s">
        <v>65</v>
      </c>
      <c r="AJ637" s="32" t="s">
        <v>6939</v>
      </c>
      <c r="AK637" s="33" t="s">
        <v>92</v>
      </c>
      <c r="AL637" s="58"/>
      <c r="AM637" s="35"/>
      <c r="AN637" s="35"/>
      <c r="AO637" s="35"/>
      <c r="AP637" s="35"/>
      <c r="AQ637" s="37">
        <f t="shared" si="30"/>
        <v>0</v>
      </c>
      <c r="AR637" s="38">
        <f t="shared" si="31"/>
        <v>0</v>
      </c>
      <c r="AS637" s="39">
        <f t="shared" si="32"/>
        <v>0</v>
      </c>
      <c r="AT637" s="99"/>
      <c r="AU637" s="99" t="s">
        <v>1356</v>
      </c>
      <c r="AV637" s="99"/>
      <c r="AW637" s="100"/>
      <c r="AX637" s="99"/>
      <c r="AY637" s="101"/>
      <c r="AZ637" s="99"/>
      <c r="BA637" s="99" t="s">
        <v>1356</v>
      </c>
      <c r="BB637" s="99"/>
      <c r="BC637" s="101"/>
      <c r="BD637" s="99"/>
      <c r="BE637" s="101"/>
      <c r="BF637" s="99"/>
      <c r="BG637" s="99" t="s">
        <v>1356</v>
      </c>
      <c r="BH637" s="99"/>
      <c r="BI637" s="101"/>
      <c r="BJ637" s="99"/>
      <c r="BK637" s="101"/>
      <c r="BL637" s="99"/>
      <c r="BM637" s="99" t="s">
        <v>1356</v>
      </c>
      <c r="BN637" s="99"/>
      <c r="BO637" s="101"/>
      <c r="BP637" s="99"/>
      <c r="BQ637" s="101"/>
      <c r="BR637" s="99"/>
      <c r="BS637" s="99" t="s">
        <v>1356</v>
      </c>
      <c r="BT637" s="99"/>
      <c r="BU637" s="101"/>
      <c r="BV637" s="99"/>
      <c r="BW637" s="101"/>
      <c r="BX637" s="119"/>
      <c r="BY637" s="119" t="s">
        <v>1356</v>
      </c>
      <c r="BZ637" s="119"/>
      <c r="CA637" s="120"/>
      <c r="CB637" s="119"/>
      <c r="CC637" s="120"/>
      <c r="CD637" s="119"/>
      <c r="CE637" s="119" t="s">
        <v>1356</v>
      </c>
      <c r="CF637" s="119"/>
      <c r="CG637" s="120"/>
      <c r="CH637" s="119"/>
      <c r="CI637" s="120"/>
      <c r="CJ637" s="119"/>
      <c r="CK637" s="119" t="s">
        <v>1356</v>
      </c>
      <c r="CL637" s="119"/>
      <c r="CM637" s="120"/>
      <c r="CN637" s="119"/>
      <c r="CO637" s="120"/>
      <c r="CP637" s="119"/>
      <c r="CQ637" s="119" t="s">
        <v>1356</v>
      </c>
      <c r="CR637" s="119"/>
      <c r="CS637" s="120"/>
      <c r="CT637" s="119"/>
      <c r="CU637" s="120"/>
      <c r="CV637" s="119"/>
      <c r="CW637" s="119" t="s">
        <v>1356</v>
      </c>
      <c r="CX637" s="119"/>
      <c r="CY637" s="120"/>
      <c r="CZ637" s="119"/>
      <c r="DA637" s="120"/>
      <c r="DB637" s="35"/>
      <c r="DC637" s="59"/>
    </row>
    <row r="638" spans="1:107" s="40" customFormat="1" x14ac:dyDescent="0.3">
      <c r="A638" s="35" t="s">
        <v>4219</v>
      </c>
      <c r="B638" s="35" t="s">
        <v>6375</v>
      </c>
      <c r="C638" s="35" t="s">
        <v>6376</v>
      </c>
      <c r="D638" s="35" t="s">
        <v>6377</v>
      </c>
      <c r="E638" s="35" t="s">
        <v>6378</v>
      </c>
      <c r="F638" s="35" t="s">
        <v>3036</v>
      </c>
      <c r="G638" s="35" t="s">
        <v>461</v>
      </c>
      <c r="H638" s="27" t="s">
        <v>6933</v>
      </c>
      <c r="I638" s="62">
        <v>1314</v>
      </c>
      <c r="J638" s="62">
        <v>131450</v>
      </c>
      <c r="K638" s="63">
        <v>4</v>
      </c>
      <c r="L638" s="35" t="s">
        <v>6379</v>
      </c>
      <c r="M638" s="35" t="s">
        <v>258</v>
      </c>
      <c r="N638" s="35" t="s">
        <v>6380</v>
      </c>
      <c r="O638" s="35" t="s">
        <v>3061</v>
      </c>
      <c r="P638" s="35" t="s">
        <v>764</v>
      </c>
      <c r="Q638" s="35" t="s">
        <v>6381</v>
      </c>
      <c r="R638" s="35" t="s">
        <v>60</v>
      </c>
      <c r="S638" s="35"/>
      <c r="T638" s="35" t="s">
        <v>6382</v>
      </c>
      <c r="U638" s="35"/>
      <c r="V638" s="35"/>
      <c r="W638" s="35" t="s">
        <v>6383</v>
      </c>
      <c r="X638" s="35" t="s">
        <v>6384</v>
      </c>
      <c r="Y638" s="35" t="s">
        <v>6385</v>
      </c>
      <c r="Z638" s="35"/>
      <c r="AA638" s="35"/>
      <c r="AB638" s="35">
        <v>131450006</v>
      </c>
      <c r="AC638" s="35">
        <v>131450006009</v>
      </c>
      <c r="AD638" s="35">
        <v>131450006009005</v>
      </c>
      <c r="AE638" s="63">
        <v>5</v>
      </c>
      <c r="AF638" s="63" t="s">
        <v>772</v>
      </c>
      <c r="AG638" s="29" t="s">
        <v>65</v>
      </c>
      <c r="AH638" s="75"/>
      <c r="AI638" s="65" t="s">
        <v>66</v>
      </c>
      <c r="AJ638" s="32" t="s">
        <v>6938</v>
      </c>
      <c r="AK638" s="33" t="s">
        <v>67</v>
      </c>
      <c r="AL638" s="58">
        <v>45574</v>
      </c>
      <c r="AM638" s="35" t="s">
        <v>66</v>
      </c>
      <c r="AN638" s="35"/>
      <c r="AO638" s="35"/>
      <c r="AP638" s="35"/>
      <c r="AQ638" s="37">
        <f t="shared" si="30"/>
        <v>0</v>
      </c>
      <c r="AR638" s="38">
        <f t="shared" si="31"/>
        <v>0</v>
      </c>
      <c r="AS638" s="39">
        <f t="shared" si="32"/>
        <v>0</v>
      </c>
      <c r="AT638" s="99"/>
      <c r="AU638" s="99" t="s">
        <v>1356</v>
      </c>
      <c r="AV638" s="99"/>
      <c r="AW638" s="100"/>
      <c r="AX638" s="99"/>
      <c r="AY638" s="101"/>
      <c r="AZ638" s="99"/>
      <c r="BA638" s="99" t="s">
        <v>1356</v>
      </c>
      <c r="BB638" s="99"/>
      <c r="BC638" s="101"/>
      <c r="BD638" s="99"/>
      <c r="BE638" s="101"/>
      <c r="BF638" s="99"/>
      <c r="BG638" s="99" t="s">
        <v>1356</v>
      </c>
      <c r="BH638" s="99"/>
      <c r="BI638" s="101"/>
      <c r="BJ638" s="99"/>
      <c r="BK638" s="101"/>
      <c r="BL638" s="99"/>
      <c r="BM638" s="99" t="s">
        <v>1356</v>
      </c>
      <c r="BN638" s="99"/>
      <c r="BO638" s="101"/>
      <c r="BP638" s="99"/>
      <c r="BQ638" s="101"/>
      <c r="BR638" s="99"/>
      <c r="BS638" s="99" t="s">
        <v>1356</v>
      </c>
      <c r="BT638" s="99"/>
      <c r="BU638" s="101"/>
      <c r="BV638" s="99"/>
      <c r="BW638" s="101"/>
      <c r="BX638" s="119"/>
      <c r="BY638" s="119" t="s">
        <v>1356</v>
      </c>
      <c r="BZ638" s="119"/>
      <c r="CA638" s="120"/>
      <c r="CB638" s="119"/>
      <c r="CC638" s="120"/>
      <c r="CD638" s="119"/>
      <c r="CE638" s="119" t="s">
        <v>1356</v>
      </c>
      <c r="CF638" s="119"/>
      <c r="CG638" s="120"/>
      <c r="CH638" s="119"/>
      <c r="CI638" s="120"/>
      <c r="CJ638" s="119"/>
      <c r="CK638" s="119" t="s">
        <v>1356</v>
      </c>
      <c r="CL638" s="119"/>
      <c r="CM638" s="120"/>
      <c r="CN638" s="119"/>
      <c r="CO638" s="120"/>
      <c r="CP638" s="119"/>
      <c r="CQ638" s="119" t="s">
        <v>1356</v>
      </c>
      <c r="CR638" s="119"/>
      <c r="CS638" s="120"/>
      <c r="CT638" s="119"/>
      <c r="CU638" s="120"/>
      <c r="CV638" s="119"/>
      <c r="CW638" s="119" t="s">
        <v>1356</v>
      </c>
      <c r="CX638" s="119"/>
      <c r="CY638" s="120"/>
      <c r="CZ638" s="119"/>
      <c r="DA638" s="120"/>
      <c r="DB638" s="36" t="s">
        <v>7085</v>
      </c>
      <c r="DC638" s="59" t="s">
        <v>105</v>
      </c>
    </row>
    <row r="639" spans="1:107" s="40" customFormat="1" ht="14.55" customHeight="1" x14ac:dyDescent="0.3">
      <c r="A639" s="35" t="s">
        <v>4219</v>
      </c>
      <c r="B639" s="35" t="s">
        <v>6386</v>
      </c>
      <c r="C639" s="35" t="s">
        <v>6387</v>
      </c>
      <c r="D639" s="35" t="s">
        <v>6388</v>
      </c>
      <c r="E639" s="35" t="s">
        <v>70</v>
      </c>
      <c r="F639" s="35" t="s">
        <v>1493</v>
      </c>
      <c r="G639" s="35" t="s">
        <v>4237</v>
      </c>
      <c r="H639" s="27" t="s">
        <v>686</v>
      </c>
      <c r="I639" s="62">
        <v>906</v>
      </c>
      <c r="J639" s="62">
        <v>90650</v>
      </c>
      <c r="K639" s="63">
        <v>4</v>
      </c>
      <c r="L639" s="35" t="s">
        <v>6389</v>
      </c>
      <c r="M639" s="35" t="s">
        <v>4601</v>
      </c>
      <c r="N639" s="35" t="s">
        <v>6390</v>
      </c>
      <c r="O639" s="35" t="s">
        <v>1319</v>
      </c>
      <c r="P639" s="35"/>
      <c r="Q639" s="35" t="s">
        <v>6391</v>
      </c>
      <c r="R639" s="35" t="s">
        <v>766</v>
      </c>
      <c r="S639" s="35" t="s">
        <v>6392</v>
      </c>
      <c r="T639" s="35" t="s">
        <v>4544</v>
      </c>
      <c r="U639" s="35"/>
      <c r="V639" s="35"/>
      <c r="W639" s="35" t="s">
        <v>6393</v>
      </c>
      <c r="X639" s="35" t="s">
        <v>6394</v>
      </c>
      <c r="Y639" s="35" t="s">
        <v>6395</v>
      </c>
      <c r="Z639" s="35">
        <v>-79.890546000000001</v>
      </c>
      <c r="AA639" s="35">
        <v>-2.0486430000000002</v>
      </c>
      <c r="AB639" s="35">
        <v>90650024</v>
      </c>
      <c r="AC639" s="35">
        <v>90650024006</v>
      </c>
      <c r="AD639" s="35">
        <v>90650024006004</v>
      </c>
      <c r="AE639" s="63">
        <v>5</v>
      </c>
      <c r="AF639" s="63" t="s">
        <v>772</v>
      </c>
      <c r="AG639" s="29" t="s">
        <v>65</v>
      </c>
      <c r="AH639" s="75"/>
      <c r="AI639" s="65" t="s">
        <v>65</v>
      </c>
      <c r="AJ639" s="32" t="s">
        <v>6938</v>
      </c>
      <c r="AK639" s="33" t="s">
        <v>92</v>
      </c>
      <c r="AL639" s="58">
        <v>45575</v>
      </c>
      <c r="AM639" s="35"/>
      <c r="AN639" s="35"/>
      <c r="AO639" s="35"/>
      <c r="AP639" s="35"/>
      <c r="AQ639" s="37">
        <f t="shared" si="30"/>
        <v>0</v>
      </c>
      <c r="AR639" s="38">
        <f t="shared" si="31"/>
        <v>0</v>
      </c>
      <c r="AS639" s="39">
        <f t="shared" si="32"/>
        <v>0</v>
      </c>
      <c r="AT639" s="99"/>
      <c r="AU639" s="99" t="s">
        <v>1356</v>
      </c>
      <c r="AV639" s="99"/>
      <c r="AW639" s="100"/>
      <c r="AX639" s="99"/>
      <c r="AY639" s="101"/>
      <c r="AZ639" s="99"/>
      <c r="BA639" s="99" t="s">
        <v>1356</v>
      </c>
      <c r="BB639" s="99"/>
      <c r="BC639" s="101"/>
      <c r="BD639" s="99"/>
      <c r="BE639" s="101"/>
      <c r="BF639" s="99"/>
      <c r="BG639" s="99" t="s">
        <v>1356</v>
      </c>
      <c r="BH639" s="99"/>
      <c r="BI639" s="101"/>
      <c r="BJ639" s="99"/>
      <c r="BK639" s="101"/>
      <c r="BL639" s="99"/>
      <c r="BM639" s="99" t="s">
        <v>1356</v>
      </c>
      <c r="BN639" s="99"/>
      <c r="BO639" s="101"/>
      <c r="BP639" s="99"/>
      <c r="BQ639" s="101"/>
      <c r="BR639" s="99"/>
      <c r="BS639" s="99" t="s">
        <v>1356</v>
      </c>
      <c r="BT639" s="99"/>
      <c r="BU639" s="101"/>
      <c r="BV639" s="99"/>
      <c r="BW639" s="101"/>
      <c r="BX639" s="119"/>
      <c r="BY639" s="119" t="s">
        <v>1356</v>
      </c>
      <c r="BZ639" s="119"/>
      <c r="CA639" s="120"/>
      <c r="CB639" s="119"/>
      <c r="CC639" s="120"/>
      <c r="CD639" s="119"/>
      <c r="CE639" s="119" t="s">
        <v>1356</v>
      </c>
      <c r="CF639" s="119"/>
      <c r="CG639" s="120"/>
      <c r="CH639" s="119"/>
      <c r="CI639" s="120"/>
      <c r="CJ639" s="119"/>
      <c r="CK639" s="119" t="s">
        <v>1356</v>
      </c>
      <c r="CL639" s="119"/>
      <c r="CM639" s="120"/>
      <c r="CN639" s="119"/>
      <c r="CO639" s="120"/>
      <c r="CP639" s="119"/>
      <c r="CQ639" s="119" t="s">
        <v>1356</v>
      </c>
      <c r="CR639" s="119"/>
      <c r="CS639" s="120"/>
      <c r="CT639" s="119"/>
      <c r="CU639" s="120"/>
      <c r="CV639" s="119"/>
      <c r="CW639" s="119" t="s">
        <v>1356</v>
      </c>
      <c r="CX639" s="119"/>
      <c r="CY639" s="120"/>
      <c r="CZ639" s="119"/>
      <c r="DA639" s="120"/>
      <c r="DB639" s="36" t="s">
        <v>7085</v>
      </c>
      <c r="DC639" s="59" t="s">
        <v>92</v>
      </c>
    </row>
    <row r="640" spans="1:107" s="40" customFormat="1" ht="14.55" customHeight="1" x14ac:dyDescent="0.3">
      <c r="A640" s="42" t="s">
        <v>3456</v>
      </c>
      <c r="B640" s="42" t="s">
        <v>4041</v>
      </c>
      <c r="C640" s="42" t="s">
        <v>2519</v>
      </c>
      <c r="D640" s="42" t="s">
        <v>2520</v>
      </c>
      <c r="E640" s="42" t="s">
        <v>2521</v>
      </c>
      <c r="F640" s="42" t="s">
        <v>420</v>
      </c>
      <c r="G640" s="42" t="s">
        <v>1941</v>
      </c>
      <c r="H640" s="43" t="s">
        <v>6927</v>
      </c>
      <c r="I640" s="44">
        <v>601</v>
      </c>
      <c r="J640" s="44">
        <v>60150</v>
      </c>
      <c r="K640" s="45">
        <v>3</v>
      </c>
      <c r="L640" s="42" t="s">
        <v>2522</v>
      </c>
      <c r="M640" s="42" t="s">
        <v>2523</v>
      </c>
      <c r="N640" s="42" t="s">
        <v>1414</v>
      </c>
      <c r="O640" s="42"/>
      <c r="P640" s="42"/>
      <c r="Q640" s="42"/>
      <c r="R640" s="42"/>
      <c r="S640" s="42"/>
      <c r="T640" s="42"/>
      <c r="U640" s="42"/>
      <c r="V640" s="42"/>
      <c r="W640" s="42" t="s">
        <v>2524</v>
      </c>
      <c r="X640" s="42" t="s">
        <v>2525</v>
      </c>
      <c r="Y640" s="42" t="s">
        <v>2526</v>
      </c>
      <c r="Z640" s="42"/>
      <c r="AA640" s="42"/>
      <c r="AB640" s="42">
        <v>60150052</v>
      </c>
      <c r="AC640" s="42">
        <v>60150052009</v>
      </c>
      <c r="AD640" s="42">
        <v>60150052009009</v>
      </c>
      <c r="AE640" s="45">
        <v>2</v>
      </c>
      <c r="AF640" s="45" t="s">
        <v>64</v>
      </c>
      <c r="AG640" s="46" t="s">
        <v>66</v>
      </c>
      <c r="AH640" s="47">
        <v>30741</v>
      </c>
      <c r="AI640" s="48" t="s">
        <v>66</v>
      </c>
      <c r="AJ640" s="49" t="s">
        <v>6938</v>
      </c>
      <c r="AK640" s="50" t="s">
        <v>67</v>
      </c>
      <c r="AL640" s="51">
        <v>45590</v>
      </c>
      <c r="AM640" s="52" t="s">
        <v>66</v>
      </c>
      <c r="AN640" s="42"/>
      <c r="AO640" s="42"/>
      <c r="AP640" s="42"/>
      <c r="AQ640" s="53">
        <f t="shared" si="30"/>
        <v>0</v>
      </c>
      <c r="AR640" s="54">
        <f t="shared" si="31"/>
        <v>1</v>
      </c>
      <c r="AS640" s="55">
        <f t="shared" si="32"/>
        <v>1</v>
      </c>
      <c r="AT640" s="96"/>
      <c r="AU640" s="96" t="s">
        <v>1356</v>
      </c>
      <c r="AV640" s="96"/>
      <c r="AW640" s="97"/>
      <c r="AX640" s="96"/>
      <c r="AY640" s="98"/>
      <c r="AZ640" s="96"/>
      <c r="BA640" s="96" t="s">
        <v>1356</v>
      </c>
      <c r="BB640" s="96"/>
      <c r="BC640" s="98"/>
      <c r="BD640" s="96"/>
      <c r="BE640" s="98"/>
      <c r="BF640" s="96"/>
      <c r="BG640" s="96" t="s">
        <v>1356</v>
      </c>
      <c r="BH640" s="96"/>
      <c r="BI640" s="98"/>
      <c r="BJ640" s="96"/>
      <c r="BK640" s="98"/>
      <c r="BL640" s="96"/>
      <c r="BM640" s="96" t="s">
        <v>1356</v>
      </c>
      <c r="BN640" s="96"/>
      <c r="BO640" s="98"/>
      <c r="BP640" s="96"/>
      <c r="BQ640" s="98"/>
      <c r="BR640" s="96"/>
      <c r="BS640" s="96" t="s">
        <v>1356</v>
      </c>
      <c r="BT640" s="96"/>
      <c r="BU640" s="98"/>
      <c r="BV640" s="96"/>
      <c r="BW640" s="98"/>
      <c r="BX640" s="117" t="s">
        <v>1336</v>
      </c>
      <c r="BY640" s="117" t="s">
        <v>1381</v>
      </c>
      <c r="BZ640" s="117">
        <v>3.3</v>
      </c>
      <c r="CA640" s="118">
        <v>45590</v>
      </c>
      <c r="CB640" s="117"/>
      <c r="CC640" s="118"/>
      <c r="CD640" s="117"/>
      <c r="CE640" s="117" t="s">
        <v>1356</v>
      </c>
      <c r="CF640" s="117"/>
      <c r="CG640" s="118"/>
      <c r="CH640" s="117"/>
      <c r="CI640" s="118"/>
      <c r="CJ640" s="117"/>
      <c r="CK640" s="117" t="s">
        <v>1356</v>
      </c>
      <c r="CL640" s="117"/>
      <c r="CM640" s="118"/>
      <c r="CN640" s="117"/>
      <c r="CO640" s="118"/>
      <c r="CP640" s="117"/>
      <c r="CQ640" s="117" t="s">
        <v>1356</v>
      </c>
      <c r="CR640" s="117"/>
      <c r="CS640" s="118"/>
      <c r="CT640" s="117"/>
      <c r="CU640" s="118"/>
      <c r="CV640" s="117"/>
      <c r="CW640" s="117" t="s">
        <v>1356</v>
      </c>
      <c r="CX640" s="117"/>
      <c r="CY640" s="118"/>
      <c r="CZ640" s="117"/>
      <c r="DA640" s="118"/>
      <c r="DB640" s="52" t="s">
        <v>6962</v>
      </c>
      <c r="DC640" s="57" t="s">
        <v>105</v>
      </c>
    </row>
    <row r="641" spans="1:107" s="40" customFormat="1" x14ac:dyDescent="0.3">
      <c r="A641" s="42" t="s">
        <v>3456</v>
      </c>
      <c r="B641" s="42" t="s">
        <v>4044</v>
      </c>
      <c r="C641" s="42" t="s">
        <v>2542</v>
      </c>
      <c r="D641" s="42" t="s">
        <v>2543</v>
      </c>
      <c r="E641" s="42" t="s">
        <v>70</v>
      </c>
      <c r="F641" s="42" t="s">
        <v>825</v>
      </c>
      <c r="G641" s="42" t="s">
        <v>1941</v>
      </c>
      <c r="H641" s="43" t="s">
        <v>6927</v>
      </c>
      <c r="I641" s="44">
        <v>607</v>
      </c>
      <c r="J641" s="44">
        <v>60750</v>
      </c>
      <c r="K641" s="45">
        <v>3</v>
      </c>
      <c r="L641" s="42" t="s">
        <v>2544</v>
      </c>
      <c r="M641" s="42" t="s">
        <v>2545</v>
      </c>
      <c r="N641" s="42"/>
      <c r="O641" s="42"/>
      <c r="P641" s="42"/>
      <c r="Q641" s="42"/>
      <c r="R641" s="42"/>
      <c r="S641" s="42"/>
      <c r="T641" s="42"/>
      <c r="U641" s="42" t="s">
        <v>2546</v>
      </c>
      <c r="V641" s="42"/>
      <c r="W641" s="42" t="s">
        <v>2547</v>
      </c>
      <c r="X641" s="42" t="s">
        <v>2548</v>
      </c>
      <c r="Y641" s="42" t="s">
        <v>2549</v>
      </c>
      <c r="Z641" s="42"/>
      <c r="AA641" s="42"/>
      <c r="AB641" s="42"/>
      <c r="AC641" s="42"/>
      <c r="AD641" s="42"/>
      <c r="AE641" s="45">
        <v>2</v>
      </c>
      <c r="AF641" s="45" t="s">
        <v>64</v>
      </c>
      <c r="AG641" s="46" t="s">
        <v>66</v>
      </c>
      <c r="AH641" s="47">
        <v>30742</v>
      </c>
      <c r="AI641" s="48" t="s">
        <v>66</v>
      </c>
      <c r="AJ641" s="49" t="s">
        <v>6938</v>
      </c>
      <c r="AK641" s="50" t="s">
        <v>67</v>
      </c>
      <c r="AL641" s="51">
        <v>45590</v>
      </c>
      <c r="AM641" s="52" t="s">
        <v>66</v>
      </c>
      <c r="AN641" s="42"/>
      <c r="AO641" s="42"/>
      <c r="AP641" s="42"/>
      <c r="AQ641" s="53">
        <f t="shared" si="30"/>
        <v>0</v>
      </c>
      <c r="AR641" s="54">
        <f t="shared" si="31"/>
        <v>3</v>
      </c>
      <c r="AS641" s="55">
        <f t="shared" si="32"/>
        <v>3</v>
      </c>
      <c r="AT641" s="96"/>
      <c r="AU641" s="96" t="s">
        <v>1356</v>
      </c>
      <c r="AV641" s="96"/>
      <c r="AW641" s="97"/>
      <c r="AX641" s="96"/>
      <c r="AY641" s="98"/>
      <c r="AZ641" s="96"/>
      <c r="BA641" s="96" t="s">
        <v>1356</v>
      </c>
      <c r="BB641" s="96"/>
      <c r="BC641" s="98"/>
      <c r="BD641" s="96"/>
      <c r="BE641" s="98"/>
      <c r="BF641" s="96"/>
      <c r="BG641" s="96" t="s">
        <v>1356</v>
      </c>
      <c r="BH641" s="96"/>
      <c r="BI641" s="98"/>
      <c r="BJ641" s="96"/>
      <c r="BK641" s="98"/>
      <c r="BL641" s="96"/>
      <c r="BM641" s="96" t="s">
        <v>1356</v>
      </c>
      <c r="BN641" s="96"/>
      <c r="BO641" s="98"/>
      <c r="BP641" s="96"/>
      <c r="BQ641" s="98"/>
      <c r="BR641" s="96"/>
      <c r="BS641" s="96" t="s">
        <v>1356</v>
      </c>
      <c r="BT641" s="96"/>
      <c r="BU641" s="98"/>
      <c r="BV641" s="96"/>
      <c r="BW641" s="98"/>
      <c r="BX641" s="117" t="s">
        <v>1074</v>
      </c>
      <c r="BY641" s="117" t="s">
        <v>2550</v>
      </c>
      <c r="BZ641" s="117">
        <v>1.45</v>
      </c>
      <c r="CA641" s="118">
        <v>45590</v>
      </c>
      <c r="CB641" s="117"/>
      <c r="CC641" s="118"/>
      <c r="CD641" s="117" t="s">
        <v>1074</v>
      </c>
      <c r="CE641" s="117" t="s">
        <v>2550</v>
      </c>
      <c r="CF641" s="117">
        <v>25.5</v>
      </c>
      <c r="CG641" s="118">
        <v>45590</v>
      </c>
      <c r="CH641" s="117"/>
      <c r="CI641" s="118"/>
      <c r="CJ641" s="117" t="s">
        <v>2551</v>
      </c>
      <c r="CK641" s="117" t="s">
        <v>2552</v>
      </c>
      <c r="CL641" s="117">
        <v>1.23</v>
      </c>
      <c r="CM641" s="118">
        <v>45590</v>
      </c>
      <c r="CN641" s="117"/>
      <c r="CO641" s="118"/>
      <c r="CP641" s="117"/>
      <c r="CQ641" s="117" t="s">
        <v>1356</v>
      </c>
      <c r="CR641" s="117"/>
      <c r="CS641" s="118"/>
      <c r="CT641" s="117"/>
      <c r="CU641" s="118"/>
      <c r="CV641" s="117"/>
      <c r="CW641" s="117" t="s">
        <v>1356</v>
      </c>
      <c r="CX641" s="117"/>
      <c r="CY641" s="118"/>
      <c r="CZ641" s="117"/>
      <c r="DA641" s="118"/>
      <c r="DB641" s="52" t="s">
        <v>6962</v>
      </c>
      <c r="DC641" s="57" t="s">
        <v>105</v>
      </c>
    </row>
    <row r="642" spans="1:107" s="40" customFormat="1" ht="14.55" customHeight="1" x14ac:dyDescent="0.3">
      <c r="A642" s="35" t="s">
        <v>4219</v>
      </c>
      <c r="B642" s="35" t="s">
        <v>6416</v>
      </c>
      <c r="C642" s="35" t="s">
        <v>6417</v>
      </c>
      <c r="D642" s="35" t="s">
        <v>6418</v>
      </c>
      <c r="E642" s="35" t="s">
        <v>6418</v>
      </c>
      <c r="F642" s="35" t="s">
        <v>4289</v>
      </c>
      <c r="G642" s="35" t="s">
        <v>4237</v>
      </c>
      <c r="H642" s="27" t="s">
        <v>686</v>
      </c>
      <c r="I642" s="62">
        <v>916</v>
      </c>
      <c r="J642" s="62">
        <v>91650</v>
      </c>
      <c r="K642" s="63">
        <v>4</v>
      </c>
      <c r="L642" s="35" t="s">
        <v>6419</v>
      </c>
      <c r="M642" s="35" t="s">
        <v>258</v>
      </c>
      <c r="N642" s="35" t="s">
        <v>258</v>
      </c>
      <c r="O642" s="35" t="s">
        <v>6420</v>
      </c>
      <c r="P642" s="35" t="s">
        <v>6421</v>
      </c>
      <c r="Q642" s="35"/>
      <c r="R642" s="35" t="s">
        <v>60</v>
      </c>
      <c r="S642" s="35"/>
      <c r="T642" s="35"/>
      <c r="U642" s="35"/>
      <c r="V642" s="35"/>
      <c r="W642" s="35" t="s">
        <v>6422</v>
      </c>
      <c r="X642" s="35" t="s">
        <v>6423</v>
      </c>
      <c r="Y642" s="35" t="s">
        <v>6424</v>
      </c>
      <c r="Z642" s="35"/>
      <c r="AA642" s="35"/>
      <c r="AB642" s="35">
        <v>91650017</v>
      </c>
      <c r="AC642" s="35">
        <v>91650017007</v>
      </c>
      <c r="AD642" s="35">
        <v>91650017007008</v>
      </c>
      <c r="AE642" s="63">
        <v>5</v>
      </c>
      <c r="AF642" s="63" t="s">
        <v>772</v>
      </c>
      <c r="AG642" s="29" t="s">
        <v>65</v>
      </c>
      <c r="AH642" s="75"/>
      <c r="AI642" s="65" t="s">
        <v>65</v>
      </c>
      <c r="AJ642" s="32" t="s">
        <v>6938</v>
      </c>
      <c r="AK642" s="33" t="s">
        <v>92</v>
      </c>
      <c r="AL642" s="34">
        <v>45562</v>
      </c>
      <c r="AM642" s="35"/>
      <c r="AN642" s="35"/>
      <c r="AO642" s="35"/>
      <c r="AP642" s="35"/>
      <c r="AQ642" s="37">
        <f t="shared" si="30"/>
        <v>0</v>
      </c>
      <c r="AR642" s="38">
        <f t="shared" si="31"/>
        <v>0</v>
      </c>
      <c r="AS642" s="39">
        <f t="shared" si="32"/>
        <v>0</v>
      </c>
      <c r="AT642" s="99"/>
      <c r="AU642" s="99" t="s">
        <v>1356</v>
      </c>
      <c r="AV642" s="99"/>
      <c r="AW642" s="100"/>
      <c r="AX642" s="99"/>
      <c r="AY642" s="101"/>
      <c r="AZ642" s="99"/>
      <c r="BA642" s="99" t="s">
        <v>1356</v>
      </c>
      <c r="BB642" s="99"/>
      <c r="BC642" s="101"/>
      <c r="BD642" s="99"/>
      <c r="BE642" s="101"/>
      <c r="BF642" s="99"/>
      <c r="BG642" s="99" t="s">
        <v>1356</v>
      </c>
      <c r="BH642" s="99"/>
      <c r="BI642" s="101"/>
      <c r="BJ642" s="99"/>
      <c r="BK642" s="101"/>
      <c r="BL642" s="99"/>
      <c r="BM642" s="99" t="s">
        <v>1356</v>
      </c>
      <c r="BN642" s="99"/>
      <c r="BO642" s="101"/>
      <c r="BP642" s="99"/>
      <c r="BQ642" s="101"/>
      <c r="BR642" s="99"/>
      <c r="BS642" s="99" t="s">
        <v>1356</v>
      </c>
      <c r="BT642" s="99"/>
      <c r="BU642" s="101"/>
      <c r="BV642" s="99"/>
      <c r="BW642" s="101"/>
      <c r="BX642" s="119"/>
      <c r="BY642" s="119" t="s">
        <v>1356</v>
      </c>
      <c r="BZ642" s="119"/>
      <c r="CA642" s="120"/>
      <c r="CB642" s="119"/>
      <c r="CC642" s="120"/>
      <c r="CD642" s="119"/>
      <c r="CE642" s="119" t="s">
        <v>1356</v>
      </c>
      <c r="CF642" s="119"/>
      <c r="CG642" s="120"/>
      <c r="CH642" s="119"/>
      <c r="CI642" s="120"/>
      <c r="CJ642" s="119"/>
      <c r="CK642" s="119" t="s">
        <v>1356</v>
      </c>
      <c r="CL642" s="119"/>
      <c r="CM642" s="120"/>
      <c r="CN642" s="119"/>
      <c r="CO642" s="120"/>
      <c r="CP642" s="119"/>
      <c r="CQ642" s="119" t="s">
        <v>1356</v>
      </c>
      <c r="CR642" s="119"/>
      <c r="CS642" s="120"/>
      <c r="CT642" s="119"/>
      <c r="CU642" s="120"/>
      <c r="CV642" s="119"/>
      <c r="CW642" s="119" t="s">
        <v>1356</v>
      </c>
      <c r="CX642" s="119"/>
      <c r="CY642" s="120"/>
      <c r="CZ642" s="119"/>
      <c r="DA642" s="120"/>
      <c r="DB642" s="36" t="s">
        <v>7085</v>
      </c>
      <c r="DC642" s="59" t="s">
        <v>92</v>
      </c>
    </row>
    <row r="643" spans="1:107" s="40" customFormat="1" x14ac:dyDescent="0.3">
      <c r="A643" s="35" t="s">
        <v>4219</v>
      </c>
      <c r="B643" s="35" t="s">
        <v>6425</v>
      </c>
      <c r="C643" s="35" t="s">
        <v>6426</v>
      </c>
      <c r="D643" s="35" t="s">
        <v>6427</v>
      </c>
      <c r="E643" s="35" t="s">
        <v>6428</v>
      </c>
      <c r="F643" s="35" t="s">
        <v>3036</v>
      </c>
      <c r="G643" s="35" t="s">
        <v>4237</v>
      </c>
      <c r="H643" s="27" t="s">
        <v>686</v>
      </c>
      <c r="I643" s="62">
        <v>907</v>
      </c>
      <c r="J643" s="62">
        <v>90750</v>
      </c>
      <c r="K643" s="63">
        <v>4</v>
      </c>
      <c r="L643" s="35" t="s">
        <v>6214</v>
      </c>
      <c r="M643" s="35" t="s">
        <v>258</v>
      </c>
      <c r="N643" s="35" t="s">
        <v>258</v>
      </c>
      <c r="O643" s="35" t="s">
        <v>693</v>
      </c>
      <c r="P643" s="35"/>
      <c r="Q643" s="35"/>
      <c r="R643" s="35"/>
      <c r="S643" s="35"/>
      <c r="T643" s="35" t="s">
        <v>3206</v>
      </c>
      <c r="U643" s="35"/>
      <c r="V643" s="35"/>
      <c r="W643" s="35" t="s">
        <v>6429</v>
      </c>
      <c r="X643" s="35" t="s">
        <v>6430</v>
      </c>
      <c r="Y643" s="35" t="s">
        <v>6431</v>
      </c>
      <c r="Z643" s="35"/>
      <c r="AA643" s="35"/>
      <c r="AB643" s="35">
        <v>90750072</v>
      </c>
      <c r="AC643" s="35">
        <v>90750072006</v>
      </c>
      <c r="AD643" s="35">
        <v>90750072006009</v>
      </c>
      <c r="AE643" s="63">
        <v>5</v>
      </c>
      <c r="AF643" s="63" t="s">
        <v>772</v>
      </c>
      <c r="AG643" s="29" t="s">
        <v>65</v>
      </c>
      <c r="AH643" s="75"/>
      <c r="AI643" s="65" t="s">
        <v>66</v>
      </c>
      <c r="AJ643" s="32" t="s">
        <v>6938</v>
      </c>
      <c r="AK643" s="33" t="s">
        <v>67</v>
      </c>
      <c r="AL643" s="58">
        <v>45575</v>
      </c>
      <c r="AM643" s="35" t="s">
        <v>66</v>
      </c>
      <c r="AN643" s="35"/>
      <c r="AO643" s="35"/>
      <c r="AP643" s="35"/>
      <c r="AQ643" s="37">
        <f t="shared" si="30"/>
        <v>0</v>
      </c>
      <c r="AR643" s="38">
        <f t="shared" si="31"/>
        <v>0</v>
      </c>
      <c r="AS643" s="39">
        <f t="shared" si="32"/>
        <v>0</v>
      </c>
      <c r="AT643" s="99"/>
      <c r="AU643" s="99" t="s">
        <v>1356</v>
      </c>
      <c r="AV643" s="99"/>
      <c r="AW643" s="100"/>
      <c r="AX643" s="99"/>
      <c r="AY643" s="101"/>
      <c r="AZ643" s="99"/>
      <c r="BA643" s="99" t="s">
        <v>1356</v>
      </c>
      <c r="BB643" s="99"/>
      <c r="BC643" s="101"/>
      <c r="BD643" s="99"/>
      <c r="BE643" s="101"/>
      <c r="BF643" s="99"/>
      <c r="BG643" s="99" t="s">
        <v>1356</v>
      </c>
      <c r="BH643" s="99"/>
      <c r="BI643" s="101"/>
      <c r="BJ643" s="99"/>
      <c r="BK643" s="101"/>
      <c r="BL643" s="99"/>
      <c r="BM643" s="99" t="s">
        <v>1356</v>
      </c>
      <c r="BN643" s="99"/>
      <c r="BO643" s="101"/>
      <c r="BP643" s="99"/>
      <c r="BQ643" s="101"/>
      <c r="BR643" s="99"/>
      <c r="BS643" s="99" t="s">
        <v>1356</v>
      </c>
      <c r="BT643" s="99"/>
      <c r="BU643" s="101"/>
      <c r="BV643" s="99"/>
      <c r="BW643" s="101"/>
      <c r="BX643" s="119"/>
      <c r="BY643" s="119" t="s">
        <v>1356</v>
      </c>
      <c r="BZ643" s="119"/>
      <c r="CA643" s="120"/>
      <c r="CB643" s="119"/>
      <c r="CC643" s="120"/>
      <c r="CD643" s="119"/>
      <c r="CE643" s="119" t="s">
        <v>1356</v>
      </c>
      <c r="CF643" s="119"/>
      <c r="CG643" s="120"/>
      <c r="CH643" s="119"/>
      <c r="CI643" s="120"/>
      <c r="CJ643" s="119"/>
      <c r="CK643" s="119" t="s">
        <v>1356</v>
      </c>
      <c r="CL643" s="119"/>
      <c r="CM643" s="120"/>
      <c r="CN643" s="119"/>
      <c r="CO643" s="120"/>
      <c r="CP643" s="119"/>
      <c r="CQ643" s="119" t="s">
        <v>1356</v>
      </c>
      <c r="CR643" s="119"/>
      <c r="CS643" s="120"/>
      <c r="CT643" s="119"/>
      <c r="CU643" s="120"/>
      <c r="CV643" s="119"/>
      <c r="CW643" s="119" t="s">
        <v>1356</v>
      </c>
      <c r="CX643" s="119"/>
      <c r="CY643" s="120"/>
      <c r="CZ643" s="119"/>
      <c r="DA643" s="120"/>
      <c r="DB643" s="36" t="s">
        <v>7085</v>
      </c>
      <c r="DC643" s="59" t="s">
        <v>6751</v>
      </c>
    </row>
    <row r="644" spans="1:107" s="40" customFormat="1" ht="14.55" customHeight="1" x14ac:dyDescent="0.3">
      <c r="A644" s="42" t="s">
        <v>4108</v>
      </c>
      <c r="B644" s="42" t="s">
        <v>4152</v>
      </c>
      <c r="C644" s="42" t="s">
        <v>4153</v>
      </c>
      <c r="D644" s="42" t="s">
        <v>3015</v>
      </c>
      <c r="E644" s="42" t="s">
        <v>3015</v>
      </c>
      <c r="F644" s="42" t="s">
        <v>1493</v>
      </c>
      <c r="G644" s="42" t="s">
        <v>2928</v>
      </c>
      <c r="H644" s="43" t="s">
        <v>6929</v>
      </c>
      <c r="I644" s="44">
        <v>701</v>
      </c>
      <c r="J644" s="44">
        <v>70150</v>
      </c>
      <c r="K644" s="45">
        <v>4</v>
      </c>
      <c r="L644" s="42" t="s">
        <v>3016</v>
      </c>
      <c r="M644" s="42"/>
      <c r="N644" s="42" t="s">
        <v>810</v>
      </c>
      <c r="O644" s="42" t="s">
        <v>338</v>
      </c>
      <c r="P644" s="42"/>
      <c r="Q644" s="42"/>
      <c r="R644" s="42" t="s">
        <v>60</v>
      </c>
      <c r="S644" s="42"/>
      <c r="T644" s="42"/>
      <c r="U644" s="42"/>
      <c r="V644" s="42"/>
      <c r="W644" s="42" t="s">
        <v>3017</v>
      </c>
      <c r="X644" s="42" t="s">
        <v>3018</v>
      </c>
      <c r="Y644" s="42" t="s">
        <v>3019</v>
      </c>
      <c r="Z644" s="42"/>
      <c r="AA644" s="42"/>
      <c r="AB644" s="42">
        <v>70150074</v>
      </c>
      <c r="AC644" s="42">
        <v>70150074001</v>
      </c>
      <c r="AD644" s="42">
        <v>70150074001032</v>
      </c>
      <c r="AE644" s="45">
        <v>3</v>
      </c>
      <c r="AF644" s="45" t="s">
        <v>377</v>
      </c>
      <c r="AG644" s="46" t="s">
        <v>66</v>
      </c>
      <c r="AH644" s="47" t="s">
        <v>3020</v>
      </c>
      <c r="AI644" s="48" t="s">
        <v>66</v>
      </c>
      <c r="AJ644" s="49" t="s">
        <v>6938</v>
      </c>
      <c r="AK644" s="50" t="s">
        <v>67</v>
      </c>
      <c r="AL644" s="51">
        <v>45590</v>
      </c>
      <c r="AM644" s="52" t="s">
        <v>66</v>
      </c>
      <c r="AN644" s="42"/>
      <c r="AO644" s="42"/>
      <c r="AP644" s="42"/>
      <c r="AQ644" s="53">
        <f t="shared" si="30"/>
        <v>1</v>
      </c>
      <c r="AR644" s="54">
        <f t="shared" si="31"/>
        <v>0</v>
      </c>
      <c r="AS644" s="55">
        <f t="shared" si="32"/>
        <v>1</v>
      </c>
      <c r="AT644" s="96" t="s">
        <v>2574</v>
      </c>
      <c r="AU644" s="96" t="s">
        <v>3021</v>
      </c>
      <c r="AV644" s="96">
        <v>385.995</v>
      </c>
      <c r="AW644" s="97">
        <v>45590</v>
      </c>
      <c r="AX644" s="96">
        <v>385.995</v>
      </c>
      <c r="AY644" s="98">
        <v>45618</v>
      </c>
      <c r="AZ644" s="96"/>
      <c r="BA644" s="96" t="s">
        <v>1356</v>
      </c>
      <c r="BB644" s="96"/>
      <c r="BC644" s="98"/>
      <c r="BD644" s="96"/>
      <c r="BE644" s="98"/>
      <c r="BF644" s="96"/>
      <c r="BG644" s="96" t="s">
        <v>1356</v>
      </c>
      <c r="BH644" s="96"/>
      <c r="BI644" s="98"/>
      <c r="BJ644" s="96"/>
      <c r="BK644" s="98"/>
      <c r="BL644" s="96"/>
      <c r="BM644" s="96" t="s">
        <v>1356</v>
      </c>
      <c r="BN644" s="96"/>
      <c r="BO644" s="98"/>
      <c r="BP644" s="96"/>
      <c r="BQ644" s="98"/>
      <c r="BR644" s="96"/>
      <c r="BS644" s="96" t="s">
        <v>1356</v>
      </c>
      <c r="BT644" s="96"/>
      <c r="BU644" s="98"/>
      <c r="BV644" s="96"/>
      <c r="BW644" s="98"/>
      <c r="BX644" s="117"/>
      <c r="BY644" s="117" t="s">
        <v>1356</v>
      </c>
      <c r="BZ644" s="117"/>
      <c r="CA644" s="118"/>
      <c r="CB644" s="117"/>
      <c r="CC644" s="118"/>
      <c r="CD644" s="117"/>
      <c r="CE644" s="117" t="s">
        <v>1356</v>
      </c>
      <c r="CF644" s="117"/>
      <c r="CG644" s="118"/>
      <c r="CH644" s="117"/>
      <c r="CI644" s="118"/>
      <c r="CJ644" s="117"/>
      <c r="CK644" s="117" t="s">
        <v>1356</v>
      </c>
      <c r="CL644" s="117"/>
      <c r="CM644" s="118"/>
      <c r="CN644" s="117"/>
      <c r="CO644" s="118"/>
      <c r="CP644" s="117"/>
      <c r="CQ644" s="117" t="s">
        <v>1356</v>
      </c>
      <c r="CR644" s="117"/>
      <c r="CS644" s="118"/>
      <c r="CT644" s="117"/>
      <c r="CU644" s="118"/>
      <c r="CV644" s="117"/>
      <c r="CW644" s="117" t="s">
        <v>1356</v>
      </c>
      <c r="CX644" s="117"/>
      <c r="CY644" s="118"/>
      <c r="CZ644" s="117"/>
      <c r="DA644" s="118"/>
      <c r="DB644" s="52" t="s">
        <v>6962</v>
      </c>
      <c r="DC644" s="57" t="s">
        <v>105</v>
      </c>
    </row>
    <row r="645" spans="1:107" s="40" customFormat="1" ht="14.55" customHeight="1" x14ac:dyDescent="0.3">
      <c r="A645" s="42" t="s">
        <v>4108</v>
      </c>
      <c r="B645" s="42" t="s">
        <v>4159</v>
      </c>
      <c r="C645" s="42" t="s">
        <v>4160</v>
      </c>
      <c r="D645" s="42" t="s">
        <v>3042</v>
      </c>
      <c r="E645" s="42" t="s">
        <v>3043</v>
      </c>
      <c r="F645" s="42" t="s">
        <v>567</v>
      </c>
      <c r="G645" s="42" t="s">
        <v>404</v>
      </c>
      <c r="H645" s="43" t="s">
        <v>6930</v>
      </c>
      <c r="I645" s="44">
        <v>101</v>
      </c>
      <c r="J645" s="44">
        <v>10150</v>
      </c>
      <c r="K645" s="45">
        <v>4</v>
      </c>
      <c r="L645" s="42" t="s">
        <v>3044</v>
      </c>
      <c r="M645" s="42" t="s">
        <v>3045</v>
      </c>
      <c r="N645" s="42" t="s">
        <v>3046</v>
      </c>
      <c r="O645" s="42"/>
      <c r="P645" s="42"/>
      <c r="Q645" s="42"/>
      <c r="R645" s="42"/>
      <c r="S645" s="42"/>
      <c r="T645" s="42"/>
      <c r="U645" s="42"/>
      <c r="V645" s="42"/>
      <c r="W645" s="42" t="s">
        <v>3047</v>
      </c>
      <c r="X645" s="42" t="s">
        <v>3048</v>
      </c>
      <c r="Y645" s="42" t="s">
        <v>3049</v>
      </c>
      <c r="Z645" s="42">
        <v>-78.989184558391571</v>
      </c>
      <c r="AA645" s="42">
        <v>-2.8897000551223799</v>
      </c>
      <c r="AB645" s="42">
        <v>10150051</v>
      </c>
      <c r="AC645" s="42">
        <v>10150051003</v>
      </c>
      <c r="AD645" s="42">
        <v>10150051003001</v>
      </c>
      <c r="AE645" s="45">
        <v>4</v>
      </c>
      <c r="AF645" s="45" t="s">
        <v>499</v>
      </c>
      <c r="AG645" s="46" t="s">
        <v>66</v>
      </c>
      <c r="AH645" s="47" t="s">
        <v>3050</v>
      </c>
      <c r="AI645" s="48" t="s">
        <v>66</v>
      </c>
      <c r="AJ645" s="49" t="s">
        <v>6938</v>
      </c>
      <c r="AK645" s="50" t="s">
        <v>67</v>
      </c>
      <c r="AL645" s="51">
        <v>45590</v>
      </c>
      <c r="AM645" s="52" t="s">
        <v>66</v>
      </c>
      <c r="AN645" s="42"/>
      <c r="AO645" s="42"/>
      <c r="AP645" s="42"/>
      <c r="AQ645" s="53">
        <f t="shared" si="30"/>
        <v>1</v>
      </c>
      <c r="AR645" s="54">
        <f t="shared" si="31"/>
        <v>0</v>
      </c>
      <c r="AS645" s="55">
        <f t="shared" si="32"/>
        <v>1</v>
      </c>
      <c r="AT645" s="96" t="s">
        <v>1779</v>
      </c>
      <c r="AU645" s="96" t="s">
        <v>1780</v>
      </c>
      <c r="AV645" s="96">
        <v>38.42</v>
      </c>
      <c r="AW645" s="97">
        <v>45590</v>
      </c>
      <c r="AX645" s="96">
        <v>38.42</v>
      </c>
      <c r="AY645" s="98">
        <v>45617</v>
      </c>
      <c r="AZ645" s="96"/>
      <c r="BA645" s="96"/>
      <c r="BB645" s="96"/>
      <c r="BC645" s="98"/>
      <c r="BD645" s="96"/>
      <c r="BE645" s="98"/>
      <c r="BF645" s="96"/>
      <c r="BG645" s="96" t="s">
        <v>1356</v>
      </c>
      <c r="BH645" s="96"/>
      <c r="BI645" s="98"/>
      <c r="BJ645" s="96"/>
      <c r="BK645" s="98"/>
      <c r="BL645" s="96"/>
      <c r="BM645" s="96" t="s">
        <v>1356</v>
      </c>
      <c r="BN645" s="96"/>
      <c r="BO645" s="98"/>
      <c r="BP645" s="96"/>
      <c r="BQ645" s="98"/>
      <c r="BR645" s="96"/>
      <c r="BS645" s="96" t="s">
        <v>1356</v>
      </c>
      <c r="BT645" s="96"/>
      <c r="BU645" s="98"/>
      <c r="BV645" s="96"/>
      <c r="BW645" s="98"/>
      <c r="BX645" s="117"/>
      <c r="BY645" s="117" t="s">
        <v>1356</v>
      </c>
      <c r="BZ645" s="117"/>
      <c r="CA645" s="118"/>
      <c r="CB645" s="117"/>
      <c r="CC645" s="118"/>
      <c r="CD645" s="117"/>
      <c r="CE645" s="117" t="s">
        <v>1356</v>
      </c>
      <c r="CF645" s="117"/>
      <c r="CG645" s="118"/>
      <c r="CH645" s="117"/>
      <c r="CI645" s="118"/>
      <c r="CJ645" s="117"/>
      <c r="CK645" s="117" t="s">
        <v>1356</v>
      </c>
      <c r="CL645" s="117"/>
      <c r="CM645" s="118"/>
      <c r="CN645" s="117"/>
      <c r="CO645" s="118"/>
      <c r="CP645" s="117"/>
      <c r="CQ645" s="117" t="s">
        <v>1356</v>
      </c>
      <c r="CR645" s="117"/>
      <c r="CS645" s="118"/>
      <c r="CT645" s="117"/>
      <c r="CU645" s="118"/>
      <c r="CV645" s="117"/>
      <c r="CW645" s="117" t="s">
        <v>1356</v>
      </c>
      <c r="CX645" s="117"/>
      <c r="CY645" s="118"/>
      <c r="CZ645" s="117"/>
      <c r="DA645" s="118"/>
      <c r="DB645" s="52" t="s">
        <v>6962</v>
      </c>
      <c r="DC645" s="57" t="s">
        <v>105</v>
      </c>
    </row>
    <row r="646" spans="1:107" s="40" customFormat="1" x14ac:dyDescent="0.3">
      <c r="A646" s="35" t="s">
        <v>4219</v>
      </c>
      <c r="B646" s="35" t="s">
        <v>6449</v>
      </c>
      <c r="C646" s="35" t="s">
        <v>6450</v>
      </c>
      <c r="D646" s="35" t="s">
        <v>6451</v>
      </c>
      <c r="E646" s="35" t="s">
        <v>6452</v>
      </c>
      <c r="F646" s="35" t="s">
        <v>56</v>
      </c>
      <c r="G646" s="35" t="s">
        <v>461</v>
      </c>
      <c r="H646" s="27" t="s">
        <v>6933</v>
      </c>
      <c r="I646" s="62">
        <v>1309</v>
      </c>
      <c r="J646" s="62">
        <v>130950</v>
      </c>
      <c r="K646" s="63">
        <v>4</v>
      </c>
      <c r="L646" s="35" t="s">
        <v>6018</v>
      </c>
      <c r="M646" s="35"/>
      <c r="N646" s="35" t="s">
        <v>810</v>
      </c>
      <c r="O646" s="35" t="s">
        <v>3061</v>
      </c>
      <c r="P646" s="35"/>
      <c r="Q646" s="35"/>
      <c r="R646" s="35" t="s">
        <v>60</v>
      </c>
      <c r="S646" s="35"/>
      <c r="T646" s="35"/>
      <c r="U646" s="35" t="s">
        <v>5709</v>
      </c>
      <c r="V646" s="35"/>
      <c r="W646" s="35" t="s">
        <v>6453</v>
      </c>
      <c r="X646" s="35" t="s">
        <v>6454</v>
      </c>
      <c r="Y646" s="35" t="s">
        <v>6455</v>
      </c>
      <c r="Z646" s="35"/>
      <c r="AA646" s="35"/>
      <c r="AB646" s="35">
        <v>130950014</v>
      </c>
      <c r="AC646" s="35">
        <v>130950014007</v>
      </c>
      <c r="AD646" s="35">
        <v>130950014007003</v>
      </c>
      <c r="AE646" s="63">
        <v>5</v>
      </c>
      <c r="AF646" s="63" t="s">
        <v>772</v>
      </c>
      <c r="AG646" s="29" t="s">
        <v>65</v>
      </c>
      <c r="AH646" s="75"/>
      <c r="AI646" s="65" t="s">
        <v>66</v>
      </c>
      <c r="AJ646" s="32" t="s">
        <v>6938</v>
      </c>
      <c r="AK646" s="33" t="s">
        <v>67</v>
      </c>
      <c r="AL646" s="58">
        <v>45575</v>
      </c>
      <c r="AM646" s="35" t="s">
        <v>66</v>
      </c>
      <c r="AN646" s="35"/>
      <c r="AO646" s="35"/>
      <c r="AP646" s="35"/>
      <c r="AQ646" s="37">
        <f t="shared" ref="AQ646:AQ671" si="33">+COUNTA(AT646,AZ646,BF646,BL646,BR646)</f>
        <v>0</v>
      </c>
      <c r="AR646" s="38">
        <f t="shared" ref="AR646:AR671" si="34">+COUNTA(BX646,CD646,CJ646,CP646,CV646)</f>
        <v>0</v>
      </c>
      <c r="AS646" s="39">
        <f t="shared" ref="AS646:AS671" si="35">+AQ646+AR646</f>
        <v>0</v>
      </c>
      <c r="AT646" s="99"/>
      <c r="AU646" s="99" t="s">
        <v>1356</v>
      </c>
      <c r="AV646" s="99"/>
      <c r="AW646" s="100"/>
      <c r="AX646" s="99"/>
      <c r="AY646" s="101"/>
      <c r="AZ646" s="99"/>
      <c r="BA646" s="99" t="s">
        <v>1356</v>
      </c>
      <c r="BB646" s="99"/>
      <c r="BC646" s="101"/>
      <c r="BD646" s="99"/>
      <c r="BE646" s="101"/>
      <c r="BF646" s="99"/>
      <c r="BG646" s="99" t="s">
        <v>1356</v>
      </c>
      <c r="BH646" s="99"/>
      <c r="BI646" s="101"/>
      <c r="BJ646" s="99"/>
      <c r="BK646" s="101"/>
      <c r="BL646" s="99"/>
      <c r="BM646" s="99" t="s">
        <v>1356</v>
      </c>
      <c r="BN646" s="99"/>
      <c r="BO646" s="101"/>
      <c r="BP646" s="99"/>
      <c r="BQ646" s="101"/>
      <c r="BR646" s="99"/>
      <c r="BS646" s="99" t="s">
        <v>1356</v>
      </c>
      <c r="BT646" s="99"/>
      <c r="BU646" s="101"/>
      <c r="BV646" s="99"/>
      <c r="BW646" s="101"/>
      <c r="BX646" s="119"/>
      <c r="BY646" s="119" t="s">
        <v>1356</v>
      </c>
      <c r="BZ646" s="119"/>
      <c r="CA646" s="120"/>
      <c r="CB646" s="119"/>
      <c r="CC646" s="120"/>
      <c r="CD646" s="119"/>
      <c r="CE646" s="119" t="s">
        <v>1356</v>
      </c>
      <c r="CF646" s="119"/>
      <c r="CG646" s="120"/>
      <c r="CH646" s="119"/>
      <c r="CI646" s="120"/>
      <c r="CJ646" s="119"/>
      <c r="CK646" s="119" t="s">
        <v>1356</v>
      </c>
      <c r="CL646" s="119"/>
      <c r="CM646" s="120"/>
      <c r="CN646" s="119"/>
      <c r="CO646" s="120"/>
      <c r="CP646" s="119"/>
      <c r="CQ646" s="119" t="s">
        <v>1356</v>
      </c>
      <c r="CR646" s="119"/>
      <c r="CS646" s="120"/>
      <c r="CT646" s="119"/>
      <c r="CU646" s="120"/>
      <c r="CV646" s="119"/>
      <c r="CW646" s="119" t="s">
        <v>1356</v>
      </c>
      <c r="CX646" s="119"/>
      <c r="CY646" s="120"/>
      <c r="CZ646" s="119"/>
      <c r="DA646" s="120"/>
      <c r="DB646" s="36" t="s">
        <v>7085</v>
      </c>
      <c r="DC646" s="59" t="s">
        <v>6751</v>
      </c>
    </row>
    <row r="647" spans="1:107" s="40" customFormat="1" ht="14.55" customHeight="1" x14ac:dyDescent="0.3">
      <c r="A647" s="42" t="s">
        <v>4108</v>
      </c>
      <c r="B647" s="42" t="s">
        <v>4177</v>
      </c>
      <c r="C647" s="42" t="s">
        <v>4178</v>
      </c>
      <c r="D647" s="42" t="s">
        <v>3114</v>
      </c>
      <c r="E647" s="42" t="s">
        <v>3115</v>
      </c>
      <c r="F647" s="42" t="s">
        <v>220</v>
      </c>
      <c r="G647" s="42" t="s">
        <v>404</v>
      </c>
      <c r="H647" s="43" t="s">
        <v>6930</v>
      </c>
      <c r="I647" s="44">
        <v>101</v>
      </c>
      <c r="J647" s="44">
        <v>10150</v>
      </c>
      <c r="K647" s="45">
        <v>4</v>
      </c>
      <c r="L647" s="42" t="s">
        <v>3116</v>
      </c>
      <c r="M647" s="42" t="s">
        <v>3117</v>
      </c>
      <c r="N647" s="42" t="s">
        <v>3118</v>
      </c>
      <c r="O647" s="42"/>
      <c r="P647" s="42"/>
      <c r="Q647" s="42" t="s">
        <v>3115</v>
      </c>
      <c r="R647" s="42" t="s">
        <v>60</v>
      </c>
      <c r="S647" s="42"/>
      <c r="T647" s="42"/>
      <c r="U647" s="42" t="s">
        <v>2236</v>
      </c>
      <c r="V647" s="42"/>
      <c r="W647" s="42" t="s">
        <v>3119</v>
      </c>
      <c r="X647" s="42" t="s">
        <v>3120</v>
      </c>
      <c r="Y647" s="42" t="s">
        <v>3121</v>
      </c>
      <c r="Z647" s="42"/>
      <c r="AA647" s="42"/>
      <c r="AB647" s="42">
        <v>10150026</v>
      </c>
      <c r="AC647" s="42">
        <v>10150026008</v>
      </c>
      <c r="AD647" s="42">
        <v>10150026008010</v>
      </c>
      <c r="AE647" s="45">
        <v>5</v>
      </c>
      <c r="AF647" s="45" t="s">
        <v>772</v>
      </c>
      <c r="AG647" s="46" t="s">
        <v>66</v>
      </c>
      <c r="AH647" s="47" t="s">
        <v>3122</v>
      </c>
      <c r="AI647" s="48" t="s">
        <v>66</v>
      </c>
      <c r="AJ647" s="49" t="s">
        <v>6938</v>
      </c>
      <c r="AK647" s="50" t="s">
        <v>67</v>
      </c>
      <c r="AL647" s="51">
        <v>45590</v>
      </c>
      <c r="AM647" s="52" t="s">
        <v>66</v>
      </c>
      <c r="AN647" s="42"/>
      <c r="AO647" s="42"/>
      <c r="AP647" s="42"/>
      <c r="AQ647" s="53">
        <f t="shared" si="33"/>
        <v>5</v>
      </c>
      <c r="AR647" s="54">
        <f t="shared" si="34"/>
        <v>0</v>
      </c>
      <c r="AS647" s="55">
        <f t="shared" si="35"/>
        <v>5</v>
      </c>
      <c r="AT647" s="96" t="s">
        <v>3123</v>
      </c>
      <c r="AU647" s="96" t="s">
        <v>3353</v>
      </c>
      <c r="AV647" s="96">
        <v>0.89370000000000005</v>
      </c>
      <c r="AW647" s="97">
        <v>45590</v>
      </c>
      <c r="AX647" s="96">
        <v>0.89370000000000005</v>
      </c>
      <c r="AY647" s="98">
        <v>45618</v>
      </c>
      <c r="AZ647" s="96" t="s">
        <v>1212</v>
      </c>
      <c r="BA647" s="96" t="s">
        <v>1853</v>
      </c>
      <c r="BB647" s="96">
        <v>8.0220000000000002</v>
      </c>
      <c r="BC647" s="98">
        <v>45590</v>
      </c>
      <c r="BD647" s="96">
        <v>8.0220000000000002</v>
      </c>
      <c r="BE647" s="98">
        <v>45618</v>
      </c>
      <c r="BF647" s="96" t="s">
        <v>636</v>
      </c>
      <c r="BG647" s="96" t="s">
        <v>3354</v>
      </c>
      <c r="BH647" s="96">
        <v>4.8517000000000001</v>
      </c>
      <c r="BI647" s="98">
        <v>45590</v>
      </c>
      <c r="BJ647" s="96">
        <v>4.8517000000000001</v>
      </c>
      <c r="BK647" s="98">
        <v>45618</v>
      </c>
      <c r="BL647" s="96" t="s">
        <v>7081</v>
      </c>
      <c r="BM647" s="96" t="s">
        <v>3124</v>
      </c>
      <c r="BN647" s="96">
        <v>10.020899999999999</v>
      </c>
      <c r="BO647" s="98">
        <v>45590</v>
      </c>
      <c r="BP647" s="96">
        <v>10.020899999999999</v>
      </c>
      <c r="BQ647" s="98">
        <v>45618</v>
      </c>
      <c r="BR647" s="96" t="s">
        <v>1211</v>
      </c>
      <c r="BS647" s="96" t="s">
        <v>3344</v>
      </c>
      <c r="BT647" s="96">
        <v>9.8059999999999992</v>
      </c>
      <c r="BU647" s="98">
        <v>45590</v>
      </c>
      <c r="BV647" s="96">
        <v>9.8059999999999992</v>
      </c>
      <c r="BW647" s="98">
        <v>45618</v>
      </c>
      <c r="BX647" s="117"/>
      <c r="BY647" s="117" t="s">
        <v>1356</v>
      </c>
      <c r="BZ647" s="117"/>
      <c r="CA647" s="118"/>
      <c r="CB647" s="117"/>
      <c r="CC647" s="118"/>
      <c r="CD647" s="117"/>
      <c r="CE647" s="117" t="s">
        <v>1356</v>
      </c>
      <c r="CF647" s="117"/>
      <c r="CG647" s="118"/>
      <c r="CH647" s="117"/>
      <c r="CI647" s="118"/>
      <c r="CJ647" s="117"/>
      <c r="CK647" s="117" t="s">
        <v>1356</v>
      </c>
      <c r="CL647" s="117"/>
      <c r="CM647" s="118"/>
      <c r="CN647" s="117"/>
      <c r="CO647" s="118"/>
      <c r="CP647" s="117"/>
      <c r="CQ647" s="117" t="s">
        <v>1356</v>
      </c>
      <c r="CR647" s="117"/>
      <c r="CS647" s="118"/>
      <c r="CT647" s="117"/>
      <c r="CU647" s="118"/>
      <c r="CV647" s="117"/>
      <c r="CW647" s="117" t="s">
        <v>1356</v>
      </c>
      <c r="CX647" s="117"/>
      <c r="CY647" s="118"/>
      <c r="CZ647" s="117"/>
      <c r="DA647" s="118"/>
      <c r="DB647" s="52" t="s">
        <v>6962</v>
      </c>
      <c r="DC647" s="57" t="s">
        <v>105</v>
      </c>
    </row>
    <row r="648" spans="1:107" s="40" customFormat="1" ht="14.55" customHeight="1" x14ac:dyDescent="0.3">
      <c r="A648" s="42" t="s">
        <v>4108</v>
      </c>
      <c r="B648" s="42" t="s">
        <v>4179</v>
      </c>
      <c r="C648" s="42" t="s">
        <v>4180</v>
      </c>
      <c r="D648" s="42" t="s">
        <v>3125</v>
      </c>
      <c r="E648" s="42" t="s">
        <v>3126</v>
      </c>
      <c r="F648" s="42" t="s">
        <v>1493</v>
      </c>
      <c r="G648" s="42" t="s">
        <v>404</v>
      </c>
      <c r="H648" s="43" t="s">
        <v>6930</v>
      </c>
      <c r="I648" s="44">
        <v>101</v>
      </c>
      <c r="J648" s="44">
        <v>10156</v>
      </c>
      <c r="K648" s="45">
        <v>4</v>
      </c>
      <c r="L648" s="42" t="s">
        <v>3127</v>
      </c>
      <c r="M648" s="42"/>
      <c r="N648" s="42" t="s">
        <v>1017</v>
      </c>
      <c r="O648" s="42"/>
      <c r="P648" s="42"/>
      <c r="Q648" s="42" t="s">
        <v>3126</v>
      </c>
      <c r="R648" s="42" t="s">
        <v>60</v>
      </c>
      <c r="S648" s="42"/>
      <c r="T648" s="42"/>
      <c r="U648" s="42"/>
      <c r="V648" s="42"/>
      <c r="W648" s="42" t="s">
        <v>3128</v>
      </c>
      <c r="X648" s="42" t="s">
        <v>3129</v>
      </c>
      <c r="Y648" s="42" t="s">
        <v>3130</v>
      </c>
      <c r="Z648" s="42"/>
      <c r="AA648" s="42"/>
      <c r="AB648" s="42">
        <v>10156999</v>
      </c>
      <c r="AC648" s="42">
        <v>10156999012</v>
      </c>
      <c r="AD648" s="42"/>
      <c r="AE648" s="45">
        <v>5</v>
      </c>
      <c r="AF648" s="45" t="s">
        <v>772</v>
      </c>
      <c r="AG648" s="46" t="s">
        <v>66</v>
      </c>
      <c r="AH648" s="47" t="s">
        <v>3131</v>
      </c>
      <c r="AI648" s="48" t="s">
        <v>66</v>
      </c>
      <c r="AJ648" s="49" t="s">
        <v>6938</v>
      </c>
      <c r="AK648" s="50" t="s">
        <v>67</v>
      </c>
      <c r="AL648" s="51">
        <v>45590</v>
      </c>
      <c r="AM648" s="52" t="s">
        <v>66</v>
      </c>
      <c r="AN648" s="42"/>
      <c r="AO648" s="42"/>
      <c r="AP648" s="42"/>
      <c r="AQ648" s="53">
        <f t="shared" si="33"/>
        <v>3</v>
      </c>
      <c r="AR648" s="54">
        <f t="shared" si="34"/>
        <v>0</v>
      </c>
      <c r="AS648" s="55">
        <f t="shared" si="35"/>
        <v>3</v>
      </c>
      <c r="AT648" s="96" t="s">
        <v>3132</v>
      </c>
      <c r="AU648" s="96" t="s">
        <v>3355</v>
      </c>
      <c r="AV648" s="96">
        <v>2.5499999999999998</v>
      </c>
      <c r="AW648" s="97">
        <v>45590</v>
      </c>
      <c r="AX648" s="96">
        <v>2.5499999999999998</v>
      </c>
      <c r="AY648" s="98">
        <v>45618</v>
      </c>
      <c r="AZ648" s="96" t="s">
        <v>2572</v>
      </c>
      <c r="BA648" s="96" t="s">
        <v>2573</v>
      </c>
      <c r="BB648" s="96">
        <v>10.35</v>
      </c>
      <c r="BC648" s="98">
        <v>45590</v>
      </c>
      <c r="BD648" s="96">
        <v>10.35</v>
      </c>
      <c r="BE648" s="98">
        <v>45618</v>
      </c>
      <c r="BF648" s="96" t="s">
        <v>2572</v>
      </c>
      <c r="BG648" s="96" t="s">
        <v>2573</v>
      </c>
      <c r="BH648" s="96">
        <v>11.25</v>
      </c>
      <c r="BI648" s="98">
        <v>45590</v>
      </c>
      <c r="BJ648" s="96">
        <v>11.25</v>
      </c>
      <c r="BK648" s="98">
        <v>45618</v>
      </c>
      <c r="BL648" s="96"/>
      <c r="BM648" s="96" t="s">
        <v>1356</v>
      </c>
      <c r="BN648" s="96"/>
      <c r="BO648" s="98"/>
      <c r="BP648" s="96"/>
      <c r="BQ648" s="98"/>
      <c r="BR648" s="96"/>
      <c r="BS648" s="96" t="s">
        <v>1356</v>
      </c>
      <c r="BT648" s="96"/>
      <c r="BU648" s="98"/>
      <c r="BV648" s="96"/>
      <c r="BW648" s="98"/>
      <c r="BX648" s="117"/>
      <c r="BY648" s="117" t="s">
        <v>1356</v>
      </c>
      <c r="BZ648" s="117"/>
      <c r="CA648" s="118"/>
      <c r="CB648" s="117"/>
      <c r="CC648" s="118"/>
      <c r="CD648" s="117"/>
      <c r="CE648" s="117" t="s">
        <v>1356</v>
      </c>
      <c r="CF648" s="117"/>
      <c r="CG648" s="118"/>
      <c r="CH648" s="117"/>
      <c r="CI648" s="118"/>
      <c r="CJ648" s="117"/>
      <c r="CK648" s="117" t="s">
        <v>1356</v>
      </c>
      <c r="CL648" s="117"/>
      <c r="CM648" s="118"/>
      <c r="CN648" s="117"/>
      <c r="CO648" s="118"/>
      <c r="CP648" s="117"/>
      <c r="CQ648" s="117" t="s">
        <v>1356</v>
      </c>
      <c r="CR648" s="117"/>
      <c r="CS648" s="118"/>
      <c r="CT648" s="117"/>
      <c r="CU648" s="118"/>
      <c r="CV648" s="117"/>
      <c r="CW648" s="117" t="s">
        <v>1356</v>
      </c>
      <c r="CX648" s="117"/>
      <c r="CY648" s="118"/>
      <c r="CZ648" s="117"/>
      <c r="DA648" s="118"/>
      <c r="DB648" s="52" t="s">
        <v>6962</v>
      </c>
      <c r="DC648" s="57" t="s">
        <v>105</v>
      </c>
    </row>
    <row r="649" spans="1:107" s="40" customFormat="1" ht="14.55" customHeight="1" x14ac:dyDescent="0.3">
      <c r="A649" s="42" t="s">
        <v>4108</v>
      </c>
      <c r="B649" s="42" t="s">
        <v>4199</v>
      </c>
      <c r="C649" s="42" t="s">
        <v>4200</v>
      </c>
      <c r="D649" s="42" t="s">
        <v>3212</v>
      </c>
      <c r="E649" s="42" t="s">
        <v>3213</v>
      </c>
      <c r="F649" s="42" t="s">
        <v>1950</v>
      </c>
      <c r="G649" s="42" t="s">
        <v>404</v>
      </c>
      <c r="H649" s="43" t="s">
        <v>6930</v>
      </c>
      <c r="I649" s="44">
        <v>101</v>
      </c>
      <c r="J649" s="44">
        <v>10150</v>
      </c>
      <c r="K649" s="45">
        <v>4</v>
      </c>
      <c r="L649" s="42" t="s">
        <v>3214</v>
      </c>
      <c r="M649" s="42"/>
      <c r="N649" s="42" t="s">
        <v>3215</v>
      </c>
      <c r="O649" s="42"/>
      <c r="P649" s="42"/>
      <c r="Q649" s="42" t="s">
        <v>3216</v>
      </c>
      <c r="R649" s="42" t="s">
        <v>60</v>
      </c>
      <c r="S649" s="42"/>
      <c r="T649" s="42"/>
      <c r="U649" s="42" t="s">
        <v>1318</v>
      </c>
      <c r="V649" s="42"/>
      <c r="W649" s="42" t="s">
        <v>3217</v>
      </c>
      <c r="X649" s="42" t="s">
        <v>3218</v>
      </c>
      <c r="Y649" s="42" t="s">
        <v>3219</v>
      </c>
      <c r="Z649" s="42"/>
      <c r="AA649" s="42"/>
      <c r="AB649" s="42">
        <v>10150098</v>
      </c>
      <c r="AC649" s="42">
        <v>10150098013</v>
      </c>
      <c r="AD649" s="42">
        <v>10150098013001</v>
      </c>
      <c r="AE649" s="45">
        <v>5</v>
      </c>
      <c r="AF649" s="45" t="s">
        <v>772</v>
      </c>
      <c r="AG649" s="46" t="s">
        <v>66</v>
      </c>
      <c r="AH649" s="47" t="s">
        <v>3220</v>
      </c>
      <c r="AI649" s="48" t="s">
        <v>66</v>
      </c>
      <c r="AJ649" s="49" t="s">
        <v>6938</v>
      </c>
      <c r="AK649" s="50" t="s">
        <v>67</v>
      </c>
      <c r="AL649" s="51">
        <v>45590</v>
      </c>
      <c r="AM649" s="52" t="s">
        <v>66</v>
      </c>
      <c r="AN649" s="42"/>
      <c r="AO649" s="42"/>
      <c r="AP649" s="42"/>
      <c r="AQ649" s="53">
        <f t="shared" si="33"/>
        <v>2</v>
      </c>
      <c r="AR649" s="54">
        <f t="shared" si="34"/>
        <v>0</v>
      </c>
      <c r="AS649" s="55">
        <f t="shared" si="35"/>
        <v>2</v>
      </c>
      <c r="AT649" s="96" t="s">
        <v>1957</v>
      </c>
      <c r="AU649" s="96" t="s">
        <v>1958</v>
      </c>
      <c r="AV649" s="96">
        <v>359.84</v>
      </c>
      <c r="AW649" s="97">
        <v>45590</v>
      </c>
      <c r="AX649" s="96">
        <v>359.84</v>
      </c>
      <c r="AY649" s="98">
        <v>45617</v>
      </c>
      <c r="AZ649" s="96" t="s">
        <v>1957</v>
      </c>
      <c r="BA649" s="96" t="s">
        <v>1958</v>
      </c>
      <c r="BB649" s="96">
        <v>483.94</v>
      </c>
      <c r="BC649" s="98">
        <v>45590</v>
      </c>
      <c r="BD649" s="96">
        <v>483.94</v>
      </c>
      <c r="BE649" s="98">
        <v>45617</v>
      </c>
      <c r="BF649" s="96"/>
      <c r="BG649" s="96" t="s">
        <v>1356</v>
      </c>
      <c r="BH649" s="96"/>
      <c r="BI649" s="98"/>
      <c r="BJ649" s="96"/>
      <c r="BK649" s="98"/>
      <c r="BL649" s="96"/>
      <c r="BM649" s="96" t="s">
        <v>1356</v>
      </c>
      <c r="BN649" s="96"/>
      <c r="BO649" s="98"/>
      <c r="BP649" s="96"/>
      <c r="BQ649" s="98"/>
      <c r="BR649" s="96"/>
      <c r="BS649" s="96" t="s">
        <v>1356</v>
      </c>
      <c r="BT649" s="96"/>
      <c r="BU649" s="98"/>
      <c r="BV649" s="96"/>
      <c r="BW649" s="98"/>
      <c r="BX649" s="117"/>
      <c r="BY649" s="117" t="s">
        <v>1356</v>
      </c>
      <c r="BZ649" s="117"/>
      <c r="CA649" s="118"/>
      <c r="CB649" s="117"/>
      <c r="CC649" s="118"/>
      <c r="CD649" s="117"/>
      <c r="CE649" s="117" t="s">
        <v>1356</v>
      </c>
      <c r="CF649" s="117"/>
      <c r="CG649" s="118"/>
      <c r="CH649" s="117"/>
      <c r="CI649" s="118"/>
      <c r="CJ649" s="117"/>
      <c r="CK649" s="117" t="s">
        <v>1356</v>
      </c>
      <c r="CL649" s="117"/>
      <c r="CM649" s="118"/>
      <c r="CN649" s="117"/>
      <c r="CO649" s="118"/>
      <c r="CP649" s="117"/>
      <c r="CQ649" s="117" t="s">
        <v>1356</v>
      </c>
      <c r="CR649" s="117"/>
      <c r="CS649" s="118"/>
      <c r="CT649" s="117"/>
      <c r="CU649" s="118"/>
      <c r="CV649" s="117"/>
      <c r="CW649" s="117" t="s">
        <v>1356</v>
      </c>
      <c r="CX649" s="117"/>
      <c r="CY649" s="118"/>
      <c r="CZ649" s="117"/>
      <c r="DA649" s="118"/>
      <c r="DB649" s="52" t="s">
        <v>6962</v>
      </c>
      <c r="DC649" s="57" t="s">
        <v>105</v>
      </c>
    </row>
    <row r="650" spans="1:107" s="40" customFormat="1" ht="14.55" customHeight="1" x14ac:dyDescent="0.3">
      <c r="A650" s="42" t="s">
        <v>4108</v>
      </c>
      <c r="B650" s="42" t="s">
        <v>4209</v>
      </c>
      <c r="C650" s="42" t="s">
        <v>4210</v>
      </c>
      <c r="D650" s="42" t="s">
        <v>3251</v>
      </c>
      <c r="E650" s="42" t="s">
        <v>3252</v>
      </c>
      <c r="F650" s="42" t="s">
        <v>142</v>
      </c>
      <c r="G650" s="42" t="s">
        <v>404</v>
      </c>
      <c r="H650" s="43" t="s">
        <v>6930</v>
      </c>
      <c r="I650" s="44">
        <v>101</v>
      </c>
      <c r="J650" s="44">
        <v>10150</v>
      </c>
      <c r="K650" s="45">
        <v>4</v>
      </c>
      <c r="L650" s="42" t="s">
        <v>3105</v>
      </c>
      <c r="M650" s="42" t="s">
        <v>258</v>
      </c>
      <c r="N650" s="42" t="s">
        <v>3253</v>
      </c>
      <c r="O650" s="42"/>
      <c r="P650" s="42"/>
      <c r="Q650" s="42" t="s">
        <v>3252</v>
      </c>
      <c r="R650" s="42" t="s">
        <v>60</v>
      </c>
      <c r="S650" s="42"/>
      <c r="T650" s="42"/>
      <c r="U650" s="42" t="s">
        <v>2236</v>
      </c>
      <c r="V650" s="42"/>
      <c r="W650" s="42" t="s">
        <v>3254</v>
      </c>
      <c r="X650" s="42" t="s">
        <v>3120</v>
      </c>
      <c r="Y650" s="42" t="s">
        <v>3121</v>
      </c>
      <c r="Z650" s="42"/>
      <c r="AA650" s="42"/>
      <c r="AB650" s="42">
        <v>10150026</v>
      </c>
      <c r="AC650" s="42">
        <v>10150026008</v>
      </c>
      <c r="AD650" s="42">
        <v>10150026008014</v>
      </c>
      <c r="AE650" s="45">
        <v>5</v>
      </c>
      <c r="AF650" s="45" t="s">
        <v>772</v>
      </c>
      <c r="AG650" s="46" t="s">
        <v>66</v>
      </c>
      <c r="AH650" s="47" t="s">
        <v>3255</v>
      </c>
      <c r="AI650" s="48" t="s">
        <v>66</v>
      </c>
      <c r="AJ650" s="49" t="s">
        <v>6938</v>
      </c>
      <c r="AK650" s="50" t="s">
        <v>67</v>
      </c>
      <c r="AL650" s="51">
        <v>45590</v>
      </c>
      <c r="AM650" s="52" t="s">
        <v>66</v>
      </c>
      <c r="AN650" s="42"/>
      <c r="AO650" s="42"/>
      <c r="AP650" s="42"/>
      <c r="AQ650" s="53">
        <f t="shared" si="33"/>
        <v>2</v>
      </c>
      <c r="AR650" s="54">
        <f t="shared" si="34"/>
        <v>0</v>
      </c>
      <c r="AS650" s="55">
        <f t="shared" si="35"/>
        <v>2</v>
      </c>
      <c r="AT650" s="96" t="s">
        <v>540</v>
      </c>
      <c r="AU650" s="96" t="s">
        <v>2205</v>
      </c>
      <c r="AV650" s="96">
        <v>2.9056000000000002</v>
      </c>
      <c r="AW650" s="97">
        <v>45590</v>
      </c>
      <c r="AX650" s="96">
        <v>2.9056000000000002</v>
      </c>
      <c r="AY650" s="98">
        <v>45618</v>
      </c>
      <c r="AZ650" s="96" t="s">
        <v>540</v>
      </c>
      <c r="BA650" s="96" t="s">
        <v>2205</v>
      </c>
      <c r="BB650" s="96">
        <v>2.9056000000000002</v>
      </c>
      <c r="BC650" s="98">
        <v>45590</v>
      </c>
      <c r="BD650" s="96">
        <v>2.9056000000000002</v>
      </c>
      <c r="BE650" s="98">
        <v>45618</v>
      </c>
      <c r="BF650" s="96"/>
      <c r="BG650" s="96" t="s">
        <v>1356</v>
      </c>
      <c r="BH650" s="96"/>
      <c r="BI650" s="98"/>
      <c r="BJ650" s="96"/>
      <c r="BK650" s="98"/>
      <c r="BL650" s="96"/>
      <c r="BM650" s="96" t="s">
        <v>1356</v>
      </c>
      <c r="BN650" s="96"/>
      <c r="BO650" s="98"/>
      <c r="BP650" s="96"/>
      <c r="BQ650" s="98"/>
      <c r="BR650" s="96"/>
      <c r="BS650" s="96" t="s">
        <v>1356</v>
      </c>
      <c r="BT650" s="96"/>
      <c r="BU650" s="98"/>
      <c r="BV650" s="96"/>
      <c r="BW650" s="98"/>
      <c r="BX650" s="117"/>
      <c r="BY650" s="117" t="s">
        <v>1356</v>
      </c>
      <c r="BZ650" s="117"/>
      <c r="CA650" s="118"/>
      <c r="CB650" s="117"/>
      <c r="CC650" s="118"/>
      <c r="CD650" s="117"/>
      <c r="CE650" s="117" t="s">
        <v>1356</v>
      </c>
      <c r="CF650" s="117"/>
      <c r="CG650" s="118"/>
      <c r="CH650" s="117"/>
      <c r="CI650" s="118"/>
      <c r="CJ650" s="117"/>
      <c r="CK650" s="117" t="s">
        <v>1356</v>
      </c>
      <c r="CL650" s="117"/>
      <c r="CM650" s="118"/>
      <c r="CN650" s="117"/>
      <c r="CO650" s="118"/>
      <c r="CP650" s="117"/>
      <c r="CQ650" s="117" t="s">
        <v>1356</v>
      </c>
      <c r="CR650" s="117"/>
      <c r="CS650" s="118"/>
      <c r="CT650" s="117"/>
      <c r="CU650" s="118"/>
      <c r="CV650" s="117"/>
      <c r="CW650" s="117" t="s">
        <v>1356</v>
      </c>
      <c r="CX650" s="117"/>
      <c r="CY650" s="118"/>
      <c r="CZ650" s="117"/>
      <c r="DA650" s="118"/>
      <c r="DB650" s="52" t="s">
        <v>6962</v>
      </c>
      <c r="DC650" s="57" t="s">
        <v>105</v>
      </c>
    </row>
    <row r="651" spans="1:107" s="40" customFormat="1" ht="14.55" customHeight="1" x14ac:dyDescent="0.3">
      <c r="A651" s="42" t="s">
        <v>3456</v>
      </c>
      <c r="B651" s="42" t="s">
        <v>4104</v>
      </c>
      <c r="C651" s="42" t="s">
        <v>2866</v>
      </c>
      <c r="D651" s="42" t="s">
        <v>2867</v>
      </c>
      <c r="E651" s="42" t="s">
        <v>2868</v>
      </c>
      <c r="F651" s="42" t="s">
        <v>142</v>
      </c>
      <c r="G651" s="42" t="s">
        <v>1059</v>
      </c>
      <c r="H651" s="43" t="s">
        <v>6924</v>
      </c>
      <c r="I651" s="44">
        <v>1801</v>
      </c>
      <c r="J651" s="44">
        <v>180150</v>
      </c>
      <c r="K651" s="45">
        <v>3</v>
      </c>
      <c r="L651" s="42" t="s">
        <v>2869</v>
      </c>
      <c r="M651" s="42" t="s">
        <v>2870</v>
      </c>
      <c r="N651" s="42" t="s">
        <v>2871</v>
      </c>
      <c r="O651" s="42"/>
      <c r="P651" s="42"/>
      <c r="Q651" s="42"/>
      <c r="R651" s="42"/>
      <c r="S651" s="42"/>
      <c r="T651" s="42"/>
      <c r="U651" s="42" t="s">
        <v>2872</v>
      </c>
      <c r="V651" s="42"/>
      <c r="W651" s="42" t="s">
        <v>2873</v>
      </c>
      <c r="X651" s="42" t="s">
        <v>2874</v>
      </c>
      <c r="Y651" s="42" t="s">
        <v>2875</v>
      </c>
      <c r="Z651" s="42"/>
      <c r="AA651" s="42"/>
      <c r="AB651" s="42">
        <v>180150051</v>
      </c>
      <c r="AC651" s="42">
        <v>180150051008</v>
      </c>
      <c r="AD651" s="42">
        <v>180150051008003</v>
      </c>
      <c r="AE651" s="45">
        <v>5</v>
      </c>
      <c r="AF651" s="45" t="s">
        <v>772</v>
      </c>
      <c r="AG651" s="46" t="s">
        <v>66</v>
      </c>
      <c r="AH651" s="47" t="s">
        <v>2876</v>
      </c>
      <c r="AI651" s="48" t="s">
        <v>66</v>
      </c>
      <c r="AJ651" s="49" t="s">
        <v>6938</v>
      </c>
      <c r="AK651" s="50" t="s">
        <v>67</v>
      </c>
      <c r="AL651" s="51">
        <v>45597</v>
      </c>
      <c r="AM651" s="52" t="s">
        <v>66</v>
      </c>
      <c r="AN651" s="42"/>
      <c r="AO651" s="42"/>
      <c r="AP651" s="42"/>
      <c r="AQ651" s="53">
        <f t="shared" si="33"/>
        <v>3</v>
      </c>
      <c r="AR651" s="54">
        <f t="shared" si="34"/>
        <v>0</v>
      </c>
      <c r="AS651" s="55">
        <f t="shared" si="35"/>
        <v>3</v>
      </c>
      <c r="AT651" s="96" t="s">
        <v>564</v>
      </c>
      <c r="AU651" s="96" t="s">
        <v>2655</v>
      </c>
      <c r="AV651" s="96">
        <v>8.26</v>
      </c>
      <c r="AW651" s="97">
        <v>45586</v>
      </c>
      <c r="AX651" s="96"/>
      <c r="AY651" s="98"/>
      <c r="AZ651" s="96" t="s">
        <v>540</v>
      </c>
      <c r="BA651" s="96" t="s">
        <v>2205</v>
      </c>
      <c r="BB651" s="96">
        <v>9.8000000000000007</v>
      </c>
      <c r="BC651" s="98">
        <v>45586</v>
      </c>
      <c r="BD651" s="96"/>
      <c r="BE651" s="98"/>
      <c r="BF651" s="96" t="s">
        <v>540</v>
      </c>
      <c r="BG651" s="96" t="s">
        <v>2205</v>
      </c>
      <c r="BH651" s="96">
        <v>7.44</v>
      </c>
      <c r="BI651" s="98">
        <v>45586</v>
      </c>
      <c r="BJ651" s="96"/>
      <c r="BK651" s="98"/>
      <c r="BL651" s="96"/>
      <c r="BM651" s="96" t="s">
        <v>1356</v>
      </c>
      <c r="BN651" s="96"/>
      <c r="BO651" s="98"/>
      <c r="BP651" s="96"/>
      <c r="BQ651" s="98"/>
      <c r="BR651" s="96"/>
      <c r="BS651" s="96" t="s">
        <v>1356</v>
      </c>
      <c r="BT651" s="96"/>
      <c r="BU651" s="98"/>
      <c r="BV651" s="96"/>
      <c r="BW651" s="98"/>
      <c r="BX651" s="117"/>
      <c r="BY651" s="117" t="s">
        <v>1356</v>
      </c>
      <c r="BZ651" s="117"/>
      <c r="CA651" s="118"/>
      <c r="CB651" s="117"/>
      <c r="CC651" s="118"/>
      <c r="CD651" s="117"/>
      <c r="CE651" s="117" t="s">
        <v>1356</v>
      </c>
      <c r="CF651" s="117"/>
      <c r="CG651" s="118"/>
      <c r="CH651" s="117"/>
      <c r="CI651" s="118"/>
      <c r="CJ651" s="117"/>
      <c r="CK651" s="117" t="s">
        <v>1356</v>
      </c>
      <c r="CL651" s="117"/>
      <c r="CM651" s="118"/>
      <c r="CN651" s="117"/>
      <c r="CO651" s="118"/>
      <c r="CP651" s="117"/>
      <c r="CQ651" s="117" t="s">
        <v>1356</v>
      </c>
      <c r="CR651" s="117"/>
      <c r="CS651" s="118"/>
      <c r="CT651" s="117"/>
      <c r="CU651" s="118"/>
      <c r="CV651" s="117"/>
      <c r="CW651" s="117"/>
      <c r="CX651" s="117"/>
      <c r="CY651" s="118"/>
      <c r="CZ651" s="117"/>
      <c r="DA651" s="118"/>
      <c r="DB651" s="52" t="s">
        <v>6962</v>
      </c>
      <c r="DC651" s="57" t="s">
        <v>105</v>
      </c>
    </row>
    <row r="652" spans="1:107" s="40" customFormat="1" ht="14.55" customHeight="1" x14ac:dyDescent="0.3">
      <c r="A652" s="42" t="s">
        <v>3456</v>
      </c>
      <c r="B652" s="42" t="s">
        <v>4031</v>
      </c>
      <c r="C652" s="42" t="s">
        <v>2477</v>
      </c>
      <c r="D652" s="42" t="s">
        <v>2478</v>
      </c>
      <c r="E652" s="42" t="s">
        <v>2478</v>
      </c>
      <c r="F652" s="42" t="s">
        <v>169</v>
      </c>
      <c r="G652" s="42" t="s">
        <v>1059</v>
      </c>
      <c r="H652" s="43" t="s">
        <v>6924</v>
      </c>
      <c r="I652" s="44">
        <v>1801</v>
      </c>
      <c r="J652" s="44">
        <v>180150</v>
      </c>
      <c r="K652" s="45">
        <v>3</v>
      </c>
      <c r="L652" s="42" t="s">
        <v>2479</v>
      </c>
      <c r="M652" s="42" t="s">
        <v>267</v>
      </c>
      <c r="N652" s="42" t="s">
        <v>2480</v>
      </c>
      <c r="O652" s="42"/>
      <c r="P652" s="42"/>
      <c r="Q652" s="42"/>
      <c r="R652" s="42" t="s">
        <v>113</v>
      </c>
      <c r="S652" s="42"/>
      <c r="T652" s="42"/>
      <c r="U652" s="42" t="s">
        <v>2481</v>
      </c>
      <c r="V652" s="42"/>
      <c r="W652" s="42" t="s">
        <v>2482</v>
      </c>
      <c r="X652" s="42"/>
      <c r="Y652" s="42" t="s">
        <v>2478</v>
      </c>
      <c r="Z652" s="42">
        <v>-78.619510531425476</v>
      </c>
      <c r="AA652" s="42">
        <v>-1.2307174210082019</v>
      </c>
      <c r="AB652" s="42">
        <v>180150011</v>
      </c>
      <c r="AC652" s="42">
        <v>180150011002</v>
      </c>
      <c r="AD652" s="42">
        <v>180150011002001</v>
      </c>
      <c r="AE652" s="45">
        <v>2</v>
      </c>
      <c r="AF652" s="45" t="s">
        <v>64</v>
      </c>
      <c r="AG652" s="46" t="s">
        <v>66</v>
      </c>
      <c r="AH652" s="47">
        <v>30755</v>
      </c>
      <c r="AI652" s="48" t="s">
        <v>66</v>
      </c>
      <c r="AJ652" s="49" t="s">
        <v>6938</v>
      </c>
      <c r="AK652" s="50" t="s">
        <v>67</v>
      </c>
      <c r="AL652" s="51">
        <v>45602</v>
      </c>
      <c r="AM652" s="52" t="s">
        <v>66</v>
      </c>
      <c r="AN652" s="42"/>
      <c r="AO652" s="42"/>
      <c r="AP652" s="42"/>
      <c r="AQ652" s="53">
        <f t="shared" si="33"/>
        <v>0</v>
      </c>
      <c r="AR652" s="54">
        <f t="shared" si="34"/>
        <v>1</v>
      </c>
      <c r="AS652" s="55">
        <f t="shared" si="35"/>
        <v>1</v>
      </c>
      <c r="AT652" s="96"/>
      <c r="AU652" s="96" t="s">
        <v>1356</v>
      </c>
      <c r="AV652" s="96"/>
      <c r="AW652" s="97"/>
      <c r="AX652" s="96"/>
      <c r="AY652" s="98"/>
      <c r="AZ652" s="96"/>
      <c r="BA652" s="96" t="s">
        <v>1356</v>
      </c>
      <c r="BB652" s="96"/>
      <c r="BC652" s="98"/>
      <c r="BD652" s="96"/>
      <c r="BE652" s="98"/>
      <c r="BF652" s="96"/>
      <c r="BG652" s="96" t="s">
        <v>1356</v>
      </c>
      <c r="BH652" s="96"/>
      <c r="BI652" s="98"/>
      <c r="BJ652" s="96"/>
      <c r="BK652" s="98"/>
      <c r="BL652" s="96"/>
      <c r="BM652" s="96" t="s">
        <v>1356</v>
      </c>
      <c r="BN652" s="96"/>
      <c r="BO652" s="98"/>
      <c r="BP652" s="96"/>
      <c r="BQ652" s="98"/>
      <c r="BR652" s="96"/>
      <c r="BS652" s="96" t="s">
        <v>1356</v>
      </c>
      <c r="BT652" s="96"/>
      <c r="BU652" s="98"/>
      <c r="BV652" s="96"/>
      <c r="BW652" s="98"/>
      <c r="BX652" s="117" t="s">
        <v>2483</v>
      </c>
      <c r="BY652" s="117" t="s">
        <v>2484</v>
      </c>
      <c r="BZ652" s="117">
        <v>10</v>
      </c>
      <c r="CA652" s="118">
        <v>45602</v>
      </c>
      <c r="CB652" s="117"/>
      <c r="CC652" s="118"/>
      <c r="CD652" s="117"/>
      <c r="CE652" s="117" t="s">
        <v>1356</v>
      </c>
      <c r="CF652" s="117"/>
      <c r="CG652" s="118"/>
      <c r="CH652" s="117"/>
      <c r="CI652" s="118"/>
      <c r="CJ652" s="117"/>
      <c r="CK652" s="117" t="s">
        <v>1356</v>
      </c>
      <c r="CL652" s="117"/>
      <c r="CM652" s="118"/>
      <c r="CN652" s="117"/>
      <c r="CO652" s="118"/>
      <c r="CP652" s="117"/>
      <c r="CQ652" s="117" t="s">
        <v>1356</v>
      </c>
      <c r="CR652" s="117"/>
      <c r="CS652" s="118"/>
      <c r="CT652" s="117"/>
      <c r="CU652" s="118"/>
      <c r="CV652" s="117"/>
      <c r="CW652" s="117" t="s">
        <v>1356</v>
      </c>
      <c r="CX652" s="117"/>
      <c r="CY652" s="118"/>
      <c r="CZ652" s="117"/>
      <c r="DA652" s="118"/>
      <c r="DB652" s="52" t="s">
        <v>6962</v>
      </c>
      <c r="DC652" s="57" t="s">
        <v>105</v>
      </c>
    </row>
    <row r="653" spans="1:107" s="40" customFormat="1" ht="14.55" customHeight="1" x14ac:dyDescent="0.3">
      <c r="A653" s="42" t="s">
        <v>3456</v>
      </c>
      <c r="B653" s="42" t="s">
        <v>4043</v>
      </c>
      <c r="C653" s="42" t="s">
        <v>2535</v>
      </c>
      <c r="D653" s="42" t="s">
        <v>2536</v>
      </c>
      <c r="E653" s="42" t="s">
        <v>2536</v>
      </c>
      <c r="F653" s="42" t="s">
        <v>825</v>
      </c>
      <c r="G653" s="42" t="s">
        <v>1059</v>
      </c>
      <c r="H653" s="43" t="s">
        <v>6924</v>
      </c>
      <c r="I653" s="44">
        <v>1801</v>
      </c>
      <c r="J653" s="44">
        <v>180156</v>
      </c>
      <c r="K653" s="45">
        <v>4</v>
      </c>
      <c r="L653" s="42" t="s">
        <v>2537</v>
      </c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 t="s">
        <v>2538</v>
      </c>
      <c r="Y653" s="42" t="s">
        <v>2539</v>
      </c>
      <c r="Z653" s="42"/>
      <c r="AA653" s="42"/>
      <c r="AB653" s="42">
        <v>180156001</v>
      </c>
      <c r="AC653" s="42">
        <v>180156001004</v>
      </c>
      <c r="AD653" s="42">
        <v>180156001004010</v>
      </c>
      <c r="AE653" s="45">
        <v>2</v>
      </c>
      <c r="AF653" s="45" t="s">
        <v>64</v>
      </c>
      <c r="AG653" s="46" t="s">
        <v>66</v>
      </c>
      <c r="AH653" s="47">
        <v>30754</v>
      </c>
      <c r="AI653" s="48" t="s">
        <v>66</v>
      </c>
      <c r="AJ653" s="49" t="s">
        <v>6938</v>
      </c>
      <c r="AK653" s="50" t="s">
        <v>67</v>
      </c>
      <c r="AL653" s="51">
        <v>45602</v>
      </c>
      <c r="AM653" s="52" t="s">
        <v>66</v>
      </c>
      <c r="AN653" s="42"/>
      <c r="AO653" s="42"/>
      <c r="AP653" s="42"/>
      <c r="AQ653" s="53">
        <f t="shared" si="33"/>
        <v>0</v>
      </c>
      <c r="AR653" s="54">
        <f t="shared" si="34"/>
        <v>1</v>
      </c>
      <c r="AS653" s="55">
        <f t="shared" si="35"/>
        <v>1</v>
      </c>
      <c r="AT653" s="96"/>
      <c r="AU653" s="96" t="s">
        <v>1356</v>
      </c>
      <c r="AV653" s="96"/>
      <c r="AW653" s="97"/>
      <c r="AX653" s="96"/>
      <c r="AY653" s="98"/>
      <c r="AZ653" s="96"/>
      <c r="BA653" s="96" t="s">
        <v>1356</v>
      </c>
      <c r="BB653" s="96"/>
      <c r="BC653" s="98"/>
      <c r="BD653" s="96"/>
      <c r="BE653" s="98"/>
      <c r="BF653" s="96"/>
      <c r="BG653" s="96" t="s">
        <v>1356</v>
      </c>
      <c r="BH653" s="96"/>
      <c r="BI653" s="98"/>
      <c r="BJ653" s="96"/>
      <c r="BK653" s="98"/>
      <c r="BL653" s="96"/>
      <c r="BM653" s="96" t="s">
        <v>1356</v>
      </c>
      <c r="BN653" s="96"/>
      <c r="BO653" s="98"/>
      <c r="BP653" s="96"/>
      <c r="BQ653" s="98"/>
      <c r="BR653" s="96"/>
      <c r="BS653" s="96" t="s">
        <v>1356</v>
      </c>
      <c r="BT653" s="96"/>
      <c r="BU653" s="98"/>
      <c r="BV653" s="96"/>
      <c r="BW653" s="98"/>
      <c r="BX653" s="117" t="s">
        <v>2540</v>
      </c>
      <c r="BY653" s="117" t="s">
        <v>2541</v>
      </c>
      <c r="BZ653" s="117">
        <v>10</v>
      </c>
      <c r="CA653" s="118">
        <v>45602</v>
      </c>
      <c r="CB653" s="117"/>
      <c r="CC653" s="118"/>
      <c r="CD653" s="117"/>
      <c r="CE653" s="117" t="s">
        <v>1356</v>
      </c>
      <c r="CF653" s="117"/>
      <c r="CG653" s="118"/>
      <c r="CH653" s="117"/>
      <c r="CI653" s="118"/>
      <c r="CJ653" s="117"/>
      <c r="CK653" s="117" t="s">
        <v>1356</v>
      </c>
      <c r="CL653" s="117"/>
      <c r="CM653" s="118"/>
      <c r="CN653" s="117"/>
      <c r="CO653" s="118"/>
      <c r="CP653" s="117"/>
      <c r="CQ653" s="117" t="s">
        <v>1356</v>
      </c>
      <c r="CR653" s="117"/>
      <c r="CS653" s="118"/>
      <c r="CT653" s="117"/>
      <c r="CU653" s="118"/>
      <c r="CV653" s="117"/>
      <c r="CW653" s="117" t="s">
        <v>1356</v>
      </c>
      <c r="CX653" s="117"/>
      <c r="CY653" s="118"/>
      <c r="CZ653" s="117"/>
      <c r="DA653" s="118"/>
      <c r="DB653" s="52" t="s">
        <v>6962</v>
      </c>
      <c r="DC653" s="57" t="s">
        <v>105</v>
      </c>
    </row>
    <row r="654" spans="1:107" s="40" customFormat="1" ht="14.55" customHeight="1" x14ac:dyDescent="0.3">
      <c r="A654" s="42" t="s">
        <v>3456</v>
      </c>
      <c r="B654" s="42" t="s">
        <v>4062</v>
      </c>
      <c r="C654" s="42" t="s">
        <v>2627</v>
      </c>
      <c r="D654" s="42" t="s">
        <v>2628</v>
      </c>
      <c r="E654" s="42" t="s">
        <v>2629</v>
      </c>
      <c r="F654" s="42" t="s">
        <v>134</v>
      </c>
      <c r="G654" s="42" t="s">
        <v>1059</v>
      </c>
      <c r="H654" s="43" t="s">
        <v>6924</v>
      </c>
      <c r="I654" s="44">
        <v>1801</v>
      </c>
      <c r="J654" s="44">
        <v>180165</v>
      </c>
      <c r="K654" s="45">
        <v>4</v>
      </c>
      <c r="L654" s="42" t="s">
        <v>2630</v>
      </c>
      <c r="M654" s="42"/>
      <c r="N654" s="42"/>
      <c r="O654" s="42"/>
      <c r="P654" s="42"/>
      <c r="Q654" s="42"/>
      <c r="R654" s="42"/>
      <c r="S654" s="42"/>
      <c r="T654" s="42"/>
      <c r="U654" s="42" t="s">
        <v>2631</v>
      </c>
      <c r="V654" s="42"/>
      <c r="W654" s="42" t="s">
        <v>2632</v>
      </c>
      <c r="X654" s="42" t="s">
        <v>2633</v>
      </c>
      <c r="Y654" s="42" t="s">
        <v>2634</v>
      </c>
      <c r="Z654" s="42">
        <v>-78.651892000000004</v>
      </c>
      <c r="AA654" s="42">
        <v>-1.273917</v>
      </c>
      <c r="AB654" s="42">
        <v>180165004</v>
      </c>
      <c r="AC654" s="42">
        <v>180165004005</v>
      </c>
      <c r="AD654" s="42">
        <v>180165004005002</v>
      </c>
      <c r="AE654" s="45">
        <v>3</v>
      </c>
      <c r="AF654" s="45" t="s">
        <v>377</v>
      </c>
      <c r="AG654" s="46" t="s">
        <v>66</v>
      </c>
      <c r="AH654" s="47">
        <v>30756</v>
      </c>
      <c r="AI654" s="48" t="s">
        <v>66</v>
      </c>
      <c r="AJ654" s="49" t="s">
        <v>6938</v>
      </c>
      <c r="AK654" s="50" t="s">
        <v>67</v>
      </c>
      <c r="AL654" s="51">
        <v>45602</v>
      </c>
      <c r="AM654" s="52" t="s">
        <v>66</v>
      </c>
      <c r="AN654" s="42"/>
      <c r="AO654" s="42"/>
      <c r="AP654" s="42"/>
      <c r="AQ654" s="53">
        <f t="shared" si="33"/>
        <v>0</v>
      </c>
      <c r="AR654" s="54">
        <f t="shared" si="34"/>
        <v>2</v>
      </c>
      <c r="AS654" s="55">
        <f t="shared" si="35"/>
        <v>2</v>
      </c>
      <c r="AT654" s="96"/>
      <c r="AU654" s="96" t="s">
        <v>1356</v>
      </c>
      <c r="AV654" s="96"/>
      <c r="AW654" s="97"/>
      <c r="AX654" s="96"/>
      <c r="AY654" s="98"/>
      <c r="AZ654" s="96"/>
      <c r="BA654" s="96" t="s">
        <v>1356</v>
      </c>
      <c r="BB654" s="96"/>
      <c r="BC654" s="98"/>
      <c r="BD654" s="96"/>
      <c r="BE654" s="98"/>
      <c r="BF654" s="96"/>
      <c r="BG654" s="96" t="s">
        <v>1356</v>
      </c>
      <c r="BH654" s="96"/>
      <c r="BI654" s="98"/>
      <c r="BJ654" s="96"/>
      <c r="BK654" s="98"/>
      <c r="BL654" s="96"/>
      <c r="BM654" s="96" t="s">
        <v>1356</v>
      </c>
      <c r="BN654" s="96"/>
      <c r="BO654" s="98"/>
      <c r="BP654" s="96"/>
      <c r="BQ654" s="98"/>
      <c r="BR654" s="96"/>
      <c r="BS654" s="96" t="s">
        <v>1356</v>
      </c>
      <c r="BT654" s="96"/>
      <c r="BU654" s="98"/>
      <c r="BV654" s="96"/>
      <c r="BW654" s="98"/>
      <c r="BX654" s="117" t="s">
        <v>575</v>
      </c>
      <c r="BY654" s="117" t="s">
        <v>2635</v>
      </c>
      <c r="BZ654" s="117">
        <v>3.04</v>
      </c>
      <c r="CA654" s="118">
        <v>45602</v>
      </c>
      <c r="CB654" s="117"/>
      <c r="CC654" s="118"/>
      <c r="CD654" s="117"/>
      <c r="CE654" s="117" t="s">
        <v>1356</v>
      </c>
      <c r="CF654" s="117"/>
      <c r="CG654" s="118"/>
      <c r="CH654" s="117"/>
      <c r="CI654" s="118"/>
      <c r="CJ654" s="117" t="s">
        <v>575</v>
      </c>
      <c r="CK654" s="117" t="s">
        <v>2635</v>
      </c>
      <c r="CL654" s="117">
        <v>0.89</v>
      </c>
      <c r="CM654" s="118">
        <v>45602</v>
      </c>
      <c r="CN654" s="117"/>
      <c r="CO654" s="118"/>
      <c r="CP654" s="117"/>
      <c r="CQ654" s="117" t="s">
        <v>1356</v>
      </c>
      <c r="CR654" s="117"/>
      <c r="CS654" s="118"/>
      <c r="CT654" s="117"/>
      <c r="CU654" s="118"/>
      <c r="CV654" s="117"/>
      <c r="CW654" s="117" t="s">
        <v>1356</v>
      </c>
      <c r="CX654" s="117"/>
      <c r="CY654" s="118"/>
      <c r="CZ654" s="117"/>
      <c r="DA654" s="118"/>
      <c r="DB654" s="52" t="s">
        <v>6962</v>
      </c>
      <c r="DC654" s="57" t="s">
        <v>105</v>
      </c>
    </row>
    <row r="655" spans="1:107" s="40" customFormat="1" ht="14.55" customHeight="1" x14ac:dyDescent="0.3">
      <c r="A655" s="42" t="s">
        <v>3456</v>
      </c>
      <c r="B655" s="42" t="s">
        <v>4081</v>
      </c>
      <c r="C655" s="42" t="s">
        <v>2717</v>
      </c>
      <c r="D655" s="42" t="s">
        <v>2718</v>
      </c>
      <c r="E655" s="42" t="s">
        <v>2718</v>
      </c>
      <c r="F655" s="42" t="s">
        <v>2164</v>
      </c>
      <c r="G655" s="42" t="s">
        <v>2426</v>
      </c>
      <c r="H655" s="43" t="s">
        <v>6925</v>
      </c>
      <c r="I655" s="44">
        <v>506</v>
      </c>
      <c r="J655" s="44">
        <v>50650</v>
      </c>
      <c r="K655" s="45">
        <v>3</v>
      </c>
      <c r="L655" s="42" t="s">
        <v>2719</v>
      </c>
      <c r="M655" s="42" t="s">
        <v>258</v>
      </c>
      <c r="N655" s="42" t="s">
        <v>2720</v>
      </c>
      <c r="O655" s="42"/>
      <c r="P655" s="42"/>
      <c r="Q655" s="42"/>
      <c r="R655" s="42"/>
      <c r="S655" s="42"/>
      <c r="T655" s="42"/>
      <c r="U655" s="42"/>
      <c r="V655" s="42"/>
      <c r="W655" s="42" t="s">
        <v>2721</v>
      </c>
      <c r="X655" s="42"/>
      <c r="Y655" s="42" t="s">
        <v>2722</v>
      </c>
      <c r="Z655" s="42"/>
      <c r="AA655" s="42"/>
      <c r="AB655" s="42"/>
      <c r="AC655" s="42"/>
      <c r="AD655" s="42"/>
      <c r="AE655" s="45">
        <v>4</v>
      </c>
      <c r="AF655" s="45" t="s">
        <v>499</v>
      </c>
      <c r="AG655" s="46" t="s">
        <v>66</v>
      </c>
      <c r="AH655" s="47">
        <v>30753</v>
      </c>
      <c r="AI655" s="48" t="s">
        <v>66</v>
      </c>
      <c r="AJ655" s="49" t="s">
        <v>6938</v>
      </c>
      <c r="AK655" s="50" t="s">
        <v>67</v>
      </c>
      <c r="AL655" s="51">
        <v>45602</v>
      </c>
      <c r="AM655" s="52" t="s">
        <v>66</v>
      </c>
      <c r="AN655" s="42"/>
      <c r="AO655" s="42"/>
      <c r="AP655" s="42"/>
      <c r="AQ655" s="53">
        <f t="shared" si="33"/>
        <v>0</v>
      </c>
      <c r="AR655" s="54">
        <f t="shared" si="34"/>
        <v>4</v>
      </c>
      <c r="AS655" s="55">
        <f t="shared" si="35"/>
        <v>4</v>
      </c>
      <c r="AT655" s="96"/>
      <c r="AU655" s="96" t="s">
        <v>1356</v>
      </c>
      <c r="AV655" s="96"/>
      <c r="AW655" s="97"/>
      <c r="AX655" s="96"/>
      <c r="AY655" s="98"/>
      <c r="AZ655" s="96"/>
      <c r="BA655" s="96" t="s">
        <v>1356</v>
      </c>
      <c r="BB655" s="96"/>
      <c r="BC655" s="98"/>
      <c r="BD655" s="96"/>
      <c r="BE655" s="98"/>
      <c r="BF655" s="96"/>
      <c r="BG655" s="96" t="s">
        <v>1356</v>
      </c>
      <c r="BH655" s="96"/>
      <c r="BI655" s="98"/>
      <c r="BJ655" s="96"/>
      <c r="BK655" s="98"/>
      <c r="BL655" s="96"/>
      <c r="BM655" s="96" t="s">
        <v>1356</v>
      </c>
      <c r="BN655" s="96"/>
      <c r="BO655" s="98"/>
      <c r="BP655" s="96"/>
      <c r="BQ655" s="98"/>
      <c r="BR655" s="96"/>
      <c r="BS655" s="96" t="s">
        <v>1356</v>
      </c>
      <c r="BT655" s="96"/>
      <c r="BU655" s="98"/>
      <c r="BV655" s="96"/>
      <c r="BW655" s="98"/>
      <c r="BX655" s="117" t="s">
        <v>2723</v>
      </c>
      <c r="BY655" s="117" t="s">
        <v>2724</v>
      </c>
      <c r="BZ655" s="117">
        <v>40</v>
      </c>
      <c r="CA655" s="118">
        <v>45602</v>
      </c>
      <c r="CB655" s="117"/>
      <c r="CC655" s="118"/>
      <c r="CD655" s="117" t="s">
        <v>2434</v>
      </c>
      <c r="CE655" s="117" t="s">
        <v>2435</v>
      </c>
      <c r="CF655" s="117">
        <v>32</v>
      </c>
      <c r="CG655" s="118">
        <v>45602</v>
      </c>
      <c r="CH655" s="117"/>
      <c r="CI655" s="118"/>
      <c r="CJ655" s="117" t="s">
        <v>2725</v>
      </c>
      <c r="CK655" s="117" t="s">
        <v>2726</v>
      </c>
      <c r="CL655" s="117">
        <v>35</v>
      </c>
      <c r="CM655" s="118">
        <v>45602</v>
      </c>
      <c r="CN655" s="117"/>
      <c r="CO655" s="118"/>
      <c r="CP655" s="117" t="s">
        <v>2727</v>
      </c>
      <c r="CQ655" s="117" t="s">
        <v>2728</v>
      </c>
      <c r="CR655" s="117">
        <v>35</v>
      </c>
      <c r="CS655" s="118">
        <v>45602</v>
      </c>
      <c r="CT655" s="117"/>
      <c r="CU655" s="118"/>
      <c r="CV655" s="117"/>
      <c r="CW655" s="117" t="s">
        <v>1356</v>
      </c>
      <c r="CX655" s="117"/>
      <c r="CY655" s="118"/>
      <c r="CZ655" s="117"/>
      <c r="DA655" s="118"/>
      <c r="DB655" s="52" t="s">
        <v>6962</v>
      </c>
      <c r="DC655" s="57" t="s">
        <v>105</v>
      </c>
    </row>
    <row r="656" spans="1:107" s="40" customFormat="1" ht="14.55" customHeight="1" x14ac:dyDescent="0.3">
      <c r="A656" s="35" t="s">
        <v>4219</v>
      </c>
      <c r="B656" s="35" t="s">
        <v>5872</v>
      </c>
      <c r="C656" s="35" t="s">
        <v>5873</v>
      </c>
      <c r="D656" s="35" t="s">
        <v>5874</v>
      </c>
      <c r="E656" s="35" t="s">
        <v>5875</v>
      </c>
      <c r="F656" s="35" t="s">
        <v>220</v>
      </c>
      <c r="G656" s="35" t="s">
        <v>4237</v>
      </c>
      <c r="H656" s="27" t="s">
        <v>686</v>
      </c>
      <c r="I656" s="62">
        <v>901</v>
      </c>
      <c r="J656" s="62">
        <v>90150</v>
      </c>
      <c r="K656" s="63">
        <v>4</v>
      </c>
      <c r="L656" s="35" t="s">
        <v>5876</v>
      </c>
      <c r="M656" s="35" t="s">
        <v>5877</v>
      </c>
      <c r="N656" s="35" t="s">
        <v>5369</v>
      </c>
      <c r="O656" s="35" t="s">
        <v>4964</v>
      </c>
      <c r="P656" s="35"/>
      <c r="Q656" s="35"/>
      <c r="R656" s="35" t="s">
        <v>60</v>
      </c>
      <c r="S656" s="35"/>
      <c r="T656" s="35"/>
      <c r="U656" s="35"/>
      <c r="V656" s="35" t="s">
        <v>5878</v>
      </c>
      <c r="W656" s="35" t="s">
        <v>5879</v>
      </c>
      <c r="X656" s="35" t="s">
        <v>5880</v>
      </c>
      <c r="Y656" s="35" t="s">
        <v>5881</v>
      </c>
      <c r="Z656" s="35"/>
      <c r="AA656" s="35"/>
      <c r="AB656" s="35">
        <v>90150671</v>
      </c>
      <c r="AC656" s="35">
        <v>90150671011</v>
      </c>
      <c r="AD656" s="35">
        <v>90150671011002</v>
      </c>
      <c r="AE656" s="63">
        <v>5</v>
      </c>
      <c r="AF656" s="63" t="s">
        <v>772</v>
      </c>
      <c r="AG656" s="46" t="s">
        <v>66</v>
      </c>
      <c r="AH656" s="64">
        <v>80790</v>
      </c>
      <c r="AI656" s="65" t="s">
        <v>66</v>
      </c>
      <c r="AJ656" s="32" t="s">
        <v>6938</v>
      </c>
      <c r="AK656" s="33" t="s">
        <v>67</v>
      </c>
      <c r="AL656" s="34">
        <v>45603</v>
      </c>
      <c r="AM656" s="52" t="s">
        <v>66</v>
      </c>
      <c r="AN656" s="35"/>
      <c r="AO656" s="35"/>
      <c r="AP656" s="35"/>
      <c r="AQ656" s="37">
        <f t="shared" si="33"/>
        <v>1</v>
      </c>
      <c r="AR656" s="38">
        <f t="shared" si="34"/>
        <v>0</v>
      </c>
      <c r="AS656" s="39">
        <f t="shared" si="35"/>
        <v>1</v>
      </c>
      <c r="AT656" s="99" t="s">
        <v>7056</v>
      </c>
      <c r="AU656" s="99" t="s">
        <v>7057</v>
      </c>
      <c r="AV656" s="99" t="s">
        <v>7058</v>
      </c>
      <c r="AW656" s="100">
        <v>45383</v>
      </c>
      <c r="AX656" s="99"/>
      <c r="AY656" s="101"/>
      <c r="AZ656" s="99"/>
      <c r="BA656" s="99" t="s">
        <v>1356</v>
      </c>
      <c r="BB656" s="99"/>
      <c r="BC656" s="101"/>
      <c r="BD656" s="99"/>
      <c r="BE656" s="101"/>
      <c r="BF656" s="99"/>
      <c r="BG656" s="99" t="s">
        <v>1356</v>
      </c>
      <c r="BH656" s="99"/>
      <c r="BI656" s="101"/>
      <c r="BJ656" s="99"/>
      <c r="BK656" s="101"/>
      <c r="BL656" s="99"/>
      <c r="BM656" s="99" t="s">
        <v>1356</v>
      </c>
      <c r="BN656" s="99"/>
      <c r="BO656" s="101"/>
      <c r="BP656" s="99"/>
      <c r="BQ656" s="101"/>
      <c r="BR656" s="99"/>
      <c r="BS656" s="99" t="s">
        <v>1356</v>
      </c>
      <c r="BT656" s="99"/>
      <c r="BU656" s="101"/>
      <c r="BV656" s="99"/>
      <c r="BW656" s="101"/>
      <c r="BX656" s="119"/>
      <c r="BY656" s="119" t="s">
        <v>1356</v>
      </c>
      <c r="BZ656" s="119"/>
      <c r="CA656" s="120"/>
      <c r="CB656" s="119"/>
      <c r="CC656" s="120"/>
      <c r="CD656" s="119"/>
      <c r="CE656" s="119" t="s">
        <v>1356</v>
      </c>
      <c r="CF656" s="119"/>
      <c r="CG656" s="120"/>
      <c r="CH656" s="119"/>
      <c r="CI656" s="120"/>
      <c r="CJ656" s="119"/>
      <c r="CK656" s="119" t="s">
        <v>1356</v>
      </c>
      <c r="CL656" s="119"/>
      <c r="CM656" s="120"/>
      <c r="CN656" s="119"/>
      <c r="CO656" s="120"/>
      <c r="CP656" s="119"/>
      <c r="CQ656" s="119" t="s">
        <v>1356</v>
      </c>
      <c r="CR656" s="119"/>
      <c r="CS656" s="120"/>
      <c r="CT656" s="119"/>
      <c r="CU656" s="120"/>
      <c r="CV656" s="119"/>
      <c r="CW656" s="119" t="s">
        <v>1356</v>
      </c>
      <c r="CX656" s="119"/>
      <c r="CY656" s="120"/>
      <c r="CZ656" s="119"/>
      <c r="DA656" s="120"/>
      <c r="DB656" s="52" t="s">
        <v>6962</v>
      </c>
      <c r="DC656" s="59" t="s">
        <v>105</v>
      </c>
    </row>
    <row r="657" spans="1:107" s="40" customFormat="1" x14ac:dyDescent="0.3">
      <c r="A657" s="35" t="s">
        <v>4219</v>
      </c>
      <c r="B657" s="35" t="s">
        <v>6546</v>
      </c>
      <c r="C657" s="35" t="s">
        <v>6547</v>
      </c>
      <c r="D657" s="35" t="s">
        <v>6548</v>
      </c>
      <c r="E657" s="35" t="s">
        <v>6549</v>
      </c>
      <c r="F657" s="35" t="s">
        <v>4289</v>
      </c>
      <c r="G657" s="35" t="s">
        <v>4237</v>
      </c>
      <c r="H657" s="27" t="s">
        <v>686</v>
      </c>
      <c r="I657" s="62">
        <v>907</v>
      </c>
      <c r="J657" s="62">
        <v>90750</v>
      </c>
      <c r="K657" s="63">
        <v>4</v>
      </c>
      <c r="L657" s="35" t="s">
        <v>5118</v>
      </c>
      <c r="M657" s="35" t="s">
        <v>5660</v>
      </c>
      <c r="N657" s="35"/>
      <c r="O657" s="35" t="s">
        <v>1526</v>
      </c>
      <c r="P657" s="35"/>
      <c r="Q657" s="35"/>
      <c r="R657" s="35" t="s">
        <v>60</v>
      </c>
      <c r="S657" s="35"/>
      <c r="T657" s="35" t="s">
        <v>6550</v>
      </c>
      <c r="U657" s="35"/>
      <c r="V657" s="35"/>
      <c r="W657" s="35" t="s">
        <v>6551</v>
      </c>
      <c r="X657" s="35" t="s">
        <v>6552</v>
      </c>
      <c r="Y657" s="35" t="s">
        <v>6553</v>
      </c>
      <c r="Z657" s="35">
        <v>-79.829393999999994</v>
      </c>
      <c r="AA657" s="35">
        <v>-2.2037119999999999</v>
      </c>
      <c r="AB657" s="35">
        <v>90750072</v>
      </c>
      <c r="AC657" s="35">
        <v>90750072001</v>
      </c>
      <c r="AD657" s="35">
        <v>90750072001015</v>
      </c>
      <c r="AE657" s="63">
        <v>5</v>
      </c>
      <c r="AF657" s="63" t="s">
        <v>772</v>
      </c>
      <c r="AG657" s="29" t="s">
        <v>65</v>
      </c>
      <c r="AH657" s="75"/>
      <c r="AI657" s="65" t="s">
        <v>66</v>
      </c>
      <c r="AJ657" s="32" t="s">
        <v>6938</v>
      </c>
      <c r="AK657" s="33" t="s">
        <v>67</v>
      </c>
      <c r="AL657" s="34">
        <v>45580</v>
      </c>
      <c r="AM657" s="35" t="s">
        <v>66</v>
      </c>
      <c r="AN657" s="35"/>
      <c r="AO657" s="35"/>
      <c r="AP657" s="35"/>
      <c r="AQ657" s="37">
        <f t="shared" si="33"/>
        <v>0</v>
      </c>
      <c r="AR657" s="38">
        <f t="shared" si="34"/>
        <v>0</v>
      </c>
      <c r="AS657" s="39">
        <f t="shared" si="35"/>
        <v>0</v>
      </c>
      <c r="AT657" s="99"/>
      <c r="AU657" s="99" t="s">
        <v>1356</v>
      </c>
      <c r="AV657" s="99"/>
      <c r="AW657" s="100"/>
      <c r="AX657" s="99"/>
      <c r="AY657" s="101"/>
      <c r="AZ657" s="99"/>
      <c r="BA657" s="99" t="s">
        <v>1356</v>
      </c>
      <c r="BB657" s="99"/>
      <c r="BC657" s="101"/>
      <c r="BD657" s="99"/>
      <c r="BE657" s="101"/>
      <c r="BF657" s="99"/>
      <c r="BG657" s="99" t="s">
        <v>1356</v>
      </c>
      <c r="BH657" s="99"/>
      <c r="BI657" s="101"/>
      <c r="BJ657" s="99"/>
      <c r="BK657" s="101"/>
      <c r="BL657" s="99"/>
      <c r="BM657" s="99" t="s">
        <v>1356</v>
      </c>
      <c r="BN657" s="99"/>
      <c r="BO657" s="101"/>
      <c r="BP657" s="99"/>
      <c r="BQ657" s="101"/>
      <c r="BR657" s="99"/>
      <c r="BS657" s="99" t="s">
        <v>1356</v>
      </c>
      <c r="BT657" s="99"/>
      <c r="BU657" s="101"/>
      <c r="BV657" s="99"/>
      <c r="BW657" s="101"/>
      <c r="BX657" s="119"/>
      <c r="BY657" s="119" t="s">
        <v>1356</v>
      </c>
      <c r="BZ657" s="119"/>
      <c r="CA657" s="120"/>
      <c r="CB657" s="119"/>
      <c r="CC657" s="120"/>
      <c r="CD657" s="119"/>
      <c r="CE657" s="119" t="s">
        <v>1356</v>
      </c>
      <c r="CF657" s="119"/>
      <c r="CG657" s="120"/>
      <c r="CH657" s="119"/>
      <c r="CI657" s="120"/>
      <c r="CJ657" s="119"/>
      <c r="CK657" s="119" t="s">
        <v>1356</v>
      </c>
      <c r="CL657" s="119"/>
      <c r="CM657" s="120"/>
      <c r="CN657" s="119"/>
      <c r="CO657" s="120"/>
      <c r="CP657" s="119"/>
      <c r="CQ657" s="119" t="s">
        <v>1356</v>
      </c>
      <c r="CR657" s="119"/>
      <c r="CS657" s="120"/>
      <c r="CT657" s="119"/>
      <c r="CU657" s="120"/>
      <c r="CV657" s="119"/>
      <c r="CW657" s="119" t="s">
        <v>1356</v>
      </c>
      <c r="CX657" s="119"/>
      <c r="CY657" s="120"/>
      <c r="CZ657" s="119"/>
      <c r="DA657" s="120"/>
      <c r="DB657" s="36" t="s">
        <v>7085</v>
      </c>
      <c r="DC657" s="59" t="s">
        <v>2935</v>
      </c>
    </row>
    <row r="658" spans="1:107" s="40" customFormat="1" ht="14.55" customHeight="1" x14ac:dyDescent="0.3">
      <c r="A658" s="35" t="s">
        <v>4219</v>
      </c>
      <c r="B658" s="35" t="s">
        <v>6554</v>
      </c>
      <c r="C658" s="35" t="s">
        <v>6555</v>
      </c>
      <c r="D658" s="35" t="s">
        <v>6556</v>
      </c>
      <c r="E658" s="35" t="s">
        <v>6557</v>
      </c>
      <c r="F658" s="35" t="s">
        <v>420</v>
      </c>
      <c r="G658" s="35" t="s">
        <v>4237</v>
      </c>
      <c r="H658" s="27" t="s">
        <v>686</v>
      </c>
      <c r="I658" s="62">
        <v>907</v>
      </c>
      <c r="J658" s="62">
        <v>90750</v>
      </c>
      <c r="K658" s="63">
        <v>4</v>
      </c>
      <c r="L658" s="35" t="s">
        <v>6050</v>
      </c>
      <c r="M658" s="35" t="s">
        <v>4601</v>
      </c>
      <c r="N658" s="35" t="s">
        <v>810</v>
      </c>
      <c r="O658" s="35" t="s">
        <v>5119</v>
      </c>
      <c r="P658" s="35" t="s">
        <v>3206</v>
      </c>
      <c r="Q658" s="35" t="s">
        <v>6558</v>
      </c>
      <c r="R658" s="35" t="s">
        <v>60</v>
      </c>
      <c r="S658" s="35"/>
      <c r="T658" s="35"/>
      <c r="U658" s="35"/>
      <c r="V658" s="35" t="s">
        <v>6559</v>
      </c>
      <c r="W658" s="35" t="s">
        <v>6560</v>
      </c>
      <c r="X658" s="35" t="s">
        <v>6561</v>
      </c>
      <c r="Y658" s="35" t="s">
        <v>6562</v>
      </c>
      <c r="Z658" s="35"/>
      <c r="AA658" s="35"/>
      <c r="AB658" s="35">
        <v>90750067</v>
      </c>
      <c r="AC658" s="35">
        <v>90750067009</v>
      </c>
      <c r="AD658" s="35">
        <v>90750067009008</v>
      </c>
      <c r="AE658" s="63">
        <v>5</v>
      </c>
      <c r="AF658" s="63" t="s">
        <v>772</v>
      </c>
      <c r="AG658" s="29" t="s">
        <v>65</v>
      </c>
      <c r="AH658" s="75"/>
      <c r="AI658" s="65" t="s">
        <v>65</v>
      </c>
      <c r="AJ658" s="32" t="s">
        <v>6938</v>
      </c>
      <c r="AK658" s="33" t="s">
        <v>92</v>
      </c>
      <c r="AL658" s="58">
        <v>45580</v>
      </c>
      <c r="AM658" s="35"/>
      <c r="AN658" s="35"/>
      <c r="AO658" s="35"/>
      <c r="AP658" s="35"/>
      <c r="AQ658" s="37">
        <f t="shared" si="33"/>
        <v>0</v>
      </c>
      <c r="AR658" s="38">
        <f t="shared" si="34"/>
        <v>0</v>
      </c>
      <c r="AS658" s="39">
        <f t="shared" si="35"/>
        <v>0</v>
      </c>
      <c r="AT658" s="99"/>
      <c r="AU658" s="99" t="s">
        <v>1356</v>
      </c>
      <c r="AV658" s="99"/>
      <c r="AW658" s="100"/>
      <c r="AX658" s="99"/>
      <c r="AY658" s="101"/>
      <c r="AZ658" s="99"/>
      <c r="BA658" s="99" t="s">
        <v>1356</v>
      </c>
      <c r="BB658" s="99"/>
      <c r="BC658" s="101"/>
      <c r="BD658" s="99"/>
      <c r="BE658" s="101"/>
      <c r="BF658" s="99"/>
      <c r="BG658" s="99" t="s">
        <v>1356</v>
      </c>
      <c r="BH658" s="99"/>
      <c r="BI658" s="101"/>
      <c r="BJ658" s="99"/>
      <c r="BK658" s="101"/>
      <c r="BL658" s="99"/>
      <c r="BM658" s="99" t="s">
        <v>1356</v>
      </c>
      <c r="BN658" s="99"/>
      <c r="BO658" s="101"/>
      <c r="BP658" s="99"/>
      <c r="BQ658" s="101"/>
      <c r="BR658" s="99"/>
      <c r="BS658" s="99" t="s">
        <v>1356</v>
      </c>
      <c r="BT658" s="99"/>
      <c r="BU658" s="101"/>
      <c r="BV658" s="99"/>
      <c r="BW658" s="101"/>
      <c r="BX658" s="119"/>
      <c r="BY658" s="119" t="s">
        <v>1356</v>
      </c>
      <c r="BZ658" s="119"/>
      <c r="CA658" s="120"/>
      <c r="CB658" s="119"/>
      <c r="CC658" s="120"/>
      <c r="CD658" s="119"/>
      <c r="CE658" s="119" t="s">
        <v>1356</v>
      </c>
      <c r="CF658" s="119"/>
      <c r="CG658" s="120"/>
      <c r="CH658" s="119"/>
      <c r="CI658" s="120"/>
      <c r="CJ658" s="119"/>
      <c r="CK658" s="119" t="s">
        <v>1356</v>
      </c>
      <c r="CL658" s="119"/>
      <c r="CM658" s="120"/>
      <c r="CN658" s="119"/>
      <c r="CO658" s="120"/>
      <c r="CP658" s="119"/>
      <c r="CQ658" s="119" t="s">
        <v>1356</v>
      </c>
      <c r="CR658" s="119"/>
      <c r="CS658" s="120"/>
      <c r="CT658" s="119"/>
      <c r="CU658" s="120"/>
      <c r="CV658" s="119"/>
      <c r="CW658" s="119" t="s">
        <v>1356</v>
      </c>
      <c r="CX658" s="119"/>
      <c r="CY658" s="120"/>
      <c r="CZ658" s="119"/>
      <c r="DA658" s="120"/>
      <c r="DB658" s="36" t="s">
        <v>7085</v>
      </c>
      <c r="DC658" s="59" t="s">
        <v>92</v>
      </c>
    </row>
    <row r="659" spans="1:107" s="40" customFormat="1" ht="14.55" customHeight="1" x14ac:dyDescent="0.3">
      <c r="A659" s="66" t="s">
        <v>3500</v>
      </c>
      <c r="B659" s="66" t="s">
        <v>3944</v>
      </c>
      <c r="C659" s="66" t="s">
        <v>3945</v>
      </c>
      <c r="D659" s="66" t="s">
        <v>2117</v>
      </c>
      <c r="E659" s="66"/>
      <c r="F659" s="66" t="s">
        <v>256</v>
      </c>
      <c r="G659" s="68" t="s">
        <v>72</v>
      </c>
      <c r="H659" s="43" t="s">
        <v>251</v>
      </c>
      <c r="I659" s="68">
        <v>1701</v>
      </c>
      <c r="J659" s="68">
        <v>170180</v>
      </c>
      <c r="K659" s="69">
        <v>4</v>
      </c>
      <c r="L659" s="66" t="s">
        <v>2106</v>
      </c>
      <c r="M659" s="66" t="s">
        <v>2118</v>
      </c>
      <c r="N659" s="66" t="s">
        <v>2119</v>
      </c>
      <c r="O659" s="66" t="s">
        <v>811</v>
      </c>
      <c r="P659" s="66"/>
      <c r="Q659" s="66" t="s">
        <v>2120</v>
      </c>
      <c r="R659" s="66" t="s">
        <v>60</v>
      </c>
      <c r="S659" s="66"/>
      <c r="T659" s="66"/>
      <c r="U659" s="66"/>
      <c r="V659" s="66"/>
      <c r="W659" s="66" t="s">
        <v>2121</v>
      </c>
      <c r="X659" s="66" t="s">
        <v>2122</v>
      </c>
      <c r="Y659" s="66" t="s">
        <v>2123</v>
      </c>
      <c r="Z659" s="66">
        <v>-78.470006999999995</v>
      </c>
      <c r="AA659" s="66">
        <v>1.4257000000000001E-2</v>
      </c>
      <c r="AB659" s="66">
        <v>170180002</v>
      </c>
      <c r="AC659" s="66">
        <v>170180002001</v>
      </c>
      <c r="AD659" s="66">
        <v>170180002001001</v>
      </c>
      <c r="AE659" s="69">
        <v>4</v>
      </c>
      <c r="AF659" s="69" t="s">
        <v>499</v>
      </c>
      <c r="AG659" s="46" t="s">
        <v>66</v>
      </c>
      <c r="AH659" s="70">
        <v>40817</v>
      </c>
      <c r="AI659" s="71" t="s">
        <v>66</v>
      </c>
      <c r="AJ659" s="49" t="s">
        <v>6938</v>
      </c>
      <c r="AK659" s="50" t="s">
        <v>67</v>
      </c>
      <c r="AL659" s="58">
        <v>45608</v>
      </c>
      <c r="AM659" s="52" t="s">
        <v>66</v>
      </c>
      <c r="AN659" s="52"/>
      <c r="AO659" s="52"/>
      <c r="AP659" s="52"/>
      <c r="AQ659" s="53">
        <f t="shared" si="33"/>
        <v>4</v>
      </c>
      <c r="AR659" s="54">
        <f t="shared" si="34"/>
        <v>0</v>
      </c>
      <c r="AS659" s="55">
        <f t="shared" si="35"/>
        <v>4</v>
      </c>
      <c r="AT659" s="102" t="s">
        <v>7073</v>
      </c>
      <c r="AU659" s="103" t="s">
        <v>6762</v>
      </c>
      <c r="AV659" s="104">
        <v>16</v>
      </c>
      <c r="AW659" s="105">
        <v>45580</v>
      </c>
      <c r="AX659" s="104">
        <v>16</v>
      </c>
      <c r="AY659" s="106">
        <v>45608</v>
      </c>
      <c r="AZ659" s="102" t="s">
        <v>6763</v>
      </c>
      <c r="BA659" s="103" t="s">
        <v>6764</v>
      </c>
      <c r="BB659" s="104">
        <v>20</v>
      </c>
      <c r="BC659" s="106">
        <v>45580</v>
      </c>
      <c r="BD659" s="104">
        <v>20</v>
      </c>
      <c r="BE659" s="106">
        <v>45608</v>
      </c>
      <c r="BF659" s="102" t="s">
        <v>7010</v>
      </c>
      <c r="BG659" s="103" t="s">
        <v>2715</v>
      </c>
      <c r="BH659" s="104">
        <v>20</v>
      </c>
      <c r="BI659" s="106">
        <v>45580</v>
      </c>
      <c r="BJ659" s="104">
        <v>20</v>
      </c>
      <c r="BK659" s="106">
        <v>45608</v>
      </c>
      <c r="BL659" s="102" t="s">
        <v>6766</v>
      </c>
      <c r="BM659" s="103" t="s">
        <v>2865</v>
      </c>
      <c r="BN659" s="104">
        <v>9.52</v>
      </c>
      <c r="BO659" s="106">
        <v>45580</v>
      </c>
      <c r="BP659" s="104">
        <v>9.52</v>
      </c>
      <c r="BQ659" s="106">
        <v>45608</v>
      </c>
      <c r="BR659" s="102"/>
      <c r="BS659" s="103" t="s">
        <v>1356</v>
      </c>
      <c r="BT659" s="104"/>
      <c r="BU659" s="106"/>
      <c r="BV659" s="104"/>
      <c r="BW659" s="106"/>
      <c r="BX659" s="121"/>
      <c r="BY659" s="122" t="s">
        <v>1356</v>
      </c>
      <c r="BZ659" s="123"/>
      <c r="CA659" s="124"/>
      <c r="CB659" s="123"/>
      <c r="CC659" s="124"/>
      <c r="CD659" s="121"/>
      <c r="CE659" s="122" t="s">
        <v>1356</v>
      </c>
      <c r="CF659" s="123"/>
      <c r="CG659" s="124"/>
      <c r="CH659" s="123"/>
      <c r="CI659" s="124"/>
      <c r="CJ659" s="121"/>
      <c r="CK659" s="122" t="s">
        <v>1356</v>
      </c>
      <c r="CL659" s="123"/>
      <c r="CM659" s="124"/>
      <c r="CN659" s="123"/>
      <c r="CO659" s="124"/>
      <c r="CP659" s="121"/>
      <c r="CQ659" s="122" t="s">
        <v>1356</v>
      </c>
      <c r="CR659" s="123"/>
      <c r="CS659" s="124"/>
      <c r="CT659" s="123"/>
      <c r="CU659" s="124"/>
      <c r="CV659" s="121"/>
      <c r="CW659" s="122" t="s">
        <v>1356</v>
      </c>
      <c r="CX659" s="123"/>
      <c r="CY659" s="124"/>
      <c r="CZ659" s="123"/>
      <c r="DA659" s="124"/>
      <c r="DB659" s="52" t="s">
        <v>6962</v>
      </c>
      <c r="DC659" s="73" t="s">
        <v>105</v>
      </c>
    </row>
    <row r="660" spans="1:107" s="40" customFormat="1" ht="14.55" customHeight="1" x14ac:dyDescent="0.3">
      <c r="A660" s="35" t="s">
        <v>4219</v>
      </c>
      <c r="B660" s="35" t="s">
        <v>6575</v>
      </c>
      <c r="C660" s="35" t="s">
        <v>6576</v>
      </c>
      <c r="D660" s="35" t="s">
        <v>6577</v>
      </c>
      <c r="E660" s="35" t="s">
        <v>70</v>
      </c>
      <c r="F660" s="35" t="s">
        <v>81</v>
      </c>
      <c r="G660" s="35" t="s">
        <v>4484</v>
      </c>
      <c r="H660" s="27" t="s">
        <v>6936</v>
      </c>
      <c r="I660" s="62">
        <v>1204</v>
      </c>
      <c r="J660" s="62">
        <v>120450</v>
      </c>
      <c r="K660" s="63">
        <v>4</v>
      </c>
      <c r="L660" s="35" t="s">
        <v>6578</v>
      </c>
      <c r="M660" s="35"/>
      <c r="N660" s="35"/>
      <c r="O660" s="35"/>
      <c r="P660" s="35"/>
      <c r="Q660" s="35"/>
      <c r="R660" s="35" t="s">
        <v>60</v>
      </c>
      <c r="S660" s="35"/>
      <c r="T660" s="35"/>
      <c r="U660" s="35" t="s">
        <v>6579</v>
      </c>
      <c r="V660" s="35"/>
      <c r="W660" s="35" t="s">
        <v>6580</v>
      </c>
      <c r="X660" s="35" t="s">
        <v>6581</v>
      </c>
      <c r="Y660" s="35" t="s">
        <v>6582</v>
      </c>
      <c r="Z660" s="35"/>
      <c r="AA660" s="35"/>
      <c r="AB660" s="35">
        <v>120450999</v>
      </c>
      <c r="AC660" s="35">
        <v>120450999016</v>
      </c>
      <c r="AD660" s="35">
        <v>120450999016001</v>
      </c>
      <c r="AE660" s="63">
        <v>5</v>
      </c>
      <c r="AF660" s="63" t="s">
        <v>772</v>
      </c>
      <c r="AG660" s="29" t="s">
        <v>65</v>
      </c>
      <c r="AH660" s="75"/>
      <c r="AI660" s="65" t="s">
        <v>65</v>
      </c>
      <c r="AJ660" s="32" t="s">
        <v>6938</v>
      </c>
      <c r="AK660" s="33" t="s">
        <v>92</v>
      </c>
      <c r="AL660" s="58">
        <v>45580</v>
      </c>
      <c r="AM660" s="35"/>
      <c r="AN660" s="35"/>
      <c r="AO660" s="35"/>
      <c r="AP660" s="35"/>
      <c r="AQ660" s="37">
        <f t="shared" si="33"/>
        <v>0</v>
      </c>
      <c r="AR660" s="38">
        <f t="shared" si="34"/>
        <v>0</v>
      </c>
      <c r="AS660" s="39">
        <f t="shared" si="35"/>
        <v>0</v>
      </c>
      <c r="AT660" s="99"/>
      <c r="AU660" s="99" t="s">
        <v>1356</v>
      </c>
      <c r="AV660" s="99"/>
      <c r="AW660" s="100"/>
      <c r="AX660" s="99"/>
      <c r="AY660" s="101"/>
      <c r="AZ660" s="99"/>
      <c r="BA660" s="99" t="s">
        <v>1356</v>
      </c>
      <c r="BB660" s="99"/>
      <c r="BC660" s="101"/>
      <c r="BD660" s="99"/>
      <c r="BE660" s="101"/>
      <c r="BF660" s="99"/>
      <c r="BG660" s="99" t="s">
        <v>1356</v>
      </c>
      <c r="BH660" s="99"/>
      <c r="BI660" s="101"/>
      <c r="BJ660" s="99"/>
      <c r="BK660" s="101"/>
      <c r="BL660" s="99"/>
      <c r="BM660" s="99" t="s">
        <v>1356</v>
      </c>
      <c r="BN660" s="99"/>
      <c r="BO660" s="101"/>
      <c r="BP660" s="99"/>
      <c r="BQ660" s="101"/>
      <c r="BR660" s="99"/>
      <c r="BS660" s="99" t="s">
        <v>1356</v>
      </c>
      <c r="BT660" s="99"/>
      <c r="BU660" s="101"/>
      <c r="BV660" s="99"/>
      <c r="BW660" s="101"/>
      <c r="BX660" s="119"/>
      <c r="BY660" s="119" t="s">
        <v>1356</v>
      </c>
      <c r="BZ660" s="119"/>
      <c r="CA660" s="120"/>
      <c r="CB660" s="119"/>
      <c r="CC660" s="120"/>
      <c r="CD660" s="119"/>
      <c r="CE660" s="119" t="s">
        <v>1356</v>
      </c>
      <c r="CF660" s="119"/>
      <c r="CG660" s="120"/>
      <c r="CH660" s="119"/>
      <c r="CI660" s="120"/>
      <c r="CJ660" s="119"/>
      <c r="CK660" s="119" t="s">
        <v>1356</v>
      </c>
      <c r="CL660" s="119"/>
      <c r="CM660" s="120"/>
      <c r="CN660" s="119"/>
      <c r="CO660" s="120"/>
      <c r="CP660" s="119"/>
      <c r="CQ660" s="119" t="s">
        <v>1356</v>
      </c>
      <c r="CR660" s="119"/>
      <c r="CS660" s="120"/>
      <c r="CT660" s="119"/>
      <c r="CU660" s="120"/>
      <c r="CV660" s="119"/>
      <c r="CW660" s="119" t="s">
        <v>1356</v>
      </c>
      <c r="CX660" s="119"/>
      <c r="CY660" s="120"/>
      <c r="CZ660" s="119"/>
      <c r="DA660" s="120"/>
      <c r="DB660" s="36" t="s">
        <v>7085</v>
      </c>
      <c r="DC660" s="59" t="s">
        <v>92</v>
      </c>
    </row>
    <row r="661" spans="1:107" s="40" customFormat="1" ht="14.55" customHeight="1" x14ac:dyDescent="0.3">
      <c r="A661" s="66" t="s">
        <v>3500</v>
      </c>
      <c r="B661" s="66" t="s">
        <v>3964</v>
      </c>
      <c r="C661" s="66" t="s">
        <v>3965</v>
      </c>
      <c r="D661" s="66" t="s">
        <v>2199</v>
      </c>
      <c r="E661" s="66" t="s">
        <v>70</v>
      </c>
      <c r="F661" s="66" t="s">
        <v>134</v>
      </c>
      <c r="G661" s="68" t="s">
        <v>72</v>
      </c>
      <c r="H661" s="43" t="s">
        <v>251</v>
      </c>
      <c r="I661" s="68">
        <v>1701</v>
      </c>
      <c r="J661" s="68">
        <v>170151</v>
      </c>
      <c r="K661" s="69">
        <v>4</v>
      </c>
      <c r="L661" s="66" t="s">
        <v>1153</v>
      </c>
      <c r="M661" s="66" t="s">
        <v>2200</v>
      </c>
      <c r="N661" s="66" t="s">
        <v>2201</v>
      </c>
      <c r="O661" s="66"/>
      <c r="P661" s="66"/>
      <c r="Q661" s="66"/>
      <c r="R661" s="66"/>
      <c r="S661" s="66"/>
      <c r="T661" s="66"/>
      <c r="U661" s="66" t="s">
        <v>2202</v>
      </c>
      <c r="V661" s="66"/>
      <c r="W661" s="66" t="s">
        <v>2203</v>
      </c>
      <c r="X661" s="66" t="s">
        <v>2204</v>
      </c>
      <c r="Y661" s="66"/>
      <c r="Z661" s="66"/>
      <c r="AA661" s="66"/>
      <c r="AB661" s="66"/>
      <c r="AC661" s="66"/>
      <c r="AD661" s="66"/>
      <c r="AE661" s="69">
        <v>2</v>
      </c>
      <c r="AF661" s="69" t="s">
        <v>64</v>
      </c>
      <c r="AG661" s="46" t="s">
        <v>66</v>
      </c>
      <c r="AH661" s="70">
        <v>40213</v>
      </c>
      <c r="AI661" s="71" t="s">
        <v>66</v>
      </c>
      <c r="AJ661" s="49" t="s">
        <v>6938</v>
      </c>
      <c r="AK661" s="50" t="s">
        <v>67</v>
      </c>
      <c r="AL661" s="58">
        <v>45617</v>
      </c>
      <c r="AM661" s="52" t="s">
        <v>66</v>
      </c>
      <c r="AN661" s="52"/>
      <c r="AO661" s="52"/>
      <c r="AP661" s="52"/>
      <c r="AQ661" s="53">
        <f t="shared" si="33"/>
        <v>1</v>
      </c>
      <c r="AR661" s="54">
        <f t="shared" si="34"/>
        <v>0</v>
      </c>
      <c r="AS661" s="55">
        <f t="shared" si="35"/>
        <v>1</v>
      </c>
      <c r="AT661" s="107" t="s">
        <v>540</v>
      </c>
      <c r="AU661" s="103" t="s">
        <v>2205</v>
      </c>
      <c r="AV661" s="104" t="s">
        <v>2206</v>
      </c>
      <c r="AW661" s="105">
        <v>45589</v>
      </c>
      <c r="AX661" s="104">
        <v>6.93</v>
      </c>
      <c r="AY661" s="106">
        <v>45617</v>
      </c>
      <c r="AZ661" s="102"/>
      <c r="BA661" s="103" t="s">
        <v>1356</v>
      </c>
      <c r="BB661" s="104"/>
      <c r="BC661" s="106"/>
      <c r="BD661" s="104"/>
      <c r="BE661" s="106"/>
      <c r="BF661" s="102"/>
      <c r="BG661" s="103" t="s">
        <v>1356</v>
      </c>
      <c r="BH661" s="104"/>
      <c r="BI661" s="106"/>
      <c r="BJ661" s="104"/>
      <c r="BK661" s="106"/>
      <c r="BL661" s="102"/>
      <c r="BM661" s="103" t="s">
        <v>1356</v>
      </c>
      <c r="BN661" s="104"/>
      <c r="BO661" s="106"/>
      <c r="BP661" s="104"/>
      <c r="BQ661" s="106"/>
      <c r="BR661" s="102"/>
      <c r="BS661" s="103" t="s">
        <v>1356</v>
      </c>
      <c r="BT661" s="104"/>
      <c r="BU661" s="106"/>
      <c r="BV661" s="104"/>
      <c r="BW661" s="106"/>
      <c r="BX661" s="121"/>
      <c r="BY661" s="122" t="s">
        <v>1356</v>
      </c>
      <c r="BZ661" s="123"/>
      <c r="CA661" s="124"/>
      <c r="CB661" s="123"/>
      <c r="CC661" s="124"/>
      <c r="CD661" s="121"/>
      <c r="CE661" s="122" t="s">
        <v>1356</v>
      </c>
      <c r="CF661" s="123"/>
      <c r="CG661" s="124"/>
      <c r="CH661" s="123"/>
      <c r="CI661" s="124"/>
      <c r="CJ661" s="121"/>
      <c r="CK661" s="122" t="s">
        <v>1356</v>
      </c>
      <c r="CL661" s="123"/>
      <c r="CM661" s="124"/>
      <c r="CN661" s="123"/>
      <c r="CO661" s="124"/>
      <c r="CP661" s="121"/>
      <c r="CQ661" s="122" t="s">
        <v>1356</v>
      </c>
      <c r="CR661" s="123"/>
      <c r="CS661" s="124"/>
      <c r="CT661" s="123"/>
      <c r="CU661" s="124"/>
      <c r="CV661" s="121"/>
      <c r="CW661" s="122" t="s">
        <v>1356</v>
      </c>
      <c r="CX661" s="123"/>
      <c r="CY661" s="124"/>
      <c r="CZ661" s="123"/>
      <c r="DA661" s="124"/>
      <c r="DB661" s="52" t="s">
        <v>6962</v>
      </c>
      <c r="DC661" s="73" t="s">
        <v>105</v>
      </c>
    </row>
    <row r="662" spans="1:107" s="40" customFormat="1" ht="14.55" customHeight="1" x14ac:dyDescent="0.3">
      <c r="A662" s="35" t="s">
        <v>4219</v>
      </c>
      <c r="B662" s="35" t="s">
        <v>6594</v>
      </c>
      <c r="C662" s="35" t="s">
        <v>6595</v>
      </c>
      <c r="D662" s="35" t="s">
        <v>6596</v>
      </c>
      <c r="E662" s="35" t="s">
        <v>6596</v>
      </c>
      <c r="F662" s="35" t="s">
        <v>825</v>
      </c>
      <c r="G662" s="35" t="s">
        <v>4237</v>
      </c>
      <c r="H662" s="27" t="s">
        <v>686</v>
      </c>
      <c r="I662" s="62">
        <v>907</v>
      </c>
      <c r="J662" s="62">
        <v>90750</v>
      </c>
      <c r="K662" s="63">
        <v>4</v>
      </c>
      <c r="L662" s="35" t="s">
        <v>5118</v>
      </c>
      <c r="M662" s="35" t="s">
        <v>258</v>
      </c>
      <c r="N662" s="35" t="s">
        <v>258</v>
      </c>
      <c r="O662" s="35" t="s">
        <v>979</v>
      </c>
      <c r="P662" s="35" t="s">
        <v>6597</v>
      </c>
      <c r="Q662" s="35" t="s">
        <v>6598</v>
      </c>
      <c r="R662" s="35" t="s">
        <v>60</v>
      </c>
      <c r="S662" s="35"/>
      <c r="T662" s="35"/>
      <c r="U662" s="35"/>
      <c r="V662" s="35"/>
      <c r="W662" s="35" t="s">
        <v>6599</v>
      </c>
      <c r="X662" s="35" t="s">
        <v>6600</v>
      </c>
      <c r="Y662" s="35" t="s">
        <v>6601</v>
      </c>
      <c r="Z662" s="35">
        <v>-79.829480000000004</v>
      </c>
      <c r="AA662" s="35">
        <v>-2.1803880000000002</v>
      </c>
      <c r="AB662" s="35">
        <v>90750069</v>
      </c>
      <c r="AC662" s="35">
        <v>90750069001</v>
      </c>
      <c r="AD662" s="35">
        <v>90750069001005</v>
      </c>
      <c r="AE662" s="63">
        <v>5</v>
      </c>
      <c r="AF662" s="63" t="s">
        <v>772</v>
      </c>
      <c r="AG662" s="29" t="s">
        <v>65</v>
      </c>
      <c r="AH662" s="75"/>
      <c r="AI662" s="65" t="s">
        <v>65</v>
      </c>
      <c r="AJ662" s="32" t="s">
        <v>6938</v>
      </c>
      <c r="AK662" s="33" t="s">
        <v>92</v>
      </c>
      <c r="AL662" s="58">
        <v>45569</v>
      </c>
      <c r="AM662" s="35"/>
      <c r="AN662" s="35"/>
      <c r="AO662" s="35"/>
      <c r="AP662" s="35"/>
      <c r="AQ662" s="37">
        <f t="shared" si="33"/>
        <v>0</v>
      </c>
      <c r="AR662" s="38">
        <f t="shared" si="34"/>
        <v>0</v>
      </c>
      <c r="AS662" s="39">
        <f t="shared" si="35"/>
        <v>0</v>
      </c>
      <c r="AT662" s="99"/>
      <c r="AU662" s="99" t="s">
        <v>1356</v>
      </c>
      <c r="AV662" s="99"/>
      <c r="AW662" s="100"/>
      <c r="AX662" s="99"/>
      <c r="AY662" s="101"/>
      <c r="AZ662" s="99"/>
      <c r="BA662" s="99" t="s">
        <v>1356</v>
      </c>
      <c r="BB662" s="99"/>
      <c r="BC662" s="101"/>
      <c r="BD662" s="99"/>
      <c r="BE662" s="101"/>
      <c r="BF662" s="99"/>
      <c r="BG662" s="99" t="s">
        <v>1356</v>
      </c>
      <c r="BH662" s="99"/>
      <c r="BI662" s="101"/>
      <c r="BJ662" s="99"/>
      <c r="BK662" s="101"/>
      <c r="BL662" s="99"/>
      <c r="BM662" s="99" t="s">
        <v>1356</v>
      </c>
      <c r="BN662" s="99"/>
      <c r="BO662" s="101"/>
      <c r="BP662" s="99"/>
      <c r="BQ662" s="101"/>
      <c r="BR662" s="99"/>
      <c r="BS662" s="99" t="s">
        <v>1356</v>
      </c>
      <c r="BT662" s="99"/>
      <c r="BU662" s="101"/>
      <c r="BV662" s="99"/>
      <c r="BW662" s="101"/>
      <c r="BX662" s="119"/>
      <c r="BY662" s="119" t="s">
        <v>1356</v>
      </c>
      <c r="BZ662" s="119"/>
      <c r="CA662" s="120"/>
      <c r="CB662" s="119"/>
      <c r="CC662" s="120"/>
      <c r="CD662" s="119"/>
      <c r="CE662" s="119" t="s">
        <v>1356</v>
      </c>
      <c r="CF662" s="119"/>
      <c r="CG662" s="120"/>
      <c r="CH662" s="119"/>
      <c r="CI662" s="120"/>
      <c r="CJ662" s="119"/>
      <c r="CK662" s="119" t="s">
        <v>1356</v>
      </c>
      <c r="CL662" s="119"/>
      <c r="CM662" s="120"/>
      <c r="CN662" s="119"/>
      <c r="CO662" s="120"/>
      <c r="CP662" s="119"/>
      <c r="CQ662" s="119" t="s">
        <v>1356</v>
      </c>
      <c r="CR662" s="119"/>
      <c r="CS662" s="120"/>
      <c r="CT662" s="119"/>
      <c r="CU662" s="120"/>
      <c r="CV662" s="119"/>
      <c r="CW662" s="119" t="s">
        <v>1356</v>
      </c>
      <c r="CX662" s="119"/>
      <c r="CY662" s="120"/>
      <c r="CZ662" s="119"/>
      <c r="DA662" s="120"/>
      <c r="DB662" s="36" t="s">
        <v>7085</v>
      </c>
      <c r="DC662" s="59" t="s">
        <v>92</v>
      </c>
    </row>
    <row r="663" spans="1:107" s="40" customFormat="1" x14ac:dyDescent="0.3">
      <c r="A663" s="35" t="s">
        <v>4219</v>
      </c>
      <c r="B663" s="35" t="s">
        <v>6602</v>
      </c>
      <c r="C663" s="35" t="s">
        <v>6603</v>
      </c>
      <c r="D663" s="35" t="s">
        <v>6604</v>
      </c>
      <c r="E663" s="35" t="s">
        <v>70</v>
      </c>
      <c r="F663" s="35" t="s">
        <v>3036</v>
      </c>
      <c r="G663" s="35" t="s">
        <v>461</v>
      </c>
      <c r="H663" s="27" t="s">
        <v>6933</v>
      </c>
      <c r="I663" s="62">
        <v>1317</v>
      </c>
      <c r="J663" s="62">
        <v>131750</v>
      </c>
      <c r="K663" s="63">
        <v>4</v>
      </c>
      <c r="L663" s="35" t="s">
        <v>6605</v>
      </c>
      <c r="M663" s="35"/>
      <c r="N663" s="35" t="s">
        <v>6606</v>
      </c>
      <c r="O663" s="35" t="s">
        <v>1526</v>
      </c>
      <c r="P663" s="35"/>
      <c r="Q663" s="35"/>
      <c r="R663" s="35"/>
      <c r="S663" s="35"/>
      <c r="T663" s="35"/>
      <c r="U663" s="35" t="s">
        <v>6607</v>
      </c>
      <c r="V663" s="35"/>
      <c r="W663" s="35" t="s">
        <v>6608</v>
      </c>
      <c r="X663" s="35" t="s">
        <v>6609</v>
      </c>
      <c r="Y663" s="35" t="s">
        <v>6610</v>
      </c>
      <c r="Z663" s="35">
        <v>-80.015071000000006</v>
      </c>
      <c r="AA663" s="35">
        <v>0.10681400000000001</v>
      </c>
      <c r="AB663" s="35">
        <v>131750999</v>
      </c>
      <c r="AC663" s="35">
        <v>131750999004</v>
      </c>
      <c r="AD663" s="35">
        <v>131750999004001</v>
      </c>
      <c r="AE663" s="63">
        <v>5</v>
      </c>
      <c r="AF663" s="63" t="s">
        <v>772</v>
      </c>
      <c r="AG663" s="29" t="s">
        <v>65</v>
      </c>
      <c r="AH663" s="75"/>
      <c r="AI663" s="65" t="s">
        <v>66</v>
      </c>
      <c r="AJ663" s="32" t="s">
        <v>6938</v>
      </c>
      <c r="AK663" s="33" t="s">
        <v>67</v>
      </c>
      <c r="AL663" s="58">
        <v>45580</v>
      </c>
      <c r="AM663" s="35" t="s">
        <v>66</v>
      </c>
      <c r="AN663" s="35"/>
      <c r="AO663" s="35"/>
      <c r="AP663" s="35"/>
      <c r="AQ663" s="37">
        <f t="shared" si="33"/>
        <v>0</v>
      </c>
      <c r="AR663" s="38">
        <f t="shared" si="34"/>
        <v>0</v>
      </c>
      <c r="AS663" s="39">
        <f t="shared" si="35"/>
        <v>0</v>
      </c>
      <c r="AT663" s="99"/>
      <c r="AU663" s="99" t="s">
        <v>1356</v>
      </c>
      <c r="AV663" s="99"/>
      <c r="AW663" s="100"/>
      <c r="AX663" s="99"/>
      <c r="AY663" s="101"/>
      <c r="AZ663" s="99"/>
      <c r="BA663" s="99" t="s">
        <v>1356</v>
      </c>
      <c r="BB663" s="99"/>
      <c r="BC663" s="101"/>
      <c r="BD663" s="99"/>
      <c r="BE663" s="101"/>
      <c r="BF663" s="99"/>
      <c r="BG663" s="99" t="s">
        <v>1356</v>
      </c>
      <c r="BH663" s="99"/>
      <c r="BI663" s="101"/>
      <c r="BJ663" s="99"/>
      <c r="BK663" s="101"/>
      <c r="BL663" s="99"/>
      <c r="BM663" s="99" t="s">
        <v>1356</v>
      </c>
      <c r="BN663" s="99"/>
      <c r="BO663" s="101"/>
      <c r="BP663" s="99"/>
      <c r="BQ663" s="101"/>
      <c r="BR663" s="99"/>
      <c r="BS663" s="99" t="s">
        <v>1356</v>
      </c>
      <c r="BT663" s="99"/>
      <c r="BU663" s="101"/>
      <c r="BV663" s="99"/>
      <c r="BW663" s="101"/>
      <c r="BX663" s="119"/>
      <c r="BY663" s="119" t="s">
        <v>1356</v>
      </c>
      <c r="BZ663" s="119"/>
      <c r="CA663" s="120"/>
      <c r="CB663" s="119"/>
      <c r="CC663" s="120"/>
      <c r="CD663" s="119"/>
      <c r="CE663" s="119" t="s">
        <v>1356</v>
      </c>
      <c r="CF663" s="119"/>
      <c r="CG663" s="120"/>
      <c r="CH663" s="119"/>
      <c r="CI663" s="120"/>
      <c r="CJ663" s="119"/>
      <c r="CK663" s="119" t="s">
        <v>1356</v>
      </c>
      <c r="CL663" s="119"/>
      <c r="CM663" s="120"/>
      <c r="CN663" s="119"/>
      <c r="CO663" s="120"/>
      <c r="CP663" s="119"/>
      <c r="CQ663" s="119" t="s">
        <v>1356</v>
      </c>
      <c r="CR663" s="119"/>
      <c r="CS663" s="120"/>
      <c r="CT663" s="119"/>
      <c r="CU663" s="120"/>
      <c r="CV663" s="119"/>
      <c r="CW663" s="119" t="s">
        <v>1356</v>
      </c>
      <c r="CX663" s="119"/>
      <c r="CY663" s="120"/>
      <c r="CZ663" s="119"/>
      <c r="DA663" s="120"/>
      <c r="DB663" s="36" t="s">
        <v>7085</v>
      </c>
      <c r="DC663" s="59" t="s">
        <v>6751</v>
      </c>
    </row>
    <row r="664" spans="1:107" s="40" customFormat="1" x14ac:dyDescent="0.3">
      <c r="A664" s="35" t="s">
        <v>4219</v>
      </c>
      <c r="B664" s="35" t="s">
        <v>6611</v>
      </c>
      <c r="C664" s="35" t="s">
        <v>6612</v>
      </c>
      <c r="D664" s="35" t="s">
        <v>6613</v>
      </c>
      <c r="E664" s="35" t="s">
        <v>70</v>
      </c>
      <c r="F664" s="35" t="s">
        <v>190</v>
      </c>
      <c r="G664" s="35" t="s">
        <v>461</v>
      </c>
      <c r="H664" s="27" t="s">
        <v>6933</v>
      </c>
      <c r="I664" s="62">
        <v>1304</v>
      </c>
      <c r="J664" s="62">
        <v>130450</v>
      </c>
      <c r="K664" s="63">
        <v>4</v>
      </c>
      <c r="L664" s="35" t="s">
        <v>6614</v>
      </c>
      <c r="M664" s="35"/>
      <c r="N664" s="35"/>
      <c r="O664" s="35" t="s">
        <v>1688</v>
      </c>
      <c r="P664" s="35"/>
      <c r="Q664" s="35"/>
      <c r="R664" s="35"/>
      <c r="S664" s="35"/>
      <c r="T664" s="35"/>
      <c r="U664" s="35"/>
      <c r="V664" s="35"/>
      <c r="W664" s="35" t="s">
        <v>6615</v>
      </c>
      <c r="X664" s="35" t="s">
        <v>6616</v>
      </c>
      <c r="Y664" s="35" t="s">
        <v>6617</v>
      </c>
      <c r="Z664" s="35"/>
      <c r="AA664" s="35"/>
      <c r="AB664" s="35">
        <v>130450005</v>
      </c>
      <c r="AC664" s="35">
        <v>130450005009</v>
      </c>
      <c r="AD664" s="35">
        <v>130450005009001</v>
      </c>
      <c r="AE664" s="63">
        <v>5</v>
      </c>
      <c r="AF664" s="63" t="s">
        <v>772</v>
      </c>
      <c r="AG664" s="29" t="s">
        <v>65</v>
      </c>
      <c r="AH664" s="75"/>
      <c r="AI664" s="65" t="s">
        <v>66</v>
      </c>
      <c r="AJ664" s="32" t="s">
        <v>6938</v>
      </c>
      <c r="AK664" s="33" t="s">
        <v>67</v>
      </c>
      <c r="AL664" s="34">
        <v>45580</v>
      </c>
      <c r="AM664" s="35" t="s">
        <v>66</v>
      </c>
      <c r="AN664" s="35"/>
      <c r="AO664" s="35"/>
      <c r="AP664" s="35"/>
      <c r="AQ664" s="37">
        <f t="shared" si="33"/>
        <v>0</v>
      </c>
      <c r="AR664" s="38">
        <f t="shared" si="34"/>
        <v>0</v>
      </c>
      <c r="AS664" s="39">
        <f t="shared" si="35"/>
        <v>0</v>
      </c>
      <c r="AT664" s="99"/>
      <c r="AU664" s="99" t="s">
        <v>1356</v>
      </c>
      <c r="AV664" s="99"/>
      <c r="AW664" s="100"/>
      <c r="AX664" s="99"/>
      <c r="AY664" s="101"/>
      <c r="AZ664" s="99"/>
      <c r="BA664" s="99" t="s">
        <v>1356</v>
      </c>
      <c r="BB664" s="99"/>
      <c r="BC664" s="101"/>
      <c r="BD664" s="99"/>
      <c r="BE664" s="101"/>
      <c r="BF664" s="99"/>
      <c r="BG664" s="99" t="s">
        <v>1356</v>
      </c>
      <c r="BH664" s="99"/>
      <c r="BI664" s="101"/>
      <c r="BJ664" s="99"/>
      <c r="BK664" s="101"/>
      <c r="BL664" s="99"/>
      <c r="BM664" s="99" t="s">
        <v>1356</v>
      </c>
      <c r="BN664" s="99"/>
      <c r="BO664" s="101"/>
      <c r="BP664" s="99"/>
      <c r="BQ664" s="101"/>
      <c r="BR664" s="99"/>
      <c r="BS664" s="99" t="s">
        <v>1356</v>
      </c>
      <c r="BT664" s="99"/>
      <c r="BU664" s="101"/>
      <c r="BV664" s="99"/>
      <c r="BW664" s="101"/>
      <c r="BX664" s="119"/>
      <c r="BY664" s="119" t="s">
        <v>1356</v>
      </c>
      <c r="BZ664" s="119"/>
      <c r="CA664" s="120"/>
      <c r="CB664" s="119"/>
      <c r="CC664" s="120"/>
      <c r="CD664" s="119"/>
      <c r="CE664" s="119" t="s">
        <v>1356</v>
      </c>
      <c r="CF664" s="119"/>
      <c r="CG664" s="120"/>
      <c r="CH664" s="119"/>
      <c r="CI664" s="120"/>
      <c r="CJ664" s="119"/>
      <c r="CK664" s="119" t="s">
        <v>1356</v>
      </c>
      <c r="CL664" s="119"/>
      <c r="CM664" s="120"/>
      <c r="CN664" s="119"/>
      <c r="CO664" s="120"/>
      <c r="CP664" s="119"/>
      <c r="CQ664" s="119" t="s">
        <v>1356</v>
      </c>
      <c r="CR664" s="119"/>
      <c r="CS664" s="120"/>
      <c r="CT664" s="119"/>
      <c r="CU664" s="120"/>
      <c r="CV664" s="119"/>
      <c r="CW664" s="119" t="s">
        <v>1356</v>
      </c>
      <c r="CX664" s="119"/>
      <c r="CY664" s="120"/>
      <c r="CZ664" s="119"/>
      <c r="DA664" s="120"/>
      <c r="DB664" s="36" t="s">
        <v>7085</v>
      </c>
      <c r="DC664" s="59" t="s">
        <v>6751</v>
      </c>
    </row>
    <row r="665" spans="1:107" s="40" customFormat="1" x14ac:dyDescent="0.3">
      <c r="A665" s="66" t="s">
        <v>3500</v>
      </c>
      <c r="B665" s="66" t="s">
        <v>4012</v>
      </c>
      <c r="C665" s="66" t="s">
        <v>4013</v>
      </c>
      <c r="D665" s="66" t="s">
        <v>2370</v>
      </c>
      <c r="E665" s="66" t="s">
        <v>2371</v>
      </c>
      <c r="F665" s="66" t="s">
        <v>327</v>
      </c>
      <c r="G665" s="68" t="s">
        <v>72</v>
      </c>
      <c r="H665" s="43" t="s">
        <v>251</v>
      </c>
      <c r="I665" s="68">
        <v>1705</v>
      </c>
      <c r="J665" s="68">
        <v>170550</v>
      </c>
      <c r="K665" s="69">
        <v>4</v>
      </c>
      <c r="L665" s="66" t="s">
        <v>2372</v>
      </c>
      <c r="M665" s="66" t="s">
        <v>258</v>
      </c>
      <c r="N665" s="66" t="s">
        <v>2335</v>
      </c>
      <c r="O665" s="66"/>
      <c r="P665" s="66"/>
      <c r="Q665" s="66"/>
      <c r="R665" s="66" t="s">
        <v>60</v>
      </c>
      <c r="S665" s="66"/>
      <c r="T665" s="66"/>
      <c r="U665" s="66" t="s">
        <v>523</v>
      </c>
      <c r="V665" s="66"/>
      <c r="W665" s="66" t="s">
        <v>2373</v>
      </c>
      <c r="X665" s="66" t="s">
        <v>2374</v>
      </c>
      <c r="Y665" s="66" t="s">
        <v>2375</v>
      </c>
      <c r="Z665" s="66">
        <v>-78.465547000000001</v>
      </c>
      <c r="AA665" s="66">
        <v>-0.35362100000000002</v>
      </c>
      <c r="AB665" s="66">
        <v>170550999</v>
      </c>
      <c r="AC665" s="66">
        <v>170550999004</v>
      </c>
      <c r="AD665" s="66">
        <v>170550999004001</v>
      </c>
      <c r="AE665" s="69">
        <v>5</v>
      </c>
      <c r="AF665" s="69" t="s">
        <v>772</v>
      </c>
      <c r="AG665" s="46" t="s">
        <v>66</v>
      </c>
      <c r="AH665" s="70">
        <v>40246</v>
      </c>
      <c r="AI665" s="71" t="s">
        <v>66</v>
      </c>
      <c r="AJ665" s="49" t="s">
        <v>6938</v>
      </c>
      <c r="AK665" s="50" t="s">
        <v>67</v>
      </c>
      <c r="AL665" s="58">
        <v>45618</v>
      </c>
      <c r="AM665" s="52" t="s">
        <v>66</v>
      </c>
      <c r="AN665" s="52"/>
      <c r="AO665" s="52"/>
      <c r="AP665" s="52"/>
      <c r="AQ665" s="53">
        <f t="shared" si="33"/>
        <v>4</v>
      </c>
      <c r="AR665" s="54">
        <f t="shared" si="34"/>
        <v>0</v>
      </c>
      <c r="AS665" s="55">
        <f t="shared" si="35"/>
        <v>4</v>
      </c>
      <c r="AT665" s="102" t="s">
        <v>6767</v>
      </c>
      <c r="AU665" s="103" t="s">
        <v>6771</v>
      </c>
      <c r="AV665" s="104">
        <v>2.73</v>
      </c>
      <c r="AW665" s="105">
        <v>45589</v>
      </c>
      <c r="AX665" s="104">
        <v>2.74</v>
      </c>
      <c r="AY665" s="106">
        <v>45618</v>
      </c>
      <c r="AZ665" s="102" t="s">
        <v>1025</v>
      </c>
      <c r="BA665" s="103" t="s">
        <v>6711</v>
      </c>
      <c r="BB665" s="104">
        <v>2.38</v>
      </c>
      <c r="BC665" s="106">
        <v>45589</v>
      </c>
      <c r="BD665" s="104">
        <v>2.38</v>
      </c>
      <c r="BE665" s="106">
        <v>45618</v>
      </c>
      <c r="BF665" s="102" t="s">
        <v>1150</v>
      </c>
      <c r="BG665" s="103" t="s">
        <v>6728</v>
      </c>
      <c r="BH665" s="104">
        <v>2.61</v>
      </c>
      <c r="BI665" s="106">
        <v>45589</v>
      </c>
      <c r="BJ665" s="104">
        <v>2.62</v>
      </c>
      <c r="BK665" s="106">
        <v>45618</v>
      </c>
      <c r="BL665" s="102" t="s">
        <v>6768</v>
      </c>
      <c r="BM665" s="103" t="s">
        <v>6772</v>
      </c>
      <c r="BN665" s="104">
        <v>1606</v>
      </c>
      <c r="BO665" s="106">
        <v>45589</v>
      </c>
      <c r="BP665" s="104">
        <v>1.2</v>
      </c>
      <c r="BQ665" s="106">
        <v>45618</v>
      </c>
      <c r="BR665" s="102"/>
      <c r="BS665" s="103" t="s">
        <v>1356</v>
      </c>
      <c r="BT665" s="104"/>
      <c r="BU665" s="106"/>
      <c r="BV665" s="104"/>
      <c r="BW665" s="106"/>
      <c r="BX665" s="121"/>
      <c r="BY665" s="122" t="s">
        <v>1356</v>
      </c>
      <c r="BZ665" s="123"/>
      <c r="CA665" s="124"/>
      <c r="CB665" s="123"/>
      <c r="CC665" s="124"/>
      <c r="CD665" s="121"/>
      <c r="CE665" s="122" t="s">
        <v>1356</v>
      </c>
      <c r="CF665" s="123"/>
      <c r="CG665" s="124"/>
      <c r="CH665" s="123"/>
      <c r="CI665" s="124"/>
      <c r="CJ665" s="121"/>
      <c r="CK665" s="122" t="s">
        <v>1356</v>
      </c>
      <c r="CL665" s="123"/>
      <c r="CM665" s="124"/>
      <c r="CN665" s="123"/>
      <c r="CO665" s="124"/>
      <c r="CP665" s="121"/>
      <c r="CQ665" s="122" t="s">
        <v>1356</v>
      </c>
      <c r="CR665" s="123"/>
      <c r="CS665" s="124"/>
      <c r="CT665" s="123"/>
      <c r="CU665" s="124"/>
      <c r="CV665" s="121"/>
      <c r="CW665" s="122" t="s">
        <v>1356</v>
      </c>
      <c r="CX665" s="123"/>
      <c r="CY665" s="124"/>
      <c r="CZ665" s="123"/>
      <c r="DA665" s="124"/>
      <c r="DB665" s="52" t="s">
        <v>6962</v>
      </c>
      <c r="DC665" s="73" t="s">
        <v>105</v>
      </c>
    </row>
    <row r="666" spans="1:107" s="40" customFormat="1" ht="14.55" customHeight="1" x14ac:dyDescent="0.3">
      <c r="A666" s="35" t="s">
        <v>4219</v>
      </c>
      <c r="B666" s="35" t="s">
        <v>6626</v>
      </c>
      <c r="C666" s="35" t="s">
        <v>6627</v>
      </c>
      <c r="D666" s="35" t="s">
        <v>6628</v>
      </c>
      <c r="E666" s="35" t="s">
        <v>6629</v>
      </c>
      <c r="F666" s="35" t="s">
        <v>3036</v>
      </c>
      <c r="G666" s="35" t="s">
        <v>4237</v>
      </c>
      <c r="H666" s="27" t="s">
        <v>686</v>
      </c>
      <c r="I666" s="62">
        <v>901</v>
      </c>
      <c r="J666" s="62">
        <v>90150</v>
      </c>
      <c r="K666" s="63">
        <v>4</v>
      </c>
      <c r="L666" s="35" t="s">
        <v>6630</v>
      </c>
      <c r="M666" s="35" t="s">
        <v>403</v>
      </c>
      <c r="N666" s="35" t="s">
        <v>810</v>
      </c>
      <c r="O666" s="35" t="s">
        <v>862</v>
      </c>
      <c r="P666" s="35" t="s">
        <v>4485</v>
      </c>
      <c r="Q666" s="35"/>
      <c r="R666" s="35" t="s">
        <v>60</v>
      </c>
      <c r="S666" s="35"/>
      <c r="T666" s="35"/>
      <c r="U666" s="35"/>
      <c r="V666" s="35" t="s">
        <v>109</v>
      </c>
      <c r="W666" s="35" t="s">
        <v>6631</v>
      </c>
      <c r="X666" s="35" t="s">
        <v>6632</v>
      </c>
      <c r="Y666" s="35" t="s">
        <v>6633</v>
      </c>
      <c r="Z666" s="35"/>
      <c r="AA666" s="35"/>
      <c r="AB666" s="35">
        <v>90150517</v>
      </c>
      <c r="AC666" s="35">
        <v>90150517006</v>
      </c>
      <c r="AD666" s="35">
        <v>90150517006036</v>
      </c>
      <c r="AE666" s="63">
        <v>5</v>
      </c>
      <c r="AF666" s="63" t="s">
        <v>772</v>
      </c>
      <c r="AG666" s="29" t="s">
        <v>65</v>
      </c>
      <c r="AH666" s="75"/>
      <c r="AI666" s="65" t="s">
        <v>66</v>
      </c>
      <c r="AJ666" s="32" t="s">
        <v>6938</v>
      </c>
      <c r="AK666" s="33" t="s">
        <v>67</v>
      </c>
      <c r="AL666" s="58">
        <v>45583</v>
      </c>
      <c r="AM666" s="35" t="s">
        <v>66</v>
      </c>
      <c r="AN666" s="35"/>
      <c r="AO666" s="35"/>
      <c r="AP666" s="35"/>
      <c r="AQ666" s="37">
        <f t="shared" si="33"/>
        <v>0</v>
      </c>
      <c r="AR666" s="38">
        <f t="shared" si="34"/>
        <v>0</v>
      </c>
      <c r="AS666" s="39">
        <f t="shared" si="35"/>
        <v>0</v>
      </c>
      <c r="AT666" s="99"/>
      <c r="AU666" s="99" t="s">
        <v>1356</v>
      </c>
      <c r="AV666" s="99"/>
      <c r="AW666" s="100"/>
      <c r="AX666" s="99"/>
      <c r="AY666" s="101"/>
      <c r="AZ666" s="99"/>
      <c r="BA666" s="99" t="s">
        <v>1356</v>
      </c>
      <c r="BB666" s="99"/>
      <c r="BC666" s="101"/>
      <c r="BD666" s="99"/>
      <c r="BE666" s="101"/>
      <c r="BF666" s="99"/>
      <c r="BG666" s="99" t="s">
        <v>1356</v>
      </c>
      <c r="BH666" s="99"/>
      <c r="BI666" s="101"/>
      <c r="BJ666" s="99"/>
      <c r="BK666" s="101"/>
      <c r="BL666" s="99"/>
      <c r="BM666" s="99" t="s">
        <v>1356</v>
      </c>
      <c r="BN666" s="99"/>
      <c r="BO666" s="101"/>
      <c r="BP666" s="99"/>
      <c r="BQ666" s="101"/>
      <c r="BR666" s="99"/>
      <c r="BS666" s="99" t="s">
        <v>1356</v>
      </c>
      <c r="BT666" s="99"/>
      <c r="BU666" s="101"/>
      <c r="BV666" s="99"/>
      <c r="BW666" s="101"/>
      <c r="BX666" s="119"/>
      <c r="BY666" s="119" t="s">
        <v>1356</v>
      </c>
      <c r="BZ666" s="119"/>
      <c r="CA666" s="120"/>
      <c r="CB666" s="119"/>
      <c r="CC666" s="120"/>
      <c r="CD666" s="119"/>
      <c r="CE666" s="119" t="s">
        <v>1356</v>
      </c>
      <c r="CF666" s="119"/>
      <c r="CG666" s="120"/>
      <c r="CH666" s="119"/>
      <c r="CI666" s="120"/>
      <c r="CJ666" s="119"/>
      <c r="CK666" s="119" t="s">
        <v>1356</v>
      </c>
      <c r="CL666" s="119"/>
      <c r="CM666" s="120"/>
      <c r="CN666" s="119"/>
      <c r="CO666" s="120"/>
      <c r="CP666" s="119"/>
      <c r="CQ666" s="119" t="s">
        <v>1356</v>
      </c>
      <c r="CR666" s="119"/>
      <c r="CS666" s="120"/>
      <c r="CT666" s="119"/>
      <c r="CU666" s="120"/>
      <c r="CV666" s="119"/>
      <c r="CW666" s="119" t="s">
        <v>1356</v>
      </c>
      <c r="CX666" s="119"/>
      <c r="CY666" s="120"/>
      <c r="CZ666" s="119"/>
      <c r="DA666" s="120"/>
      <c r="DB666" s="36" t="s">
        <v>7085</v>
      </c>
      <c r="DC666" s="59" t="s">
        <v>105</v>
      </c>
    </row>
    <row r="667" spans="1:107" s="40" customFormat="1" x14ac:dyDescent="0.3">
      <c r="A667" s="35" t="s">
        <v>4219</v>
      </c>
      <c r="B667" s="35" t="s">
        <v>6634</v>
      </c>
      <c r="C667" s="35" t="s">
        <v>6635</v>
      </c>
      <c r="D667" s="35" t="s">
        <v>6636</v>
      </c>
      <c r="E667" s="35" t="s">
        <v>70</v>
      </c>
      <c r="F667" s="35" t="s">
        <v>825</v>
      </c>
      <c r="G667" s="35" t="s">
        <v>4237</v>
      </c>
      <c r="H667" s="27" t="s">
        <v>686</v>
      </c>
      <c r="I667" s="62">
        <v>901</v>
      </c>
      <c r="J667" s="62">
        <v>90150</v>
      </c>
      <c r="K667" s="63">
        <v>4</v>
      </c>
      <c r="L667" s="35" t="s">
        <v>6637</v>
      </c>
      <c r="M667" s="35" t="s">
        <v>6638</v>
      </c>
      <c r="N667" s="35" t="s">
        <v>5524</v>
      </c>
      <c r="O667" s="35" t="s">
        <v>4655</v>
      </c>
      <c r="P667" s="35"/>
      <c r="Q667" s="35" t="s">
        <v>5390</v>
      </c>
      <c r="R667" s="35"/>
      <c r="S667" s="35"/>
      <c r="T667" s="35"/>
      <c r="U667" s="35"/>
      <c r="V667" s="35" t="s">
        <v>6639</v>
      </c>
      <c r="W667" s="35" t="s">
        <v>6640</v>
      </c>
      <c r="X667" s="35" t="s">
        <v>6641</v>
      </c>
      <c r="Y667" s="35"/>
      <c r="Z667" s="35">
        <v>-79.937316999999993</v>
      </c>
      <c r="AA667" s="35">
        <v>-2.1001189999999998</v>
      </c>
      <c r="AB667" s="35">
        <v>90150517</v>
      </c>
      <c r="AC667" s="35">
        <v>90150517006</v>
      </c>
      <c r="AD667" s="35">
        <v>90150517006018</v>
      </c>
      <c r="AE667" s="63">
        <v>5</v>
      </c>
      <c r="AF667" s="63" t="s">
        <v>772</v>
      </c>
      <c r="AG667" s="29" t="s">
        <v>65</v>
      </c>
      <c r="AH667" s="75"/>
      <c r="AI667" s="65" t="s">
        <v>65</v>
      </c>
      <c r="AJ667" s="32" t="s">
        <v>6939</v>
      </c>
      <c r="AK667" s="33" t="s">
        <v>92</v>
      </c>
      <c r="AL667" s="58"/>
      <c r="AM667" s="35"/>
      <c r="AN667" s="35"/>
      <c r="AO667" s="35"/>
      <c r="AP667" s="35"/>
      <c r="AQ667" s="37">
        <f t="shared" si="33"/>
        <v>0</v>
      </c>
      <c r="AR667" s="38">
        <f t="shared" si="34"/>
        <v>0</v>
      </c>
      <c r="AS667" s="39">
        <f t="shared" si="35"/>
        <v>0</v>
      </c>
      <c r="AT667" s="99"/>
      <c r="AU667" s="99" t="s">
        <v>1356</v>
      </c>
      <c r="AV667" s="99"/>
      <c r="AW667" s="100"/>
      <c r="AX667" s="99"/>
      <c r="AY667" s="101"/>
      <c r="AZ667" s="99"/>
      <c r="BA667" s="99" t="s">
        <v>1356</v>
      </c>
      <c r="BB667" s="99"/>
      <c r="BC667" s="101"/>
      <c r="BD667" s="99"/>
      <c r="BE667" s="101"/>
      <c r="BF667" s="99"/>
      <c r="BG667" s="99" t="s">
        <v>1356</v>
      </c>
      <c r="BH667" s="99"/>
      <c r="BI667" s="101"/>
      <c r="BJ667" s="99"/>
      <c r="BK667" s="101"/>
      <c r="BL667" s="99"/>
      <c r="BM667" s="99" t="s">
        <v>1356</v>
      </c>
      <c r="BN667" s="99"/>
      <c r="BO667" s="101"/>
      <c r="BP667" s="99"/>
      <c r="BQ667" s="101"/>
      <c r="BR667" s="99"/>
      <c r="BS667" s="99" t="s">
        <v>1356</v>
      </c>
      <c r="BT667" s="99"/>
      <c r="BU667" s="101"/>
      <c r="BV667" s="99"/>
      <c r="BW667" s="101"/>
      <c r="BX667" s="119"/>
      <c r="BY667" s="119" t="s">
        <v>1356</v>
      </c>
      <c r="BZ667" s="119"/>
      <c r="CA667" s="120"/>
      <c r="CB667" s="119"/>
      <c r="CC667" s="120"/>
      <c r="CD667" s="119"/>
      <c r="CE667" s="119" t="s">
        <v>1356</v>
      </c>
      <c r="CF667" s="119"/>
      <c r="CG667" s="120"/>
      <c r="CH667" s="119"/>
      <c r="CI667" s="120"/>
      <c r="CJ667" s="119"/>
      <c r="CK667" s="119" t="s">
        <v>1356</v>
      </c>
      <c r="CL667" s="119"/>
      <c r="CM667" s="120"/>
      <c r="CN667" s="119"/>
      <c r="CO667" s="120"/>
      <c r="CP667" s="119"/>
      <c r="CQ667" s="119" t="s">
        <v>1356</v>
      </c>
      <c r="CR667" s="119"/>
      <c r="CS667" s="120"/>
      <c r="CT667" s="119"/>
      <c r="CU667" s="120"/>
      <c r="CV667" s="119"/>
      <c r="CW667" s="119" t="s">
        <v>1356</v>
      </c>
      <c r="CX667" s="119"/>
      <c r="CY667" s="120"/>
      <c r="CZ667" s="119"/>
      <c r="DA667" s="120"/>
      <c r="DB667" s="35"/>
      <c r="DC667" s="59"/>
    </row>
    <row r="668" spans="1:107" s="40" customFormat="1" ht="14.55" customHeight="1" x14ac:dyDescent="0.3">
      <c r="A668" s="66" t="s">
        <v>3500</v>
      </c>
      <c r="B668" s="66" t="s">
        <v>3581</v>
      </c>
      <c r="C668" s="66" t="s">
        <v>3582</v>
      </c>
      <c r="D668" s="66" t="s">
        <v>489</v>
      </c>
      <c r="E668" s="66" t="s">
        <v>490</v>
      </c>
      <c r="F668" s="66" t="s">
        <v>56</v>
      </c>
      <c r="G668" s="68" t="s">
        <v>57</v>
      </c>
      <c r="H668" s="43" t="s">
        <v>6922</v>
      </c>
      <c r="I668" s="68">
        <v>801</v>
      </c>
      <c r="J668" s="68">
        <v>80150</v>
      </c>
      <c r="K668" s="69">
        <v>4</v>
      </c>
      <c r="L668" s="66" t="s">
        <v>491</v>
      </c>
      <c r="M668" s="66" t="s">
        <v>492</v>
      </c>
      <c r="N668" s="66" t="s">
        <v>493</v>
      </c>
      <c r="O668" s="66"/>
      <c r="P668" s="66"/>
      <c r="Q668" s="66" t="s">
        <v>494</v>
      </c>
      <c r="R668" s="66"/>
      <c r="S668" s="66"/>
      <c r="T668" s="66"/>
      <c r="U668" s="66" t="s">
        <v>495</v>
      </c>
      <c r="V668" s="66"/>
      <c r="W668" s="66" t="s">
        <v>496</v>
      </c>
      <c r="X668" s="66" t="s">
        <v>497</v>
      </c>
      <c r="Y668" s="66" t="s">
        <v>498</v>
      </c>
      <c r="Z668" s="66">
        <v>-79.653819999999996</v>
      </c>
      <c r="AA668" s="66">
        <v>0.98221400000000003</v>
      </c>
      <c r="AB668" s="66">
        <v>80150003</v>
      </c>
      <c r="AC668" s="66">
        <v>80150003004</v>
      </c>
      <c r="AD668" s="66">
        <v>80150003004004</v>
      </c>
      <c r="AE668" s="69">
        <v>4</v>
      </c>
      <c r="AF668" s="69" t="s">
        <v>499</v>
      </c>
      <c r="AG668" s="46" t="s">
        <v>66</v>
      </c>
      <c r="AH668" s="70" t="s">
        <v>500</v>
      </c>
      <c r="AI668" s="71" t="s">
        <v>66</v>
      </c>
      <c r="AJ668" s="49" t="s">
        <v>6938</v>
      </c>
      <c r="AK668" s="50" t="s">
        <v>67</v>
      </c>
      <c r="AL668" s="58">
        <v>45621</v>
      </c>
      <c r="AM668" s="52" t="s">
        <v>66</v>
      </c>
      <c r="AN668" s="52"/>
      <c r="AO668" s="52"/>
      <c r="AP668" s="52"/>
      <c r="AQ668" s="53">
        <f t="shared" si="33"/>
        <v>5</v>
      </c>
      <c r="AR668" s="54">
        <f t="shared" si="34"/>
        <v>0</v>
      </c>
      <c r="AS668" s="55">
        <f t="shared" si="35"/>
        <v>5</v>
      </c>
      <c r="AT668" s="102" t="s">
        <v>6752</v>
      </c>
      <c r="AU668" s="103" t="s">
        <v>6769</v>
      </c>
      <c r="AV668" s="104" t="s">
        <v>5514</v>
      </c>
      <c r="AW668" s="105">
        <v>45589</v>
      </c>
      <c r="AX668" s="104" t="s">
        <v>6753</v>
      </c>
      <c r="AY668" s="106">
        <v>45621</v>
      </c>
      <c r="AZ668" s="102" t="s">
        <v>6754</v>
      </c>
      <c r="BA668" s="103" t="s">
        <v>6770</v>
      </c>
      <c r="BB668" s="104" t="s">
        <v>6755</v>
      </c>
      <c r="BC668" s="106">
        <v>45589</v>
      </c>
      <c r="BD668" s="104" t="s">
        <v>6756</v>
      </c>
      <c r="BE668" s="106">
        <v>45621</v>
      </c>
      <c r="BF668" s="102" t="s">
        <v>3241</v>
      </c>
      <c r="BG668" s="103" t="s">
        <v>3361</v>
      </c>
      <c r="BH668" s="104" t="s">
        <v>5119</v>
      </c>
      <c r="BI668" s="106">
        <v>45589</v>
      </c>
      <c r="BJ668" s="104" t="s">
        <v>5119</v>
      </c>
      <c r="BK668" s="106">
        <v>45621</v>
      </c>
      <c r="BL668" s="102" t="s">
        <v>3241</v>
      </c>
      <c r="BM668" s="103" t="s">
        <v>3361</v>
      </c>
      <c r="BN668" s="104" t="s">
        <v>6757</v>
      </c>
      <c r="BO668" s="106">
        <v>45589</v>
      </c>
      <c r="BP668" s="104" t="s">
        <v>6757</v>
      </c>
      <c r="BQ668" s="106">
        <v>45621</v>
      </c>
      <c r="BR668" s="102" t="s">
        <v>6754</v>
      </c>
      <c r="BS668" s="103" t="s">
        <v>6770</v>
      </c>
      <c r="BT668" s="104" t="s">
        <v>6758</v>
      </c>
      <c r="BU668" s="106">
        <v>45589</v>
      </c>
      <c r="BV668" s="104" t="s">
        <v>6756</v>
      </c>
      <c r="BW668" s="106">
        <v>45621</v>
      </c>
      <c r="BX668" s="121"/>
      <c r="BY668" s="122" t="s">
        <v>1356</v>
      </c>
      <c r="BZ668" s="123"/>
      <c r="CA668" s="124"/>
      <c r="CB668" s="123"/>
      <c r="CC668" s="124"/>
      <c r="CD668" s="121"/>
      <c r="CE668" s="122" t="s">
        <v>1356</v>
      </c>
      <c r="CF668" s="123"/>
      <c r="CG668" s="124"/>
      <c r="CH668" s="123"/>
      <c r="CI668" s="124"/>
      <c r="CJ668" s="121"/>
      <c r="CK668" s="122" t="s">
        <v>1356</v>
      </c>
      <c r="CL668" s="123"/>
      <c r="CM668" s="124"/>
      <c r="CN668" s="123"/>
      <c r="CO668" s="124"/>
      <c r="CP668" s="121"/>
      <c r="CQ668" s="122" t="s">
        <v>1356</v>
      </c>
      <c r="CR668" s="123"/>
      <c r="CS668" s="124"/>
      <c r="CT668" s="123"/>
      <c r="CU668" s="124"/>
      <c r="CV668" s="121"/>
      <c r="CW668" s="122" t="s">
        <v>1356</v>
      </c>
      <c r="CX668" s="123"/>
      <c r="CY668" s="124"/>
      <c r="CZ668" s="123"/>
      <c r="DA668" s="124"/>
      <c r="DB668" s="52" t="s">
        <v>6962</v>
      </c>
      <c r="DC668" s="73" t="s">
        <v>105</v>
      </c>
    </row>
    <row r="669" spans="1:107" s="40" customFormat="1" x14ac:dyDescent="0.3">
      <c r="A669" s="42" t="s">
        <v>4219</v>
      </c>
      <c r="B669" s="42" t="s">
        <v>6256</v>
      </c>
      <c r="C669" s="42" t="s">
        <v>6257</v>
      </c>
      <c r="D669" s="42" t="s">
        <v>6258</v>
      </c>
      <c r="E669" s="42" t="s">
        <v>6259</v>
      </c>
      <c r="F669" s="42" t="s">
        <v>327</v>
      </c>
      <c r="G669" s="42" t="s">
        <v>4237</v>
      </c>
      <c r="H669" s="43" t="s">
        <v>686</v>
      </c>
      <c r="I669" s="44">
        <v>901</v>
      </c>
      <c r="J669" s="44">
        <v>90150</v>
      </c>
      <c r="K669" s="45">
        <v>4</v>
      </c>
      <c r="L669" s="42" t="s">
        <v>6260</v>
      </c>
      <c r="M669" s="42"/>
      <c r="N669" s="42" t="s">
        <v>4446</v>
      </c>
      <c r="O669" s="42" t="s">
        <v>4964</v>
      </c>
      <c r="P669" s="42"/>
      <c r="Q669" s="42" t="s">
        <v>6261</v>
      </c>
      <c r="R669" s="42" t="s">
        <v>60</v>
      </c>
      <c r="S669" s="42"/>
      <c r="T669" s="42"/>
      <c r="U669" s="42"/>
      <c r="V669" s="42" t="s">
        <v>6262</v>
      </c>
      <c r="W669" s="42" t="s">
        <v>6263</v>
      </c>
      <c r="X669" s="42" t="s">
        <v>6264</v>
      </c>
      <c r="Y669" s="42" t="s">
        <v>6265</v>
      </c>
      <c r="Z669" s="42"/>
      <c r="AA669" s="42"/>
      <c r="AB669" s="42">
        <v>90150681</v>
      </c>
      <c r="AC669" s="42">
        <v>90150681009</v>
      </c>
      <c r="AD669" s="42">
        <v>90150681009004</v>
      </c>
      <c r="AE669" s="45">
        <v>5</v>
      </c>
      <c r="AF669" s="45" t="s">
        <v>772</v>
      </c>
      <c r="AG669" s="46" t="s">
        <v>66</v>
      </c>
      <c r="AH669" s="47" t="s">
        <v>6266</v>
      </c>
      <c r="AI669" s="48" t="s">
        <v>66</v>
      </c>
      <c r="AJ669" s="49" t="s">
        <v>6938</v>
      </c>
      <c r="AK669" s="50" t="s">
        <v>67</v>
      </c>
      <c r="AL669" s="58">
        <v>45621</v>
      </c>
      <c r="AM669" s="52" t="s">
        <v>66</v>
      </c>
      <c r="AN669" s="42"/>
      <c r="AO669" s="42"/>
      <c r="AP669" s="42"/>
      <c r="AQ669" s="53">
        <f t="shared" si="33"/>
        <v>2</v>
      </c>
      <c r="AR669" s="54">
        <f t="shared" si="34"/>
        <v>0</v>
      </c>
      <c r="AS669" s="55">
        <f t="shared" si="35"/>
        <v>2</v>
      </c>
      <c r="AT669" s="96" t="s">
        <v>3102</v>
      </c>
      <c r="AU669" s="96" t="s">
        <v>3350</v>
      </c>
      <c r="AV669" s="96" t="s">
        <v>3181</v>
      </c>
      <c r="AW669" s="97" t="s">
        <v>6859</v>
      </c>
      <c r="AX669" s="96" t="s">
        <v>3181</v>
      </c>
      <c r="AY669" s="98" t="s">
        <v>6859</v>
      </c>
      <c r="AZ669" s="96" t="s">
        <v>6803</v>
      </c>
      <c r="BA669" s="96" t="s">
        <v>6804</v>
      </c>
      <c r="BB669" s="96" t="s">
        <v>6860</v>
      </c>
      <c r="BC669" s="98" t="s">
        <v>6861</v>
      </c>
      <c r="BD669" s="96" t="s">
        <v>6860</v>
      </c>
      <c r="BE669" s="98" t="s">
        <v>6861</v>
      </c>
      <c r="BF669" s="96"/>
      <c r="BG669" s="96" t="s">
        <v>1356</v>
      </c>
      <c r="BH669" s="96"/>
      <c r="BI669" s="98"/>
      <c r="BJ669" s="96"/>
      <c r="BK669" s="98"/>
      <c r="BL669" s="96"/>
      <c r="BM669" s="96" t="s">
        <v>1356</v>
      </c>
      <c r="BN669" s="96"/>
      <c r="BO669" s="98"/>
      <c r="BP669" s="96"/>
      <c r="BQ669" s="98"/>
      <c r="BR669" s="96"/>
      <c r="BS669" s="96" t="s">
        <v>1356</v>
      </c>
      <c r="BT669" s="96"/>
      <c r="BU669" s="98"/>
      <c r="BV669" s="96"/>
      <c r="BW669" s="98"/>
      <c r="BX669" s="117"/>
      <c r="BY669" s="117" t="s">
        <v>1356</v>
      </c>
      <c r="BZ669" s="117"/>
      <c r="CA669" s="118"/>
      <c r="CB669" s="117"/>
      <c r="CC669" s="118"/>
      <c r="CD669" s="117"/>
      <c r="CE669" s="117" t="s">
        <v>1356</v>
      </c>
      <c r="CF669" s="117"/>
      <c r="CG669" s="118"/>
      <c r="CH669" s="117"/>
      <c r="CI669" s="118"/>
      <c r="CJ669" s="117"/>
      <c r="CK669" s="117" t="s">
        <v>1356</v>
      </c>
      <c r="CL669" s="117"/>
      <c r="CM669" s="118"/>
      <c r="CN669" s="117"/>
      <c r="CO669" s="118"/>
      <c r="CP669" s="117"/>
      <c r="CQ669" s="117" t="s">
        <v>1356</v>
      </c>
      <c r="CR669" s="117"/>
      <c r="CS669" s="118"/>
      <c r="CT669" s="117"/>
      <c r="CU669" s="118"/>
      <c r="CV669" s="117"/>
      <c r="CW669" s="117" t="s">
        <v>1356</v>
      </c>
      <c r="CX669" s="117"/>
      <c r="CY669" s="118"/>
      <c r="CZ669" s="117"/>
      <c r="DA669" s="118"/>
      <c r="DB669" s="52" t="s">
        <v>6962</v>
      </c>
      <c r="DC669" s="57" t="s">
        <v>105</v>
      </c>
    </row>
    <row r="670" spans="1:107" s="40" customFormat="1" x14ac:dyDescent="0.3">
      <c r="A670" s="35" t="s">
        <v>4219</v>
      </c>
      <c r="B670" s="35" t="s">
        <v>6660</v>
      </c>
      <c r="C670" s="35" t="s">
        <v>6661</v>
      </c>
      <c r="D670" s="35" t="s">
        <v>6662</v>
      </c>
      <c r="E670" s="35" t="s">
        <v>6663</v>
      </c>
      <c r="F670" s="35" t="s">
        <v>71</v>
      </c>
      <c r="G670" s="35" t="s">
        <v>4484</v>
      </c>
      <c r="H670" s="27" t="s">
        <v>6936</v>
      </c>
      <c r="I670" s="62">
        <v>1204</v>
      </c>
      <c r="J670" s="62">
        <v>120450</v>
      </c>
      <c r="K670" s="63">
        <v>4</v>
      </c>
      <c r="L670" s="35" t="s">
        <v>6664</v>
      </c>
      <c r="M670" s="35" t="s">
        <v>4647</v>
      </c>
      <c r="N670" s="35"/>
      <c r="O670" s="35" t="s">
        <v>60</v>
      </c>
      <c r="P670" s="35"/>
      <c r="Q670" s="35"/>
      <c r="R670" s="35" t="s">
        <v>60</v>
      </c>
      <c r="S670" s="35"/>
      <c r="T670" s="35"/>
      <c r="U670" s="35"/>
      <c r="V670" s="35"/>
      <c r="W670" s="35" t="s">
        <v>6665</v>
      </c>
      <c r="X670" s="35" t="s">
        <v>6666</v>
      </c>
      <c r="Y670" s="35" t="s">
        <v>6667</v>
      </c>
      <c r="Z670" s="35"/>
      <c r="AA670" s="35"/>
      <c r="AB670" s="35">
        <v>120450999</v>
      </c>
      <c r="AC670" s="35">
        <v>120450999016</v>
      </c>
      <c r="AD670" s="35">
        <v>120450999016001</v>
      </c>
      <c r="AE670" s="63">
        <v>5</v>
      </c>
      <c r="AF670" s="63" t="s">
        <v>772</v>
      </c>
      <c r="AG670" s="29" t="s">
        <v>65</v>
      </c>
      <c r="AH670" s="75"/>
      <c r="AI670" s="65" t="s">
        <v>65</v>
      </c>
      <c r="AJ670" s="32" t="s">
        <v>6939</v>
      </c>
      <c r="AK670" s="33" t="s">
        <v>92</v>
      </c>
      <c r="AL670" s="58"/>
      <c r="AM670" s="35"/>
      <c r="AN670" s="35"/>
      <c r="AO670" s="35"/>
      <c r="AP670" s="35"/>
      <c r="AQ670" s="37">
        <f t="shared" si="33"/>
        <v>0</v>
      </c>
      <c r="AR670" s="38">
        <f t="shared" si="34"/>
        <v>0</v>
      </c>
      <c r="AS670" s="39">
        <f t="shared" si="35"/>
        <v>0</v>
      </c>
      <c r="AT670" s="99"/>
      <c r="AU670" s="99" t="s">
        <v>1356</v>
      </c>
      <c r="AV670" s="99"/>
      <c r="AW670" s="100"/>
      <c r="AX670" s="99"/>
      <c r="AY670" s="101"/>
      <c r="AZ670" s="99"/>
      <c r="BA670" s="99" t="s">
        <v>1356</v>
      </c>
      <c r="BB670" s="99"/>
      <c r="BC670" s="101"/>
      <c r="BD670" s="99"/>
      <c r="BE670" s="101"/>
      <c r="BF670" s="99"/>
      <c r="BG670" s="99" t="s">
        <v>1356</v>
      </c>
      <c r="BH670" s="99"/>
      <c r="BI670" s="101"/>
      <c r="BJ670" s="99"/>
      <c r="BK670" s="101"/>
      <c r="BL670" s="99"/>
      <c r="BM670" s="99" t="s">
        <v>1356</v>
      </c>
      <c r="BN670" s="99"/>
      <c r="BO670" s="101"/>
      <c r="BP670" s="99"/>
      <c r="BQ670" s="101"/>
      <c r="BR670" s="99"/>
      <c r="BS670" s="99" t="s">
        <v>1356</v>
      </c>
      <c r="BT670" s="99"/>
      <c r="BU670" s="101"/>
      <c r="BV670" s="99"/>
      <c r="BW670" s="101"/>
      <c r="BX670" s="119"/>
      <c r="BY670" s="119" t="s">
        <v>1356</v>
      </c>
      <c r="BZ670" s="119"/>
      <c r="CA670" s="120"/>
      <c r="CB670" s="119"/>
      <c r="CC670" s="120"/>
      <c r="CD670" s="119"/>
      <c r="CE670" s="119" t="s">
        <v>1356</v>
      </c>
      <c r="CF670" s="119"/>
      <c r="CG670" s="120"/>
      <c r="CH670" s="119"/>
      <c r="CI670" s="120"/>
      <c r="CJ670" s="119"/>
      <c r="CK670" s="119" t="s">
        <v>1356</v>
      </c>
      <c r="CL670" s="119"/>
      <c r="CM670" s="120"/>
      <c r="CN670" s="119"/>
      <c r="CO670" s="120"/>
      <c r="CP670" s="119"/>
      <c r="CQ670" s="119" t="s">
        <v>1356</v>
      </c>
      <c r="CR670" s="119"/>
      <c r="CS670" s="120"/>
      <c r="CT670" s="119"/>
      <c r="CU670" s="120"/>
      <c r="CV670" s="119"/>
      <c r="CW670" s="119" t="s">
        <v>1356</v>
      </c>
      <c r="CX670" s="119"/>
      <c r="CY670" s="120"/>
      <c r="CZ670" s="119"/>
      <c r="DA670" s="120"/>
      <c r="DB670" s="35"/>
      <c r="DC670" s="59"/>
    </row>
    <row r="671" spans="1:107" s="40" customFormat="1" ht="14.55" customHeight="1" x14ac:dyDescent="0.3">
      <c r="A671" s="35" t="s">
        <v>4108</v>
      </c>
      <c r="B671" s="35" t="s">
        <v>4215</v>
      </c>
      <c r="C671" s="35" t="s">
        <v>4216</v>
      </c>
      <c r="D671" s="35" t="s">
        <v>3270</v>
      </c>
      <c r="E671" s="35" t="s">
        <v>3271</v>
      </c>
      <c r="F671" s="35" t="s">
        <v>265</v>
      </c>
      <c r="G671" s="35" t="s">
        <v>404</v>
      </c>
      <c r="H671" s="27" t="s">
        <v>6930</v>
      </c>
      <c r="I671" s="62">
        <v>101</v>
      </c>
      <c r="J671" s="62">
        <v>10150</v>
      </c>
      <c r="K671" s="63">
        <v>4</v>
      </c>
      <c r="L671" s="35" t="s">
        <v>1017</v>
      </c>
      <c r="M671" s="35"/>
      <c r="N671" s="35" t="s">
        <v>810</v>
      </c>
      <c r="O671" s="35" t="s">
        <v>3272</v>
      </c>
      <c r="P671" s="35"/>
      <c r="Q671" s="35" t="s">
        <v>3273</v>
      </c>
      <c r="R671" s="35" t="s">
        <v>60</v>
      </c>
      <c r="S671" s="35"/>
      <c r="T671" s="35"/>
      <c r="U671" s="35"/>
      <c r="V671" s="35"/>
      <c r="W671" s="35" t="s">
        <v>3274</v>
      </c>
      <c r="X671" s="35" t="s">
        <v>3275</v>
      </c>
      <c r="Y671" s="35" t="s">
        <v>3276</v>
      </c>
      <c r="Z671" s="35"/>
      <c r="AA671" s="35"/>
      <c r="AB671" s="35">
        <v>10150026</v>
      </c>
      <c r="AC671" s="35">
        <v>10150026008</v>
      </c>
      <c r="AD671" s="35">
        <v>10150026008019</v>
      </c>
      <c r="AE671" s="63">
        <v>5</v>
      </c>
      <c r="AF671" s="63" t="s">
        <v>772</v>
      </c>
      <c r="AG671" s="46" t="s">
        <v>66</v>
      </c>
      <c r="AH671" s="64">
        <v>40353</v>
      </c>
      <c r="AI671" s="65" t="s">
        <v>66</v>
      </c>
      <c r="AJ671" s="32" t="s">
        <v>6938</v>
      </c>
      <c r="AK671" s="50" t="s">
        <v>67</v>
      </c>
      <c r="AL671" s="51">
        <v>45320</v>
      </c>
      <c r="AM671" s="35" t="s">
        <v>65</v>
      </c>
      <c r="AN671" s="35" t="s">
        <v>6976</v>
      </c>
      <c r="AO671" s="35" t="s">
        <v>6977</v>
      </c>
      <c r="AP671" s="35" t="s">
        <v>6978</v>
      </c>
      <c r="AQ671" s="37">
        <f t="shared" si="33"/>
        <v>5</v>
      </c>
      <c r="AR671" s="38">
        <f t="shared" si="34"/>
        <v>0</v>
      </c>
      <c r="AS671" s="39">
        <f t="shared" si="35"/>
        <v>5</v>
      </c>
      <c r="AT671" s="99" t="s">
        <v>6965</v>
      </c>
      <c r="AU671" s="99" t="s">
        <v>6966</v>
      </c>
      <c r="AV671" s="99" t="s">
        <v>6967</v>
      </c>
      <c r="AW671" s="100">
        <v>45597</v>
      </c>
      <c r="AX671" s="99"/>
      <c r="AY671" s="101"/>
      <c r="AZ671" s="99" t="s">
        <v>6965</v>
      </c>
      <c r="BA671" s="99" t="s">
        <v>6966</v>
      </c>
      <c r="BB671" s="99" t="s">
        <v>6968</v>
      </c>
      <c r="BC671" s="101">
        <v>45383</v>
      </c>
      <c r="BD671" s="99"/>
      <c r="BE671" s="101"/>
      <c r="BF671" s="99" t="s">
        <v>6969</v>
      </c>
      <c r="BG671" s="99" t="s">
        <v>6970</v>
      </c>
      <c r="BH671" s="99" t="s">
        <v>6971</v>
      </c>
      <c r="BI671" s="101">
        <v>45597</v>
      </c>
      <c r="BJ671" s="99"/>
      <c r="BK671" s="101"/>
      <c r="BL671" s="99" t="s">
        <v>6969</v>
      </c>
      <c r="BM671" s="99" t="s">
        <v>6970</v>
      </c>
      <c r="BN671" s="99" t="s">
        <v>6972</v>
      </c>
      <c r="BO671" s="101">
        <v>45597</v>
      </c>
      <c r="BP671" s="99"/>
      <c r="BQ671" s="101"/>
      <c r="BR671" s="99" t="s">
        <v>6973</v>
      </c>
      <c r="BS671" s="99" t="s">
        <v>6974</v>
      </c>
      <c r="BT671" s="99" t="s">
        <v>6975</v>
      </c>
      <c r="BU671" s="101">
        <v>45352</v>
      </c>
      <c r="BV671" s="99"/>
      <c r="BW671" s="101"/>
      <c r="BX671" s="119"/>
      <c r="BY671" s="119" t="s">
        <v>1356</v>
      </c>
      <c r="BZ671" s="119"/>
      <c r="CA671" s="120"/>
      <c r="CB671" s="119"/>
      <c r="CC671" s="120"/>
      <c r="CD671" s="119"/>
      <c r="CE671" s="119" t="s">
        <v>1356</v>
      </c>
      <c r="CF671" s="119"/>
      <c r="CG671" s="120"/>
      <c r="CH671" s="119"/>
      <c r="CI671" s="120"/>
      <c r="CJ671" s="119"/>
      <c r="CK671" s="119" t="s">
        <v>1356</v>
      </c>
      <c r="CL671" s="119"/>
      <c r="CM671" s="120"/>
      <c r="CN671" s="119"/>
      <c r="CO671" s="120"/>
      <c r="CP671" s="119"/>
      <c r="CQ671" s="119" t="s">
        <v>1356</v>
      </c>
      <c r="CR671" s="119"/>
      <c r="CS671" s="120"/>
      <c r="CT671" s="119"/>
      <c r="CU671" s="120"/>
      <c r="CV671" s="119"/>
      <c r="CW671" s="119" t="s">
        <v>1356</v>
      </c>
      <c r="CX671" s="119"/>
      <c r="CY671" s="120"/>
      <c r="CZ671" s="119"/>
      <c r="DA671" s="120"/>
      <c r="DB671" s="52" t="s">
        <v>6962</v>
      </c>
      <c r="DC671" s="59" t="s">
        <v>105</v>
      </c>
    </row>
    <row r="672" spans="1:107" s="40" customFormat="1" ht="14.55" customHeight="1" x14ac:dyDescent="0.3">
      <c r="A672" s="35" t="s">
        <v>4219</v>
      </c>
      <c r="B672" s="35" t="s">
        <v>6678</v>
      </c>
      <c r="C672" s="35" t="s">
        <v>6679</v>
      </c>
      <c r="D672" s="35" t="s">
        <v>6680</v>
      </c>
      <c r="E672" s="35" t="s">
        <v>6680</v>
      </c>
      <c r="F672" s="35" t="s">
        <v>256</v>
      </c>
      <c r="G672" s="35" t="s">
        <v>4237</v>
      </c>
      <c r="H672" s="27" t="s">
        <v>686</v>
      </c>
      <c r="I672" s="62">
        <v>907</v>
      </c>
      <c r="J672" s="62">
        <v>90750</v>
      </c>
      <c r="K672" s="63">
        <v>4</v>
      </c>
      <c r="L672" s="35" t="s">
        <v>6681</v>
      </c>
      <c r="M672" s="35" t="s">
        <v>258</v>
      </c>
      <c r="N672" s="35" t="s">
        <v>258</v>
      </c>
      <c r="O672" s="35" t="s">
        <v>6682</v>
      </c>
      <c r="P672" s="35"/>
      <c r="Q672" s="35"/>
      <c r="R672" s="35" t="s">
        <v>60</v>
      </c>
      <c r="S672" s="35"/>
      <c r="T672" s="35"/>
      <c r="U672" s="35"/>
      <c r="V672" s="35"/>
      <c r="W672" s="35" t="s">
        <v>6683</v>
      </c>
      <c r="X672" s="35" t="s">
        <v>6684</v>
      </c>
      <c r="Y672" s="35" t="s">
        <v>6685</v>
      </c>
      <c r="Z672" s="35"/>
      <c r="AA672" s="35"/>
      <c r="AB672" s="35">
        <v>90750069</v>
      </c>
      <c r="AC672" s="35">
        <v>90750069001</v>
      </c>
      <c r="AD672" s="35">
        <v>90750069001003</v>
      </c>
      <c r="AE672" s="63">
        <v>5</v>
      </c>
      <c r="AF672" s="63" t="s">
        <v>772</v>
      </c>
      <c r="AG672" s="29" t="s">
        <v>65</v>
      </c>
      <c r="AH672" s="75"/>
      <c r="AI672" s="65" t="s">
        <v>66</v>
      </c>
      <c r="AJ672" s="32" t="s">
        <v>6938</v>
      </c>
      <c r="AK672" s="33" t="s">
        <v>67</v>
      </c>
      <c r="AL672" s="58">
        <v>45583</v>
      </c>
      <c r="AM672" s="35" t="s">
        <v>66</v>
      </c>
      <c r="AN672" s="35"/>
      <c r="AO672" s="35"/>
      <c r="AP672" s="35"/>
      <c r="AQ672" s="37">
        <f t="shared" ref="AQ672:AQ673" si="36">+COUNTA(AT672,AZ672,BF672,BL672,BR672)</f>
        <v>0</v>
      </c>
      <c r="AR672" s="38">
        <f t="shared" ref="AR672:AR673" si="37">+COUNTA(BX672,CD672,CJ672,CP672,CV672)</f>
        <v>0</v>
      </c>
      <c r="AS672" s="39">
        <f t="shared" ref="AS672:AS673" si="38">+AQ672+AR672</f>
        <v>0</v>
      </c>
      <c r="AT672" s="99"/>
      <c r="AU672" s="99" t="s">
        <v>1356</v>
      </c>
      <c r="AV672" s="99"/>
      <c r="AW672" s="100"/>
      <c r="AX672" s="99"/>
      <c r="AY672" s="101"/>
      <c r="AZ672" s="99"/>
      <c r="BA672" s="99" t="s">
        <v>1356</v>
      </c>
      <c r="BB672" s="99"/>
      <c r="BC672" s="101"/>
      <c r="BD672" s="99"/>
      <c r="BE672" s="101"/>
      <c r="BF672" s="99"/>
      <c r="BG672" s="99" t="s">
        <v>1356</v>
      </c>
      <c r="BH672" s="99"/>
      <c r="BI672" s="101"/>
      <c r="BJ672" s="99"/>
      <c r="BK672" s="101"/>
      <c r="BL672" s="99"/>
      <c r="BM672" s="99" t="s">
        <v>1356</v>
      </c>
      <c r="BN672" s="99"/>
      <c r="BO672" s="101"/>
      <c r="BP672" s="99"/>
      <c r="BQ672" s="101"/>
      <c r="BR672" s="99"/>
      <c r="BS672" s="99" t="s">
        <v>1356</v>
      </c>
      <c r="BT672" s="99"/>
      <c r="BU672" s="101"/>
      <c r="BV672" s="99"/>
      <c r="BW672" s="101"/>
      <c r="BX672" s="119"/>
      <c r="BY672" s="119" t="s">
        <v>1356</v>
      </c>
      <c r="BZ672" s="119"/>
      <c r="CA672" s="120"/>
      <c r="CB672" s="119"/>
      <c r="CC672" s="120"/>
      <c r="CD672" s="119"/>
      <c r="CE672" s="119" t="s">
        <v>1356</v>
      </c>
      <c r="CF672" s="119"/>
      <c r="CG672" s="120"/>
      <c r="CH672" s="119"/>
      <c r="CI672" s="120"/>
      <c r="CJ672" s="119"/>
      <c r="CK672" s="119" t="s">
        <v>1356</v>
      </c>
      <c r="CL672" s="119"/>
      <c r="CM672" s="120"/>
      <c r="CN672" s="119"/>
      <c r="CO672" s="120"/>
      <c r="CP672" s="119"/>
      <c r="CQ672" s="119" t="s">
        <v>1356</v>
      </c>
      <c r="CR672" s="119"/>
      <c r="CS672" s="120"/>
      <c r="CT672" s="119"/>
      <c r="CU672" s="120"/>
      <c r="CV672" s="119"/>
      <c r="CW672" s="119" t="s">
        <v>1356</v>
      </c>
      <c r="CX672" s="119"/>
      <c r="CY672" s="120"/>
      <c r="CZ672" s="119"/>
      <c r="DA672" s="120"/>
      <c r="DB672" s="36" t="s">
        <v>7085</v>
      </c>
      <c r="DC672" s="59" t="s">
        <v>105</v>
      </c>
    </row>
    <row r="673" spans="1:107" s="40" customFormat="1" ht="14.55" customHeight="1" x14ac:dyDescent="0.3">
      <c r="A673" s="35" t="s">
        <v>4219</v>
      </c>
      <c r="B673" s="35" t="s">
        <v>6686</v>
      </c>
      <c r="C673" s="35" t="s">
        <v>6687</v>
      </c>
      <c r="D673" s="35" t="s">
        <v>6688</v>
      </c>
      <c r="E673" s="35" t="s">
        <v>6688</v>
      </c>
      <c r="F673" s="35" t="s">
        <v>190</v>
      </c>
      <c r="G673" s="35" t="s">
        <v>4484</v>
      </c>
      <c r="H673" s="27" t="s">
        <v>6936</v>
      </c>
      <c r="I673" s="62">
        <v>1205</v>
      </c>
      <c r="J673" s="62">
        <v>120550</v>
      </c>
      <c r="K673" s="63">
        <v>4</v>
      </c>
      <c r="L673" s="35" t="s">
        <v>6689</v>
      </c>
      <c r="M673" s="35"/>
      <c r="N673" s="35" t="s">
        <v>810</v>
      </c>
      <c r="O673" s="35" t="s">
        <v>1526</v>
      </c>
      <c r="P673" s="35"/>
      <c r="Q673" s="35"/>
      <c r="R673" s="35" t="s">
        <v>60</v>
      </c>
      <c r="S673" s="35"/>
      <c r="T673" s="35"/>
      <c r="U673" s="35"/>
      <c r="V673" s="35"/>
      <c r="W673" s="35" t="s">
        <v>6690</v>
      </c>
      <c r="X673" s="35" t="s">
        <v>6691</v>
      </c>
      <c r="Y673" s="35" t="s">
        <v>6692</v>
      </c>
      <c r="Z673" s="35"/>
      <c r="AA673" s="35"/>
      <c r="AB673" s="35">
        <v>120550011</v>
      </c>
      <c r="AC673" s="35">
        <v>120550011003</v>
      </c>
      <c r="AD673" s="35">
        <v>120550011003001</v>
      </c>
      <c r="AE673" s="63">
        <v>5</v>
      </c>
      <c r="AF673" s="63" t="s">
        <v>772</v>
      </c>
      <c r="AG673" s="29" t="s">
        <v>65</v>
      </c>
      <c r="AH673" s="75"/>
      <c r="AI673" s="65" t="s">
        <v>65</v>
      </c>
      <c r="AJ673" s="32" t="s">
        <v>6938</v>
      </c>
      <c r="AK673" s="33" t="s">
        <v>92</v>
      </c>
      <c r="AL673" s="58">
        <v>45583</v>
      </c>
      <c r="AM673" s="35"/>
      <c r="AN673" s="35"/>
      <c r="AO673" s="35"/>
      <c r="AP673" s="35"/>
      <c r="AQ673" s="37">
        <f t="shared" si="36"/>
        <v>0</v>
      </c>
      <c r="AR673" s="38">
        <f t="shared" si="37"/>
        <v>0</v>
      </c>
      <c r="AS673" s="39">
        <f t="shared" si="38"/>
        <v>0</v>
      </c>
      <c r="AT673" s="99"/>
      <c r="AU673" s="99" t="s">
        <v>1356</v>
      </c>
      <c r="AV673" s="99"/>
      <c r="AW673" s="100"/>
      <c r="AX673" s="99"/>
      <c r="AY673" s="101"/>
      <c r="AZ673" s="99"/>
      <c r="BA673" s="99" t="s">
        <v>1356</v>
      </c>
      <c r="BB673" s="99"/>
      <c r="BC673" s="101"/>
      <c r="BD673" s="99"/>
      <c r="BE673" s="101"/>
      <c r="BF673" s="99"/>
      <c r="BG673" s="99" t="s">
        <v>1356</v>
      </c>
      <c r="BH673" s="99"/>
      <c r="BI673" s="101"/>
      <c r="BJ673" s="99"/>
      <c r="BK673" s="101"/>
      <c r="BL673" s="99"/>
      <c r="BM673" s="99" t="s">
        <v>1356</v>
      </c>
      <c r="BN673" s="99"/>
      <c r="BO673" s="101"/>
      <c r="BP673" s="99"/>
      <c r="BQ673" s="101"/>
      <c r="BR673" s="99"/>
      <c r="BS673" s="99" t="s">
        <v>1356</v>
      </c>
      <c r="BT673" s="99"/>
      <c r="BU673" s="101"/>
      <c r="BV673" s="99"/>
      <c r="BW673" s="101"/>
      <c r="BX673" s="119"/>
      <c r="BY673" s="119" t="s">
        <v>1356</v>
      </c>
      <c r="BZ673" s="119"/>
      <c r="CA673" s="120"/>
      <c r="CB673" s="119"/>
      <c r="CC673" s="120"/>
      <c r="CD673" s="119"/>
      <c r="CE673" s="119" t="s">
        <v>1356</v>
      </c>
      <c r="CF673" s="119"/>
      <c r="CG673" s="120"/>
      <c r="CH673" s="119"/>
      <c r="CI673" s="120"/>
      <c r="CJ673" s="119"/>
      <c r="CK673" s="119" t="s">
        <v>1356</v>
      </c>
      <c r="CL673" s="119"/>
      <c r="CM673" s="120"/>
      <c r="CN673" s="119"/>
      <c r="CO673" s="120"/>
      <c r="CP673" s="119"/>
      <c r="CQ673" s="119" t="s">
        <v>1356</v>
      </c>
      <c r="CR673" s="119"/>
      <c r="CS673" s="120"/>
      <c r="CT673" s="119"/>
      <c r="CU673" s="120"/>
      <c r="CV673" s="119"/>
      <c r="CW673" s="119" t="s">
        <v>1356</v>
      </c>
      <c r="CX673" s="119"/>
      <c r="CY673" s="120"/>
      <c r="CZ673" s="119"/>
      <c r="DA673" s="120"/>
      <c r="DB673" s="36" t="s">
        <v>7085</v>
      </c>
      <c r="DC673" s="59" t="s">
        <v>92</v>
      </c>
    </row>
  </sheetData>
  <autoFilter ref="A1:DC673"/>
  <conditionalFormatting sqref="AT238">
    <cfRule type="duplicateValues" dxfId="275" priority="94"/>
  </conditionalFormatting>
  <conditionalFormatting sqref="AT238">
    <cfRule type="duplicateValues" dxfId="274" priority="95"/>
  </conditionalFormatting>
  <conditionalFormatting sqref="AT238">
    <cfRule type="duplicateValues" dxfId="273" priority="96"/>
  </conditionalFormatting>
  <conditionalFormatting sqref="AT238">
    <cfRule type="duplicateValues" dxfId="272" priority="97"/>
  </conditionalFormatting>
  <conditionalFormatting sqref="AT238">
    <cfRule type="duplicateValues" dxfId="271" priority="98"/>
  </conditionalFormatting>
  <conditionalFormatting sqref="AZ238">
    <cfRule type="duplicateValues" dxfId="270" priority="89"/>
  </conditionalFormatting>
  <conditionalFormatting sqref="AZ238">
    <cfRule type="duplicateValues" dxfId="269" priority="90"/>
  </conditionalFormatting>
  <conditionalFormatting sqref="AZ238">
    <cfRule type="duplicateValues" dxfId="268" priority="91"/>
  </conditionalFormatting>
  <conditionalFormatting sqref="AZ238">
    <cfRule type="duplicateValues" dxfId="267" priority="92"/>
  </conditionalFormatting>
  <conditionalFormatting sqref="AZ238">
    <cfRule type="duplicateValues" dxfId="266" priority="93"/>
  </conditionalFormatting>
  <conditionalFormatting sqref="BF238">
    <cfRule type="duplicateValues" dxfId="265" priority="84"/>
  </conditionalFormatting>
  <conditionalFormatting sqref="BF238">
    <cfRule type="duplicateValues" dxfId="264" priority="85"/>
  </conditionalFormatting>
  <conditionalFormatting sqref="BF238">
    <cfRule type="duplicateValues" dxfId="263" priority="86"/>
  </conditionalFormatting>
  <conditionalFormatting sqref="BF238">
    <cfRule type="duplicateValues" dxfId="262" priority="87"/>
  </conditionalFormatting>
  <conditionalFormatting sqref="BF238">
    <cfRule type="duplicateValues" dxfId="261" priority="88"/>
  </conditionalFormatting>
  <conditionalFormatting sqref="BL238">
    <cfRule type="duplicateValues" dxfId="260" priority="79"/>
  </conditionalFormatting>
  <conditionalFormatting sqref="BL238">
    <cfRule type="duplicateValues" dxfId="259" priority="80"/>
  </conditionalFormatting>
  <conditionalFormatting sqref="BL238">
    <cfRule type="duplicateValues" dxfId="258" priority="81"/>
  </conditionalFormatting>
  <conditionalFormatting sqref="BL238">
    <cfRule type="duplicateValues" dxfId="257" priority="82"/>
  </conditionalFormatting>
  <conditionalFormatting sqref="BL238">
    <cfRule type="duplicateValues" dxfId="256" priority="83"/>
  </conditionalFormatting>
  <conditionalFormatting sqref="BR238">
    <cfRule type="duplicateValues" dxfId="255" priority="74"/>
  </conditionalFormatting>
  <conditionalFormatting sqref="BR238">
    <cfRule type="duplicateValues" dxfId="254" priority="75"/>
  </conditionalFormatting>
  <conditionalFormatting sqref="BR238">
    <cfRule type="duplicateValues" dxfId="253" priority="76"/>
  </conditionalFormatting>
  <conditionalFormatting sqref="BR238">
    <cfRule type="duplicateValues" dxfId="252" priority="77"/>
  </conditionalFormatting>
  <conditionalFormatting sqref="BR238">
    <cfRule type="duplicateValues" dxfId="251" priority="78"/>
  </conditionalFormatting>
  <conditionalFormatting sqref="AT240">
    <cfRule type="duplicateValues" dxfId="250" priority="69"/>
  </conditionalFormatting>
  <conditionalFormatting sqref="AT240">
    <cfRule type="duplicateValues" dxfId="249" priority="70"/>
  </conditionalFormatting>
  <conditionalFormatting sqref="AT240">
    <cfRule type="duplicateValues" dxfId="248" priority="71"/>
  </conditionalFormatting>
  <conditionalFormatting sqref="AT240">
    <cfRule type="duplicateValues" dxfId="247" priority="72"/>
  </conditionalFormatting>
  <conditionalFormatting sqref="AT240">
    <cfRule type="duplicateValues" dxfId="246" priority="73"/>
  </conditionalFormatting>
  <conditionalFormatting sqref="AZ240">
    <cfRule type="duplicateValues" dxfId="245" priority="64"/>
  </conditionalFormatting>
  <conditionalFormatting sqref="AZ240">
    <cfRule type="duplicateValues" dxfId="244" priority="65"/>
  </conditionalFormatting>
  <conditionalFormatting sqref="AZ240">
    <cfRule type="duplicateValues" dxfId="243" priority="66"/>
  </conditionalFormatting>
  <conditionalFormatting sqref="AZ240">
    <cfRule type="duplicateValues" dxfId="242" priority="67"/>
  </conditionalFormatting>
  <conditionalFormatting sqref="AZ240">
    <cfRule type="duplicateValues" dxfId="241" priority="68"/>
  </conditionalFormatting>
  <conditionalFormatting sqref="AT241">
    <cfRule type="duplicateValues" dxfId="240" priority="59"/>
  </conditionalFormatting>
  <conditionalFormatting sqref="AT241">
    <cfRule type="duplicateValues" dxfId="239" priority="60"/>
  </conditionalFormatting>
  <conditionalFormatting sqref="AT241">
    <cfRule type="duplicateValues" dxfId="238" priority="61"/>
  </conditionalFormatting>
  <conditionalFormatting sqref="AT241">
    <cfRule type="duplicateValues" dxfId="237" priority="62"/>
  </conditionalFormatting>
  <conditionalFormatting sqref="AT241">
    <cfRule type="duplicateValues" dxfId="236" priority="63"/>
  </conditionalFormatting>
  <conditionalFormatting sqref="AT242">
    <cfRule type="duplicateValues" dxfId="235" priority="54"/>
  </conditionalFormatting>
  <conditionalFormatting sqref="AT242">
    <cfRule type="duplicateValues" dxfId="234" priority="55"/>
  </conditionalFormatting>
  <conditionalFormatting sqref="AT242">
    <cfRule type="duplicateValues" dxfId="233" priority="56"/>
  </conditionalFormatting>
  <conditionalFormatting sqref="AT242">
    <cfRule type="duplicateValues" dxfId="232" priority="57"/>
  </conditionalFormatting>
  <conditionalFormatting sqref="AT242">
    <cfRule type="duplicateValues" dxfId="231" priority="58"/>
  </conditionalFormatting>
  <conditionalFormatting sqref="AZ242">
    <cfRule type="duplicateValues" dxfId="230" priority="49"/>
  </conditionalFormatting>
  <conditionalFormatting sqref="AZ242">
    <cfRule type="duplicateValues" dxfId="229" priority="50"/>
  </conditionalFormatting>
  <conditionalFormatting sqref="AZ242">
    <cfRule type="duplicateValues" dxfId="228" priority="51"/>
  </conditionalFormatting>
  <conditionalFormatting sqref="AZ242">
    <cfRule type="duplicateValues" dxfId="227" priority="52"/>
  </conditionalFormatting>
  <conditionalFormatting sqref="AZ242">
    <cfRule type="duplicateValues" dxfId="226" priority="53"/>
  </conditionalFormatting>
  <conditionalFormatting sqref="AT244">
    <cfRule type="duplicateValues" dxfId="225" priority="44"/>
  </conditionalFormatting>
  <conditionalFormatting sqref="AT244">
    <cfRule type="duplicateValues" dxfId="224" priority="45"/>
  </conditionalFormatting>
  <conditionalFormatting sqref="AT244">
    <cfRule type="duplicateValues" dxfId="223" priority="46"/>
  </conditionalFormatting>
  <conditionalFormatting sqref="AT244">
    <cfRule type="duplicateValues" dxfId="222" priority="47"/>
  </conditionalFormatting>
  <conditionalFormatting sqref="AT244">
    <cfRule type="duplicateValues" dxfId="221" priority="48"/>
  </conditionalFormatting>
  <conditionalFormatting sqref="AT247">
    <cfRule type="duplicateValues" dxfId="220" priority="34"/>
  </conditionalFormatting>
  <conditionalFormatting sqref="AT247">
    <cfRule type="duplicateValues" dxfId="219" priority="35"/>
  </conditionalFormatting>
  <conditionalFormatting sqref="AT247">
    <cfRule type="duplicateValues" dxfId="218" priority="36"/>
  </conditionalFormatting>
  <conditionalFormatting sqref="AT247">
    <cfRule type="duplicateValues" dxfId="217" priority="37"/>
  </conditionalFormatting>
  <conditionalFormatting sqref="AT247">
    <cfRule type="duplicateValues" dxfId="216" priority="38"/>
  </conditionalFormatting>
  <conditionalFormatting sqref="AZ247">
    <cfRule type="duplicateValues" dxfId="215" priority="29"/>
  </conditionalFormatting>
  <conditionalFormatting sqref="AZ247">
    <cfRule type="duplicateValues" dxfId="214" priority="30"/>
  </conditionalFormatting>
  <conditionalFormatting sqref="AZ247">
    <cfRule type="duplicateValues" dxfId="213" priority="31"/>
  </conditionalFormatting>
  <conditionalFormatting sqref="AZ247">
    <cfRule type="duplicateValues" dxfId="212" priority="32"/>
  </conditionalFormatting>
  <conditionalFormatting sqref="AZ247">
    <cfRule type="duplicateValues" dxfId="211" priority="33"/>
  </conditionalFormatting>
  <conditionalFormatting sqref="BF247">
    <cfRule type="duplicateValues" dxfId="210" priority="24"/>
  </conditionalFormatting>
  <conditionalFormatting sqref="BF247">
    <cfRule type="duplicateValues" dxfId="209" priority="25"/>
  </conditionalFormatting>
  <conditionalFormatting sqref="BF247">
    <cfRule type="duplicateValues" dxfId="208" priority="26"/>
  </conditionalFormatting>
  <conditionalFormatting sqref="BF247">
    <cfRule type="duplicateValues" dxfId="207" priority="27"/>
  </conditionalFormatting>
  <conditionalFormatting sqref="BF247">
    <cfRule type="duplicateValues" dxfId="206" priority="28"/>
  </conditionalFormatting>
  <conditionalFormatting sqref="AT249">
    <cfRule type="duplicateValues" dxfId="205" priority="19"/>
  </conditionalFormatting>
  <conditionalFormatting sqref="AT249">
    <cfRule type="duplicateValues" dxfId="204" priority="20"/>
  </conditionalFormatting>
  <conditionalFormatting sqref="AT249">
    <cfRule type="duplicateValues" dxfId="203" priority="21"/>
  </conditionalFormatting>
  <conditionalFormatting sqref="AT249">
    <cfRule type="duplicateValues" dxfId="202" priority="22"/>
  </conditionalFormatting>
  <conditionalFormatting sqref="AT249">
    <cfRule type="duplicateValues" dxfId="201" priority="23"/>
  </conditionalFormatting>
  <conditionalFormatting sqref="AT256">
    <cfRule type="duplicateValues" dxfId="200" priority="14"/>
  </conditionalFormatting>
  <conditionalFormatting sqref="AT256">
    <cfRule type="duplicateValues" dxfId="199" priority="15"/>
  </conditionalFormatting>
  <conditionalFormatting sqref="AT256">
    <cfRule type="duplicateValues" dxfId="198" priority="16"/>
  </conditionalFormatting>
  <conditionalFormatting sqref="AT256">
    <cfRule type="duplicateValues" dxfId="197" priority="17"/>
  </conditionalFormatting>
  <conditionalFormatting sqref="AT256">
    <cfRule type="duplicateValues" dxfId="196" priority="18"/>
  </conditionalFormatting>
  <conditionalFormatting sqref="AZ256">
    <cfRule type="duplicateValues" dxfId="195" priority="9"/>
  </conditionalFormatting>
  <conditionalFormatting sqref="AZ256">
    <cfRule type="duplicateValues" dxfId="194" priority="10"/>
  </conditionalFormatting>
  <conditionalFormatting sqref="AZ256">
    <cfRule type="duplicateValues" dxfId="193" priority="11"/>
  </conditionalFormatting>
  <conditionalFormatting sqref="AZ256">
    <cfRule type="duplicateValues" dxfId="192" priority="12"/>
  </conditionalFormatting>
  <conditionalFormatting sqref="AZ256">
    <cfRule type="duplicateValues" dxfId="191" priority="13"/>
  </conditionalFormatting>
  <conditionalFormatting sqref="BF256">
    <cfRule type="duplicateValues" dxfId="190" priority="4"/>
  </conditionalFormatting>
  <conditionalFormatting sqref="BF256">
    <cfRule type="duplicateValues" dxfId="189" priority="5"/>
  </conditionalFormatting>
  <conditionalFormatting sqref="BF256">
    <cfRule type="duplicateValues" dxfId="188" priority="6"/>
  </conditionalFormatting>
  <conditionalFormatting sqref="BF256">
    <cfRule type="duplicateValues" dxfId="187" priority="7"/>
  </conditionalFormatting>
  <conditionalFormatting sqref="BF256">
    <cfRule type="duplicateValues" dxfId="186" priority="8"/>
  </conditionalFormatting>
  <conditionalFormatting sqref="D1:D269">
    <cfRule type="duplicateValues" dxfId="185" priority="1"/>
    <cfRule type="duplicateValues" dxfId="184" priority="2"/>
    <cfRule type="duplicateValues" dxfId="183" priority="3"/>
  </conditionalFormatting>
  <conditionalFormatting sqref="D2:D269">
    <cfRule type="duplicateValues" dxfId="182" priority="99"/>
  </conditionalFormatting>
  <dataValidations count="2">
    <dataValidation type="whole" allowBlank="1" showInputMessage="1" showErrorMessage="1" sqref="AQ1:AR673">
      <formula1>0</formula1>
      <formula2>100</formula2>
    </dataValidation>
    <dataValidation type="list" allowBlank="1" showInputMessage="1" showErrorMessage="1" sqref="AT129:AT166 BR129:BR166 BL129:BL166 BF129:BF166 AZ129:AZ166 CV129:CV166 CD129:CD166 CJ129:CJ166 CP129:CP166 BX129:BX135 BX137:BX166">
      <formula1>#REF!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'[1]SI-NO'!#REF!</xm:f>
          </x14:formula1>
          <xm:sqref>AM235:AM236 AI199 AI224:AI233 AI201 AI203 AI197 AI209:AI222 AI235:AI236 AM201 AM199 AM203 AM209:AM230 AM195 AM232:AM233 DC234 DC203 DC198:DC201 DC212 DC222 DC214:DC217 DC231 DC205:DC208 DC210 DC195:DC196 DC224 DC226</xm:sqref>
        </x14:dataValidation>
        <x14:dataValidation type="list" allowBlank="1" showInputMessage="1" showErrorMessage="1">
          <x14:formula1>
            <xm:f>'[2]SI-NO'!#REF!</xm:f>
          </x14:formula1>
          <xm:sqref>DC237:DC238 AM266:AM269 AO28 AI247:AI250 AI254 AI256:AI269 AI238 AI240:AI242 AI244 AM237 AM239 AM243 AM245:AM246 AM248 AM250:AM255 AM257:AM264 DC259:DC262 DC240:DC257 DC264:DC267 DC269</xm:sqref>
        </x14:dataValidation>
        <x14:dataValidation type="list" allowBlank="1" showInputMessage="1" showErrorMessage="1">
          <x14:formula1>
            <xm:f>'[2]Catálogo de productos'!#REF!</xm:f>
          </x14:formula1>
          <xm:sqref>CV237:CV269 CP237:CP269 BR237:BR269 CD237:CD269 BX237:BX269 BL237:BL269 BF237:BF269 AT237:AT269 AZ237:AZ269 CJ237:CJ269</xm:sqref>
        </x14:dataValidation>
        <x14:dataValidation type="list" allowBlank="1" showInputMessage="1" showErrorMessage="1">
          <x14:formula1>
            <xm:f>'[3]Catálogo de productos'!#REF!</xm:f>
          </x14:formula1>
          <xm:sqref>BX200</xm:sqref>
        </x14:dataValidation>
        <x14:dataValidation type="list" allowBlank="1" showInputMessage="1" showErrorMessage="1">
          <x14:formula1>
            <xm:f>'[1]Catálogo de productos'!#REF!</xm:f>
          </x14:formula1>
          <xm:sqref>BX201:BX236 CV195:CV236 CP195:CP236 CJ195:CJ236 CD195:CD236 AT195:AT236 BR195:BR236 BL195:BL236 BF195:BF236 AZ195:AZ236 BX195:BX199</xm:sqref>
        </x14:dataValidation>
        <x14:dataValidation type="list" allowBlank="1" showInputMessage="1" showErrorMessage="1">
          <x14:formula1>
            <xm:f>'[4]SI-NO'!#REF!</xm:f>
          </x14:formula1>
          <xm:sqref>AM167:AM193 AM671 AI169:AI170 AI176:AI193 AI172:AI173 AM200 AM206 AM208 AM231 AM238 AM240:AM242 AM244 AM247 AM249 AM256 AM265 AM270:AM271 AM273:AM275 AM277:AM280 AM284:AM288 AM290 AM293 AM296 AM298:AM301 AM304 AM306:AM308 AM311:AM313 AM315:AM318 AM320:AM322 AM326 AM328:AM330 AM332:AM337 AM339:AM340 AM346 AM348 AM350 AM352 AM355 AM357:AM359 AM362 AM364 AM366 AM368 AM370:AM371 AM373:AM376 AM378 AM381 AM383:AM384 AM386 AM389:AM393 AM395 AM407 AM446 AM467 AM472 AM483 AM485 AM498:AM499 AM508 AM510 AM527 AM529 AM540 AM668:AM669 AM543 AM552:AM553 AM555:AM557 AM560 AM565 AM570:AM571 AM581:AM582 AM585:AM586 AM588 AM578:AM579 AM590 AM592:AM595 AM605:AM607 AM567 AM609:AM611 AM614:AM616 AM622 AM625:AM627 AM632 AM634 AM640:AM641 AM618 AM620 AM629:AM630 AM644:AM645 AM647:AM656 AM661 AM665 AM546 AM659 DC167:DC184 DC186:DC188 DC190:DC194</xm:sqref>
        </x14:dataValidation>
        <x14:dataValidation type="list" allowBlank="1" showInputMessage="1" showErrorMessage="1">
          <x14:formula1>
            <xm:f>'[4]Catálogo de productos'!#REF!</xm:f>
          </x14:formula1>
          <xm:sqref>AT167:AT194 AZ167:AZ194 BF167:BF194 BL167:BL194 BR167:BR194 BX167:BX194 CD167:CD194 CJ167:CJ194 CP167:CP194 CV167:CV194</xm:sqref>
        </x14:dataValidation>
        <x14:dataValidation type="list" allowBlank="1" showInputMessage="1" showErrorMessage="1">
          <x14:formula1>
            <xm:f>'[5]SI-NO'!#REF!</xm:f>
          </x14:formula1>
          <xm:sqref>AM141:AM166 AI141:AI166 AI136:AI139 AI129:AI133 AM129:AM139 DC129:DC140 DC166 DC147:DC151 DC156:DC159 DC153:DC154 DC161 DC163:DC164</xm:sqref>
        </x14:dataValidation>
        <x14:dataValidation type="list" allowBlank="1" showInputMessage="1" showErrorMessage="1">
          <x14:formula1>
            <xm:f>'[6]SI-NO'!#REF!</xm:f>
          </x14:formula1>
          <xm:sqref>AI29:AI128 AI251:AI253 AI2:AI27 AK2:AK673 DC239 AI194:AI196 AI198 AI200 AM112:AM128 AI204:AI208 AI202 AI234 AI134:AI135 AI255 AI245:AI246 AI243 AI174:AI175 AI171 AI239 AI167:AI168 AI237 DC48:DC128 AM41:AM110 DC41:DC46 DC20:DC24 DC2:DC16 DC18 DC31 DC33:DC34 DC36:DC39 DC26:DC29 AM25:AM35 AM13:AM23 AM10:AM11 AM5:AM8 AM3 AM37:AM38</xm:sqref>
        </x14:dataValidation>
        <x14:dataValidation type="list" allowBlank="1" showInputMessage="1" showErrorMessage="1">
          <x14:formula1>
            <xm:f>'[6]Catálogo de productos'!#REF!</xm:f>
          </x14:formula1>
          <xm:sqref>CV2:CV128 CP2:CP128 CJ2:CJ128 CD2:CD128 BX2:BX128 BF2:BF128 BL2:BL128 AT2:AT128 BR2:BR128 AZ2:AZ128 BX136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showGridLines="0" workbookViewId="0">
      <selection sqref="A1:K1"/>
    </sheetView>
  </sheetViews>
  <sheetFormatPr baseColWidth="10" defaultRowHeight="14.4" x14ac:dyDescent="0.3"/>
  <sheetData>
    <row r="1" spans="1:11" x14ac:dyDescent="0.3">
      <c r="A1" s="86" t="s">
        <v>7105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3" spans="1:11" x14ac:dyDescent="0.3">
      <c r="A3" s="83" t="s">
        <v>7086</v>
      </c>
    </row>
    <row r="4" spans="1:11" x14ac:dyDescent="0.3">
      <c r="A4" s="84" t="s">
        <v>7087</v>
      </c>
    </row>
    <row r="5" spans="1:11" x14ac:dyDescent="0.3">
      <c r="A5" s="84" t="s">
        <v>7088</v>
      </c>
    </row>
    <row r="6" spans="1:11" x14ac:dyDescent="0.3">
      <c r="A6" s="82"/>
    </row>
    <row r="7" spans="1:11" x14ac:dyDescent="0.3">
      <c r="A7" s="83" t="s">
        <v>7089</v>
      </c>
    </row>
    <row r="8" spans="1:11" x14ac:dyDescent="0.3">
      <c r="A8" s="84" t="s">
        <v>7090</v>
      </c>
    </row>
    <row r="9" spans="1:11" x14ac:dyDescent="0.3">
      <c r="A9" s="84" t="s">
        <v>7091</v>
      </c>
    </row>
    <row r="10" spans="1:11" x14ac:dyDescent="0.3">
      <c r="A10" s="82"/>
    </row>
    <row r="11" spans="1:11" x14ac:dyDescent="0.3">
      <c r="A11" s="83" t="s">
        <v>7092</v>
      </c>
    </row>
    <row r="12" spans="1:11" x14ac:dyDescent="0.3">
      <c r="A12" s="85" t="s">
        <v>7093</v>
      </c>
    </row>
    <row r="13" spans="1:11" x14ac:dyDescent="0.3">
      <c r="A13" s="82"/>
    </row>
    <row r="14" spans="1:11" x14ac:dyDescent="0.3">
      <c r="A14" s="83" t="s">
        <v>7094</v>
      </c>
    </row>
    <row r="15" spans="1:11" x14ac:dyDescent="0.3">
      <c r="A15" s="84" t="s">
        <v>7095</v>
      </c>
    </row>
    <row r="16" spans="1:11" x14ac:dyDescent="0.3">
      <c r="A16" s="84" t="s">
        <v>7096</v>
      </c>
    </row>
    <row r="17" spans="1:1" x14ac:dyDescent="0.3">
      <c r="A17" s="84" t="s">
        <v>7097</v>
      </c>
    </row>
    <row r="18" spans="1:1" x14ac:dyDescent="0.3">
      <c r="A18" s="84" t="s">
        <v>7098</v>
      </c>
    </row>
    <row r="19" spans="1:1" x14ac:dyDescent="0.3">
      <c r="A19" s="84" t="s">
        <v>7099</v>
      </c>
    </row>
    <row r="20" spans="1:1" x14ac:dyDescent="0.3">
      <c r="A20" s="84" t="s">
        <v>7100</v>
      </c>
    </row>
    <row r="21" spans="1:1" x14ac:dyDescent="0.3">
      <c r="A21" s="84" t="s">
        <v>7101</v>
      </c>
    </row>
    <row r="22" spans="1:1" x14ac:dyDescent="0.3">
      <c r="A22" s="84" t="s">
        <v>7102</v>
      </c>
    </row>
    <row r="23" spans="1:1" x14ac:dyDescent="0.3">
      <c r="A23" s="84" t="s">
        <v>7103</v>
      </c>
    </row>
    <row r="24" spans="1:1" x14ac:dyDescent="0.3">
      <c r="A24" s="84" t="s">
        <v>7104</v>
      </c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8"/>
  <sheetViews>
    <sheetView topLeftCell="A120" workbookViewId="0">
      <selection activeCell="A2" sqref="A2:B138"/>
    </sheetView>
  </sheetViews>
  <sheetFormatPr baseColWidth="10" defaultRowHeight="14.4" x14ac:dyDescent="0.3"/>
  <cols>
    <col min="7" max="7" width="16.5546875" bestFit="1" customWidth="1"/>
    <col min="8" max="8" width="37.77734375" bestFit="1" customWidth="1"/>
    <col min="10" max="10" width="14.21875" bestFit="1" customWidth="1"/>
    <col min="11" max="11" width="14.21875" customWidth="1"/>
  </cols>
  <sheetData>
    <row r="1" spans="1:12" ht="30.6" x14ac:dyDescent="0.3">
      <c r="A1" s="4" t="s">
        <v>40</v>
      </c>
      <c r="B1" s="4" t="s">
        <v>41</v>
      </c>
      <c r="C1" s="4"/>
    </row>
    <row r="2" spans="1:12" x14ac:dyDescent="0.3">
      <c r="A2" s="7" t="s">
        <v>616</v>
      </c>
      <c r="B2" s="6" t="s">
        <v>2815</v>
      </c>
      <c r="C2" s="6"/>
    </row>
    <row r="3" spans="1:12" x14ac:dyDescent="0.3">
      <c r="A3" s="7" t="s">
        <v>671</v>
      </c>
      <c r="B3" s="6" t="s">
        <v>2251</v>
      </c>
      <c r="C3" s="6"/>
      <c r="G3" s="9" t="s">
        <v>6963</v>
      </c>
      <c r="H3" t="s">
        <v>7077</v>
      </c>
      <c r="J3" t="s">
        <v>6963</v>
      </c>
      <c r="K3" t="s">
        <v>7079</v>
      </c>
      <c r="L3" t="s">
        <v>7078</v>
      </c>
    </row>
    <row r="4" spans="1:12" x14ac:dyDescent="0.3">
      <c r="A4" s="7" t="s">
        <v>805</v>
      </c>
      <c r="B4" s="6" t="s">
        <v>6695</v>
      </c>
      <c r="C4" s="6"/>
      <c r="G4" s="10" t="s">
        <v>1063</v>
      </c>
      <c r="H4" s="2">
        <v>1</v>
      </c>
      <c r="J4" t="s">
        <v>889</v>
      </c>
      <c r="K4" t="str">
        <f t="shared" ref="K4:K35" si="0">+VLOOKUP(J4,$A$2:$B$138,2,FALSE)</f>
        <v>TELA DE ALGODÓN CON FIBRA SINTÉTICA</v>
      </c>
      <c r="L4">
        <v>9</v>
      </c>
    </row>
    <row r="5" spans="1:12" x14ac:dyDescent="0.3">
      <c r="A5" s="7" t="s">
        <v>386</v>
      </c>
      <c r="B5" s="6" t="s">
        <v>5215</v>
      </c>
      <c r="C5" s="6"/>
      <c r="G5" s="10" t="s">
        <v>1138</v>
      </c>
      <c r="H5" s="2">
        <v>1</v>
      </c>
      <c r="J5" t="s">
        <v>540</v>
      </c>
      <c r="K5" t="str">
        <f t="shared" si="0"/>
        <v>TELA DE PUNTO POLIESTER</v>
      </c>
      <c r="L5">
        <v>5</v>
      </c>
    </row>
    <row r="6" spans="1:12" x14ac:dyDescent="0.3">
      <c r="A6" s="7" t="s">
        <v>833</v>
      </c>
      <c r="B6" s="6" t="s">
        <v>6697</v>
      </c>
      <c r="C6" s="6"/>
      <c r="G6" s="10" t="s">
        <v>386</v>
      </c>
      <c r="H6" s="2">
        <v>2</v>
      </c>
      <c r="J6" t="s">
        <v>844</v>
      </c>
      <c r="K6" t="str">
        <f t="shared" si="0"/>
        <v>ACEITE VEGETAL</v>
      </c>
      <c r="L6">
        <v>4</v>
      </c>
    </row>
    <row r="7" spans="1:12" x14ac:dyDescent="0.3">
      <c r="A7" s="7" t="s">
        <v>844</v>
      </c>
      <c r="B7" s="6" t="s">
        <v>6698</v>
      </c>
      <c r="C7" s="6"/>
      <c r="G7" s="10" t="s">
        <v>845</v>
      </c>
      <c r="H7" s="2">
        <v>1</v>
      </c>
      <c r="J7" t="s">
        <v>869</v>
      </c>
      <c r="K7" t="str">
        <f t="shared" si="0"/>
        <v>CHICLES</v>
      </c>
      <c r="L7">
        <v>3</v>
      </c>
    </row>
    <row r="8" spans="1:12" x14ac:dyDescent="0.3">
      <c r="A8" s="7" t="s">
        <v>636</v>
      </c>
      <c r="B8" s="6" t="s">
        <v>3354</v>
      </c>
      <c r="C8" s="6"/>
      <c r="G8" s="10" t="s">
        <v>844</v>
      </c>
      <c r="H8" s="2">
        <v>4</v>
      </c>
      <c r="J8" t="s">
        <v>564</v>
      </c>
      <c r="K8" t="str">
        <f t="shared" si="0"/>
        <v>TELA POLIESTER</v>
      </c>
      <c r="L8">
        <v>3</v>
      </c>
    </row>
    <row r="9" spans="1:12" x14ac:dyDescent="0.3">
      <c r="A9" s="7" t="s">
        <v>104</v>
      </c>
      <c r="B9" s="6" t="s">
        <v>6700</v>
      </c>
      <c r="C9" s="6"/>
      <c r="G9" s="10" t="s">
        <v>985</v>
      </c>
      <c r="H9" s="2">
        <v>2</v>
      </c>
      <c r="J9" t="s">
        <v>1074</v>
      </c>
      <c r="K9" t="str">
        <f t="shared" si="0"/>
        <v>CABOS SINTÉTICOS</v>
      </c>
      <c r="L9">
        <v>3</v>
      </c>
    </row>
    <row r="10" spans="1:12" x14ac:dyDescent="0.3">
      <c r="A10" s="7" t="s">
        <v>879</v>
      </c>
      <c r="B10" s="6" t="s">
        <v>6702</v>
      </c>
      <c r="C10" s="6"/>
      <c r="G10" s="10" t="s">
        <v>1122</v>
      </c>
      <c r="H10" s="2">
        <v>1</v>
      </c>
      <c r="J10" t="s">
        <v>879</v>
      </c>
      <c r="K10" t="str">
        <f t="shared" si="0"/>
        <v>PAPEL HIGIÉNICO</v>
      </c>
      <c r="L10">
        <v>3</v>
      </c>
    </row>
    <row r="11" spans="1:12" x14ac:dyDescent="0.3">
      <c r="A11" s="7" t="s">
        <v>540</v>
      </c>
      <c r="B11" s="6" t="s">
        <v>2205</v>
      </c>
      <c r="C11" s="6"/>
      <c r="G11" s="10" t="s">
        <v>869</v>
      </c>
      <c r="H11" s="2">
        <v>3</v>
      </c>
      <c r="J11" t="s">
        <v>217</v>
      </c>
      <c r="K11" t="str">
        <f t="shared" si="0"/>
        <v>SERVILLETAS</v>
      </c>
      <c r="L11">
        <v>3</v>
      </c>
    </row>
    <row r="12" spans="1:12" x14ac:dyDescent="0.3">
      <c r="A12" s="7" t="s">
        <v>889</v>
      </c>
      <c r="B12" s="6" t="s">
        <v>2902</v>
      </c>
      <c r="C12" s="6"/>
      <c r="G12" s="10" t="s">
        <v>104</v>
      </c>
      <c r="H12" s="2">
        <v>1</v>
      </c>
      <c r="J12" t="s">
        <v>636</v>
      </c>
      <c r="K12" t="str">
        <f t="shared" si="0"/>
        <v>PINTURA</v>
      </c>
      <c r="L12">
        <v>3</v>
      </c>
    </row>
    <row r="13" spans="1:12" x14ac:dyDescent="0.3">
      <c r="A13" s="7" t="s">
        <v>672</v>
      </c>
      <c r="B13" s="6" t="s">
        <v>2534</v>
      </c>
      <c r="C13" s="6"/>
      <c r="G13" s="10" t="s">
        <v>1201</v>
      </c>
      <c r="H13" s="2">
        <v>1</v>
      </c>
      <c r="J13" t="s">
        <v>792</v>
      </c>
      <c r="K13" t="str">
        <f t="shared" si="0"/>
        <v>JABÓN PARA LAVAR ROPA</v>
      </c>
      <c r="L13">
        <v>3</v>
      </c>
    </row>
    <row r="14" spans="1:12" x14ac:dyDescent="0.3">
      <c r="A14" s="7" t="s">
        <v>181</v>
      </c>
      <c r="B14" s="6" t="s">
        <v>2776</v>
      </c>
      <c r="C14" s="6"/>
      <c r="G14" s="10" t="s">
        <v>528</v>
      </c>
      <c r="H14" s="2">
        <v>1</v>
      </c>
      <c r="J14" t="s">
        <v>1087</v>
      </c>
      <c r="K14" t="str">
        <f t="shared" si="0"/>
        <v>COLONIA</v>
      </c>
      <c r="L14">
        <v>3</v>
      </c>
    </row>
    <row r="15" spans="1:12" x14ac:dyDescent="0.3">
      <c r="A15" s="7" t="s">
        <v>948</v>
      </c>
      <c r="B15" s="6" t="s">
        <v>6706</v>
      </c>
      <c r="C15" s="6"/>
      <c r="G15" s="10" t="s">
        <v>1199</v>
      </c>
      <c r="H15" s="2">
        <v>1</v>
      </c>
      <c r="J15" t="s">
        <v>1099</v>
      </c>
      <c r="K15" t="str">
        <f t="shared" si="0"/>
        <v>PASTA DENTAL</v>
      </c>
      <c r="L15">
        <v>3</v>
      </c>
    </row>
    <row r="16" spans="1:12" x14ac:dyDescent="0.3">
      <c r="A16" s="7" t="s">
        <v>968</v>
      </c>
      <c r="B16" s="6" t="s">
        <v>2214</v>
      </c>
      <c r="C16" s="6"/>
      <c r="G16" s="10" t="s">
        <v>1200</v>
      </c>
      <c r="H16" s="2">
        <v>1</v>
      </c>
      <c r="J16" t="s">
        <v>1088</v>
      </c>
      <c r="K16" t="str">
        <f t="shared" si="0"/>
        <v>DESODORANTE</v>
      </c>
      <c r="L16">
        <v>3</v>
      </c>
    </row>
    <row r="17" spans="1:12" x14ac:dyDescent="0.3">
      <c r="A17" s="7" t="s">
        <v>985</v>
      </c>
      <c r="B17" s="6" t="s">
        <v>6708</v>
      </c>
      <c r="C17" s="6"/>
      <c r="G17" s="10" t="s">
        <v>1123</v>
      </c>
      <c r="H17" s="2">
        <v>1</v>
      </c>
      <c r="J17" t="s">
        <v>1006</v>
      </c>
      <c r="K17" t="str">
        <f t="shared" si="0"/>
        <v>NEUMÁTICOS REENCAUCHADOS</v>
      </c>
      <c r="L17">
        <v>3</v>
      </c>
    </row>
    <row r="18" spans="1:12" x14ac:dyDescent="0.3">
      <c r="A18" s="7" t="s">
        <v>995</v>
      </c>
      <c r="B18" s="6" t="s">
        <v>6710</v>
      </c>
      <c r="C18" s="6"/>
      <c r="G18" s="10" t="s">
        <v>1124</v>
      </c>
      <c r="H18" s="2">
        <v>1</v>
      </c>
      <c r="J18" t="s">
        <v>995</v>
      </c>
      <c r="K18" t="str">
        <f t="shared" si="0"/>
        <v>CAJA DE FÓSFOROS</v>
      </c>
      <c r="L18">
        <v>3</v>
      </c>
    </row>
    <row r="19" spans="1:12" x14ac:dyDescent="0.3">
      <c r="A19" s="7" t="s">
        <v>1006</v>
      </c>
      <c r="B19" s="6" t="s">
        <v>1798</v>
      </c>
      <c r="C19" s="6"/>
      <c r="G19" s="10" t="s">
        <v>1125</v>
      </c>
      <c r="H19" s="2">
        <v>1</v>
      </c>
      <c r="J19" t="s">
        <v>1326</v>
      </c>
      <c r="K19" t="str">
        <f t="shared" si="0"/>
        <v>TANQUES DE ACERO INOXIDABLE</v>
      </c>
      <c r="L19">
        <v>3</v>
      </c>
    </row>
    <row r="20" spans="1:12" x14ac:dyDescent="0.3">
      <c r="A20" s="7" t="s">
        <v>889</v>
      </c>
      <c r="B20" s="6" t="s">
        <v>2902</v>
      </c>
      <c r="C20" s="6"/>
      <c r="G20" s="10" t="s">
        <v>1126</v>
      </c>
      <c r="H20" s="2">
        <v>1</v>
      </c>
      <c r="J20" t="s">
        <v>1112</v>
      </c>
      <c r="K20" t="str">
        <f t="shared" si="0"/>
        <v>ALAMBRE DE ALUMINIO SIN RECUBRIMIENTO</v>
      </c>
      <c r="L20">
        <v>3</v>
      </c>
    </row>
    <row r="21" spans="1:12" x14ac:dyDescent="0.3">
      <c r="A21" s="7" t="s">
        <v>1025</v>
      </c>
      <c r="B21" s="6" t="s">
        <v>6711</v>
      </c>
      <c r="C21" s="6"/>
      <c r="G21" s="10" t="s">
        <v>1304</v>
      </c>
      <c r="H21" s="2">
        <v>1</v>
      </c>
      <c r="J21" t="s">
        <v>386</v>
      </c>
      <c r="K21" t="str">
        <f t="shared" si="0"/>
        <v>ACEITE CRUDO DE PALMA AFRICANA</v>
      </c>
      <c r="L21">
        <v>2</v>
      </c>
    </row>
    <row r="22" spans="1:12" x14ac:dyDescent="0.3">
      <c r="A22" s="7" t="s">
        <v>1037</v>
      </c>
      <c r="B22" s="6" t="s">
        <v>1959</v>
      </c>
      <c r="C22" s="6"/>
      <c r="G22" s="10" t="s">
        <v>553</v>
      </c>
      <c r="H22" s="2">
        <v>1</v>
      </c>
      <c r="J22" t="s">
        <v>985</v>
      </c>
      <c r="K22" t="str">
        <f t="shared" si="0"/>
        <v>MARGARINA</v>
      </c>
      <c r="L22">
        <v>2</v>
      </c>
    </row>
    <row r="23" spans="1:12" x14ac:dyDescent="0.3">
      <c r="A23" s="7" t="s">
        <v>553</v>
      </c>
      <c r="B23" s="6" t="s">
        <v>6712</v>
      </c>
      <c r="C23" s="6"/>
      <c r="G23" s="10" t="s">
        <v>1305</v>
      </c>
      <c r="H23" s="2">
        <v>1</v>
      </c>
      <c r="J23" t="s">
        <v>968</v>
      </c>
      <c r="K23" t="str">
        <f t="shared" si="0"/>
        <v>COBIJA DE POLIESTER</v>
      </c>
      <c r="L23">
        <v>2</v>
      </c>
    </row>
    <row r="24" spans="1:12" x14ac:dyDescent="0.3">
      <c r="A24" s="7" t="s">
        <v>386</v>
      </c>
      <c r="B24" s="6" t="s">
        <v>5215</v>
      </c>
      <c r="C24" s="6"/>
      <c r="G24" s="10" t="s">
        <v>889</v>
      </c>
      <c r="H24" s="2">
        <v>9</v>
      </c>
      <c r="J24" t="s">
        <v>180</v>
      </c>
      <c r="K24" t="str">
        <f t="shared" si="0"/>
        <v>MEDIAS ENTERAS PARA MUJER</v>
      </c>
      <c r="L24">
        <v>2</v>
      </c>
    </row>
    <row r="25" spans="1:12" x14ac:dyDescent="0.3">
      <c r="A25" s="7" t="s">
        <v>1074</v>
      </c>
      <c r="B25" s="6" t="s">
        <v>2550</v>
      </c>
      <c r="C25" s="6"/>
      <c r="G25" s="10" t="s">
        <v>564</v>
      </c>
      <c r="H25" s="2">
        <v>3</v>
      </c>
      <c r="J25" t="s">
        <v>673</v>
      </c>
      <c r="K25" t="str">
        <f t="shared" si="0"/>
        <v>CLORO LIQUIDO</v>
      </c>
      <c r="L25">
        <v>2</v>
      </c>
    </row>
    <row r="26" spans="1:12" x14ac:dyDescent="0.3">
      <c r="A26" s="7" t="s">
        <v>1087</v>
      </c>
      <c r="B26" s="6" t="s">
        <v>1523</v>
      </c>
      <c r="C26" s="6"/>
      <c r="G26" s="10" t="s">
        <v>540</v>
      </c>
      <c r="H26" s="2">
        <v>5</v>
      </c>
      <c r="J26" t="s">
        <v>1212</v>
      </c>
      <c r="K26" t="str">
        <f t="shared" si="0"/>
        <v>RESINA</v>
      </c>
      <c r="L26">
        <v>2</v>
      </c>
    </row>
    <row r="27" spans="1:12" x14ac:dyDescent="0.3">
      <c r="A27" s="7" t="s">
        <v>1099</v>
      </c>
      <c r="B27" s="6" t="s">
        <v>6715</v>
      </c>
      <c r="C27" s="6"/>
      <c r="G27" s="10" t="s">
        <v>968</v>
      </c>
      <c r="H27" s="2">
        <v>2</v>
      </c>
      <c r="J27" t="s">
        <v>1211</v>
      </c>
      <c r="K27" t="str">
        <f t="shared" si="0"/>
        <v>SELLANTE</v>
      </c>
      <c r="L27">
        <v>2</v>
      </c>
    </row>
    <row r="28" spans="1:12" x14ac:dyDescent="0.3">
      <c r="A28" s="7" t="s">
        <v>1111</v>
      </c>
      <c r="B28" s="6" t="s">
        <v>6717</v>
      </c>
      <c r="C28" s="6"/>
      <c r="G28" s="10" t="s">
        <v>575</v>
      </c>
      <c r="H28" s="2">
        <v>1</v>
      </c>
      <c r="J28" t="s">
        <v>637</v>
      </c>
      <c r="K28" t="str">
        <f t="shared" si="0"/>
        <v>DILUYENTE</v>
      </c>
      <c r="L28">
        <v>2</v>
      </c>
    </row>
    <row r="29" spans="1:12" x14ac:dyDescent="0.3">
      <c r="A29" s="7" t="s">
        <v>1122</v>
      </c>
      <c r="B29" s="6" t="s">
        <v>6719</v>
      </c>
      <c r="C29" s="6"/>
      <c r="G29" s="10" t="s">
        <v>1074</v>
      </c>
      <c r="H29" s="2">
        <v>3</v>
      </c>
      <c r="J29" t="s">
        <v>699</v>
      </c>
      <c r="K29" t="str">
        <f t="shared" si="0"/>
        <v>COMPLEJO B</v>
      </c>
      <c r="L29">
        <v>2</v>
      </c>
    </row>
    <row r="30" spans="1:12" x14ac:dyDescent="0.3">
      <c r="A30" s="7" t="s">
        <v>1137</v>
      </c>
      <c r="B30" s="6" t="s">
        <v>6724</v>
      </c>
      <c r="C30" s="6"/>
      <c r="G30" s="10" t="s">
        <v>180</v>
      </c>
      <c r="H30" s="2">
        <v>2</v>
      </c>
      <c r="J30" t="s">
        <v>793</v>
      </c>
      <c r="K30" t="str">
        <f t="shared" si="0"/>
        <v>JABÓN/CREMA PARA LAVAR VAJILLA</v>
      </c>
      <c r="L30">
        <v>2</v>
      </c>
    </row>
    <row r="31" spans="1:12" x14ac:dyDescent="0.3">
      <c r="A31" s="7" t="s">
        <v>1149</v>
      </c>
      <c r="B31" s="6" t="s">
        <v>6727</v>
      </c>
      <c r="C31" s="6"/>
      <c r="G31" s="10" t="s">
        <v>181</v>
      </c>
      <c r="H31" s="2">
        <v>1</v>
      </c>
      <c r="J31" t="s">
        <v>1100</v>
      </c>
      <c r="K31" t="str">
        <f t="shared" si="0"/>
        <v>ENJUAGUES BUCALES</v>
      </c>
      <c r="L31">
        <v>2</v>
      </c>
    </row>
    <row r="32" spans="1:12" x14ac:dyDescent="0.3">
      <c r="A32" s="7" t="s">
        <v>540</v>
      </c>
      <c r="B32" s="6" t="s">
        <v>2205</v>
      </c>
      <c r="C32" s="6"/>
      <c r="G32" s="10" t="s">
        <v>929</v>
      </c>
      <c r="H32" s="2">
        <v>1</v>
      </c>
      <c r="J32" t="s">
        <v>1347</v>
      </c>
      <c r="K32" t="str">
        <f t="shared" si="0"/>
        <v>PLACAS ONDULADAS</v>
      </c>
      <c r="L32">
        <v>2</v>
      </c>
    </row>
    <row r="33" spans="1:12" x14ac:dyDescent="0.3">
      <c r="A33" s="7" t="s">
        <v>564</v>
      </c>
      <c r="B33" s="6" t="s">
        <v>2655</v>
      </c>
      <c r="C33" s="6"/>
      <c r="G33" s="10" t="s">
        <v>616</v>
      </c>
      <c r="H33" s="2">
        <v>1</v>
      </c>
      <c r="J33" t="s">
        <v>948</v>
      </c>
      <c r="K33" t="str">
        <f t="shared" si="0"/>
        <v>VARILLAS DE ACERO</v>
      </c>
      <c r="L33">
        <v>2</v>
      </c>
    </row>
    <row r="34" spans="1:12" x14ac:dyDescent="0.3">
      <c r="A34" s="7" t="s">
        <v>575</v>
      </c>
      <c r="B34" s="6" t="s">
        <v>2635</v>
      </c>
      <c r="C34" s="6"/>
      <c r="G34" s="10" t="s">
        <v>615</v>
      </c>
      <c r="H34" s="2">
        <v>1</v>
      </c>
      <c r="J34" t="s">
        <v>1025</v>
      </c>
      <c r="K34" t="str">
        <f t="shared" si="0"/>
        <v>POSTES DE ACERO</v>
      </c>
      <c r="L34">
        <v>2</v>
      </c>
    </row>
    <row r="35" spans="1:12" x14ac:dyDescent="0.3">
      <c r="A35" s="7" t="s">
        <v>528</v>
      </c>
      <c r="B35" s="6" t="s">
        <v>3363</v>
      </c>
      <c r="C35" s="6"/>
      <c r="G35" s="10" t="s">
        <v>879</v>
      </c>
      <c r="H35" s="2">
        <v>3</v>
      </c>
      <c r="J35" t="s">
        <v>1150</v>
      </c>
      <c r="K35" t="str">
        <f t="shared" si="0"/>
        <v>CORREAS DE ACERO</v>
      </c>
      <c r="L35">
        <v>2</v>
      </c>
    </row>
    <row r="36" spans="1:12" x14ac:dyDescent="0.3">
      <c r="A36" s="7" t="s">
        <v>1211</v>
      </c>
      <c r="B36" s="6" t="s">
        <v>3344</v>
      </c>
      <c r="C36" s="6"/>
      <c r="G36" s="10" t="s">
        <v>217</v>
      </c>
      <c r="H36" s="2">
        <v>3</v>
      </c>
      <c r="J36" t="s">
        <v>949</v>
      </c>
      <c r="K36" t="str">
        <f t="shared" ref="K36:K67" si="1">+VLOOKUP(J36,$A$2:$B$138,2,FALSE)</f>
        <v>MALLA DE CERRAMIENTO</v>
      </c>
      <c r="L36">
        <v>2</v>
      </c>
    </row>
    <row r="37" spans="1:12" x14ac:dyDescent="0.3">
      <c r="A37" s="7" t="s">
        <v>879</v>
      </c>
      <c r="B37" s="6" t="s">
        <v>6702</v>
      </c>
      <c r="C37" s="6"/>
      <c r="G37" s="10" t="s">
        <v>1276</v>
      </c>
      <c r="H37" s="2">
        <v>1</v>
      </c>
      <c r="J37" t="s">
        <v>1063</v>
      </c>
      <c r="K37" t="str">
        <f t="shared" si="1"/>
        <v>PALMA AFRICANA</v>
      </c>
      <c r="L37">
        <v>1</v>
      </c>
    </row>
    <row r="38" spans="1:12" x14ac:dyDescent="0.3">
      <c r="A38" s="7" t="s">
        <v>699</v>
      </c>
      <c r="B38" s="6" t="s">
        <v>6730</v>
      </c>
      <c r="C38" s="6"/>
      <c r="G38" s="10" t="s">
        <v>1277</v>
      </c>
      <c r="H38" s="2">
        <v>1</v>
      </c>
      <c r="J38" t="s">
        <v>1138</v>
      </c>
      <c r="K38" t="str">
        <f t="shared" si="1"/>
        <v>CEMENTO ASFALTICO</v>
      </c>
      <c r="L38">
        <v>1</v>
      </c>
    </row>
    <row r="39" spans="1:12" x14ac:dyDescent="0.3">
      <c r="A39" s="7" t="s">
        <v>1252</v>
      </c>
      <c r="B39" s="6" t="s">
        <v>6731</v>
      </c>
      <c r="C39" s="6"/>
      <c r="G39" s="10" t="s">
        <v>673</v>
      </c>
      <c r="H39" s="2">
        <v>2</v>
      </c>
      <c r="J39" t="s">
        <v>845</v>
      </c>
      <c r="K39" t="str">
        <f t="shared" si="1"/>
        <v>ACEITE DE SOYA</v>
      </c>
      <c r="L39">
        <v>1</v>
      </c>
    </row>
    <row r="40" spans="1:12" x14ac:dyDescent="0.3">
      <c r="A40" s="7" t="s">
        <v>1276</v>
      </c>
      <c r="B40" s="6" t="s">
        <v>6735</v>
      </c>
      <c r="C40" s="6"/>
      <c r="G40" s="10" t="s">
        <v>1336</v>
      </c>
      <c r="H40" s="2">
        <v>1</v>
      </c>
      <c r="J40" t="s">
        <v>1122</v>
      </c>
      <c r="K40" t="str">
        <f t="shared" si="1"/>
        <v>MAICENA</v>
      </c>
      <c r="L40">
        <v>1</v>
      </c>
    </row>
    <row r="41" spans="1:12" x14ac:dyDescent="0.3">
      <c r="A41" s="7" t="s">
        <v>540</v>
      </c>
      <c r="B41" s="6" t="s">
        <v>2205</v>
      </c>
      <c r="C41" s="6"/>
      <c r="G41" s="10" t="s">
        <v>1212</v>
      </c>
      <c r="H41" s="2">
        <v>2</v>
      </c>
      <c r="J41" t="s">
        <v>104</v>
      </c>
      <c r="K41" t="str">
        <f t="shared" si="1"/>
        <v>CARAMELOS</v>
      </c>
      <c r="L41">
        <v>1</v>
      </c>
    </row>
    <row r="42" spans="1:12" x14ac:dyDescent="0.3">
      <c r="A42" s="7" t="s">
        <v>985</v>
      </c>
      <c r="B42" s="6" t="s">
        <v>6708</v>
      </c>
      <c r="C42" s="6"/>
      <c r="G42" s="10" t="s">
        <v>636</v>
      </c>
      <c r="H42" s="2">
        <v>3</v>
      </c>
      <c r="J42" t="s">
        <v>1201</v>
      </c>
      <c r="K42" t="str">
        <f t="shared" si="1"/>
        <v>SALSA DE SOYA</v>
      </c>
      <c r="L42">
        <v>1</v>
      </c>
    </row>
    <row r="43" spans="1:12" x14ac:dyDescent="0.3">
      <c r="A43" s="7" t="s">
        <v>1304</v>
      </c>
      <c r="B43" s="6" t="s">
        <v>2626</v>
      </c>
      <c r="C43" s="6"/>
      <c r="G43" s="10" t="s">
        <v>1211</v>
      </c>
      <c r="H43" s="2">
        <v>2</v>
      </c>
      <c r="J43" t="s">
        <v>528</v>
      </c>
      <c r="K43" t="str">
        <f t="shared" si="1"/>
        <v>SALSA DE TOMATE</v>
      </c>
      <c r="L43">
        <v>1</v>
      </c>
    </row>
    <row r="44" spans="1:12" x14ac:dyDescent="0.3">
      <c r="A44" s="7" t="s">
        <v>1211</v>
      </c>
      <c r="B44" s="6" t="s">
        <v>3344</v>
      </c>
      <c r="C44" s="6"/>
      <c r="G44" s="10" t="s">
        <v>637</v>
      </c>
      <c r="H44" s="2">
        <v>2</v>
      </c>
      <c r="J44" t="s">
        <v>1199</v>
      </c>
      <c r="K44" t="str">
        <f t="shared" si="1"/>
        <v>MAYONESA</v>
      </c>
      <c r="L44">
        <v>1</v>
      </c>
    </row>
    <row r="45" spans="1:12" x14ac:dyDescent="0.3">
      <c r="A45" s="7" t="s">
        <v>1326</v>
      </c>
      <c r="B45" s="6" t="s">
        <v>6738</v>
      </c>
      <c r="C45" s="6"/>
      <c r="G45" s="10" t="s">
        <v>856</v>
      </c>
      <c r="H45" s="2">
        <v>1</v>
      </c>
      <c r="J45" t="s">
        <v>1200</v>
      </c>
      <c r="K45" t="str">
        <f t="shared" si="1"/>
        <v>PASTA DE TOMATE</v>
      </c>
      <c r="L45">
        <v>1</v>
      </c>
    </row>
    <row r="46" spans="1:12" x14ac:dyDescent="0.3">
      <c r="A46" s="7" t="s">
        <v>1336</v>
      </c>
      <c r="B46" s="6" t="s">
        <v>1381</v>
      </c>
      <c r="C46" s="6"/>
      <c r="G46" s="10" t="s">
        <v>699</v>
      </c>
      <c r="H46" s="2">
        <v>2</v>
      </c>
      <c r="J46" t="s">
        <v>1123</v>
      </c>
      <c r="K46" t="str">
        <f t="shared" si="1"/>
        <v>LEVADURA</v>
      </c>
      <c r="L46">
        <v>1</v>
      </c>
    </row>
    <row r="47" spans="1:12" x14ac:dyDescent="0.3">
      <c r="A47" s="7" t="s">
        <v>1347</v>
      </c>
      <c r="B47" s="6" t="s">
        <v>6739</v>
      </c>
      <c r="C47" s="6"/>
      <c r="G47" s="10" t="s">
        <v>1254</v>
      </c>
      <c r="H47" s="2">
        <v>1</v>
      </c>
      <c r="J47" t="s">
        <v>1124</v>
      </c>
      <c r="K47" t="str">
        <f t="shared" si="1"/>
        <v>POLVO DE HORNEAR</v>
      </c>
      <c r="L47">
        <v>1</v>
      </c>
    </row>
    <row r="48" spans="1:12" x14ac:dyDescent="0.3">
      <c r="A48" s="7" t="s">
        <v>1212</v>
      </c>
      <c r="B48" s="6" t="s">
        <v>1853</v>
      </c>
      <c r="C48" s="6"/>
      <c r="G48" s="10" t="s">
        <v>1252</v>
      </c>
      <c r="H48" s="2">
        <v>1</v>
      </c>
      <c r="J48" t="s">
        <v>1125</v>
      </c>
      <c r="K48" t="str">
        <f t="shared" si="1"/>
        <v>GELATINA EN POLVO</v>
      </c>
      <c r="L48">
        <v>1</v>
      </c>
    </row>
    <row r="49" spans="1:12" x14ac:dyDescent="0.3">
      <c r="A49" s="7" t="s">
        <v>6767</v>
      </c>
      <c r="B49" s="6" t="s">
        <v>6771</v>
      </c>
      <c r="C49" s="6"/>
      <c r="G49" s="10" t="s">
        <v>1253</v>
      </c>
      <c r="H49" s="2">
        <v>1</v>
      </c>
      <c r="J49" t="s">
        <v>1126</v>
      </c>
      <c r="K49" t="str">
        <f t="shared" si="1"/>
        <v>FLAN EN POLVO</v>
      </c>
      <c r="L49">
        <v>1</v>
      </c>
    </row>
    <row r="50" spans="1:12" x14ac:dyDescent="0.3">
      <c r="A50" s="7" t="s">
        <v>615</v>
      </c>
      <c r="B50" s="6" t="s">
        <v>2702</v>
      </c>
      <c r="G50" s="10" t="s">
        <v>1255</v>
      </c>
      <c r="H50" s="2">
        <v>1</v>
      </c>
      <c r="J50" t="s">
        <v>1304</v>
      </c>
      <c r="K50" t="str">
        <f t="shared" si="1"/>
        <v>HILO DE POLIÉSTER PARA TELA</v>
      </c>
      <c r="L50">
        <v>1</v>
      </c>
    </row>
    <row r="51" spans="1:12" x14ac:dyDescent="0.3">
      <c r="A51" s="7" t="s">
        <v>673</v>
      </c>
      <c r="B51" s="6" t="s">
        <v>2250</v>
      </c>
      <c r="G51" s="10" t="s">
        <v>792</v>
      </c>
      <c r="H51" s="2">
        <v>3</v>
      </c>
      <c r="J51" t="s">
        <v>553</v>
      </c>
      <c r="K51" t="str">
        <f t="shared" si="1"/>
        <v>HILO ACRILICO</v>
      </c>
      <c r="L51">
        <v>1</v>
      </c>
    </row>
    <row r="52" spans="1:12" x14ac:dyDescent="0.3">
      <c r="A52" s="7" t="s">
        <v>806</v>
      </c>
      <c r="B52" s="6" t="s">
        <v>6696</v>
      </c>
      <c r="G52" s="10" t="s">
        <v>793</v>
      </c>
      <c r="H52" s="2">
        <v>2</v>
      </c>
      <c r="J52" t="s">
        <v>1305</v>
      </c>
      <c r="K52" t="str">
        <f t="shared" si="1"/>
        <v>HILO DE POLIÉSTER PARA COSER</v>
      </c>
      <c r="L52">
        <v>1</v>
      </c>
    </row>
    <row r="53" spans="1:12" x14ac:dyDescent="0.3">
      <c r="A53" s="7" t="s">
        <v>844</v>
      </c>
      <c r="B53" s="6" t="s">
        <v>6698</v>
      </c>
      <c r="G53" s="10" t="s">
        <v>986</v>
      </c>
      <c r="H53" s="2">
        <v>1</v>
      </c>
      <c r="J53" t="s">
        <v>575</v>
      </c>
      <c r="K53" t="str">
        <f t="shared" si="1"/>
        <v>TOALLAS DE BAÑO DE ALGODÓN</v>
      </c>
      <c r="L53">
        <v>1</v>
      </c>
    </row>
    <row r="54" spans="1:12" x14ac:dyDescent="0.3">
      <c r="A54" s="7" t="s">
        <v>636</v>
      </c>
      <c r="B54" s="6" t="s">
        <v>3354</v>
      </c>
      <c r="G54" s="10" t="s">
        <v>671</v>
      </c>
      <c r="H54" s="2">
        <v>1</v>
      </c>
      <c r="J54" t="s">
        <v>181</v>
      </c>
      <c r="K54" t="str">
        <f t="shared" si="1"/>
        <v>MEDIAS DE NIÑO</v>
      </c>
      <c r="L54">
        <v>1</v>
      </c>
    </row>
    <row r="55" spans="1:12" x14ac:dyDescent="0.3">
      <c r="A55" s="7" t="s">
        <v>869</v>
      </c>
      <c r="B55" s="6" t="s">
        <v>6701</v>
      </c>
      <c r="G55" s="10" t="s">
        <v>672</v>
      </c>
      <c r="H55" s="2">
        <v>1</v>
      </c>
      <c r="J55" t="s">
        <v>929</v>
      </c>
      <c r="K55" t="str">
        <f t="shared" si="1"/>
        <v>MEDIAS DE FÚTBOL</v>
      </c>
      <c r="L55">
        <v>1</v>
      </c>
    </row>
    <row r="56" spans="1:12" x14ac:dyDescent="0.3">
      <c r="A56" s="7" t="s">
        <v>217</v>
      </c>
      <c r="B56" s="6" t="s">
        <v>6703</v>
      </c>
      <c r="G56" s="10" t="s">
        <v>1087</v>
      </c>
      <c r="H56" s="2">
        <v>3</v>
      </c>
      <c r="J56" t="s">
        <v>616</v>
      </c>
      <c r="K56" t="str">
        <f t="shared" si="1"/>
        <v>ZAPATOS DE CUERO PARA HOMBRE Y MUJER</v>
      </c>
      <c r="L56">
        <v>1</v>
      </c>
    </row>
    <row r="57" spans="1:12" x14ac:dyDescent="0.3">
      <c r="A57" s="7" t="s">
        <v>889</v>
      </c>
      <c r="B57" s="6" t="s">
        <v>2902</v>
      </c>
      <c r="G57" s="10" t="s">
        <v>1521</v>
      </c>
      <c r="H57" s="2">
        <v>1</v>
      </c>
      <c r="J57" t="s">
        <v>615</v>
      </c>
      <c r="K57" t="str">
        <f t="shared" si="1"/>
        <v>CALZADO DE LONA</v>
      </c>
      <c r="L57">
        <v>1</v>
      </c>
    </row>
    <row r="58" spans="1:12" x14ac:dyDescent="0.3">
      <c r="A58" s="7" t="s">
        <v>889</v>
      </c>
      <c r="B58" s="6" t="s">
        <v>2902</v>
      </c>
      <c r="G58" s="10" t="s">
        <v>1099</v>
      </c>
      <c r="H58" s="2">
        <v>3</v>
      </c>
      <c r="J58" t="s">
        <v>1276</v>
      </c>
      <c r="K58" t="str">
        <f t="shared" si="1"/>
        <v>PAÑALES DESECHABLES</v>
      </c>
      <c r="L58">
        <v>1</v>
      </c>
    </row>
    <row r="59" spans="1:12" x14ac:dyDescent="0.3">
      <c r="A59" s="7" t="s">
        <v>920</v>
      </c>
      <c r="B59" s="6" t="s">
        <v>6704</v>
      </c>
      <c r="G59" s="10" t="s">
        <v>1100</v>
      </c>
      <c r="H59" s="2">
        <v>2</v>
      </c>
      <c r="J59" t="s">
        <v>1277</v>
      </c>
      <c r="K59" t="str">
        <f t="shared" si="1"/>
        <v>PAÑOS HÚMEDOS</v>
      </c>
      <c r="L59">
        <v>1</v>
      </c>
    </row>
    <row r="60" spans="1:12" x14ac:dyDescent="0.3">
      <c r="A60" s="7" t="s">
        <v>180</v>
      </c>
      <c r="B60" s="6" t="s">
        <v>6705</v>
      </c>
      <c r="G60" s="10" t="s">
        <v>1088</v>
      </c>
      <c r="H60" s="2">
        <v>3</v>
      </c>
      <c r="J60" t="s">
        <v>1336</v>
      </c>
      <c r="K60" t="str">
        <f t="shared" si="1"/>
        <v>ABONO COMPUESTO</v>
      </c>
      <c r="L60">
        <v>1</v>
      </c>
    </row>
    <row r="61" spans="1:12" x14ac:dyDescent="0.3">
      <c r="A61" s="7" t="s">
        <v>948</v>
      </c>
      <c r="B61" s="6" t="s">
        <v>6706</v>
      </c>
      <c r="G61" s="10" t="s">
        <v>920</v>
      </c>
      <c r="H61" s="2">
        <v>1</v>
      </c>
      <c r="J61" t="s">
        <v>856</v>
      </c>
      <c r="K61" t="str">
        <f t="shared" si="1"/>
        <v>TINTA DE COLORES</v>
      </c>
      <c r="L61">
        <v>1</v>
      </c>
    </row>
    <row r="62" spans="1:12" x14ac:dyDescent="0.3">
      <c r="A62" s="7" t="s">
        <v>968</v>
      </c>
      <c r="B62" s="6" t="s">
        <v>2214</v>
      </c>
      <c r="G62" s="10" t="s">
        <v>1006</v>
      </c>
      <c r="H62" s="2">
        <v>3</v>
      </c>
      <c r="J62" t="s">
        <v>1254</v>
      </c>
      <c r="K62" t="str">
        <f t="shared" si="1"/>
        <v>PENICILINA</v>
      </c>
      <c r="L62">
        <v>1</v>
      </c>
    </row>
    <row r="63" spans="1:12" x14ac:dyDescent="0.3">
      <c r="A63" s="7" t="s">
        <v>986</v>
      </c>
      <c r="B63" s="6" t="s">
        <v>6709</v>
      </c>
      <c r="G63" s="10" t="s">
        <v>833</v>
      </c>
      <c r="H63" s="2">
        <v>1</v>
      </c>
      <c r="J63" t="s">
        <v>1252</v>
      </c>
      <c r="K63" t="str">
        <f t="shared" si="1"/>
        <v>AMPICILINA</v>
      </c>
      <c r="L63">
        <v>1</v>
      </c>
    </row>
    <row r="64" spans="1:12" x14ac:dyDescent="0.3">
      <c r="A64" s="7" t="s">
        <v>995</v>
      </c>
      <c r="B64" s="6" t="s">
        <v>6710</v>
      </c>
      <c r="G64" s="10" t="s">
        <v>805</v>
      </c>
      <c r="H64" s="2">
        <v>1</v>
      </c>
      <c r="J64" t="s">
        <v>1253</v>
      </c>
      <c r="K64" t="str">
        <f t="shared" si="1"/>
        <v>ANTIBIÓTICO</v>
      </c>
      <c r="L64">
        <v>1</v>
      </c>
    </row>
    <row r="65" spans="1:12" x14ac:dyDescent="0.3">
      <c r="A65" s="7" t="s">
        <v>1006</v>
      </c>
      <c r="B65" s="6" t="s">
        <v>1798</v>
      </c>
      <c r="G65" s="10" t="s">
        <v>1347</v>
      </c>
      <c r="H65" s="2">
        <v>2</v>
      </c>
      <c r="J65" t="s">
        <v>1255</v>
      </c>
      <c r="K65" t="str">
        <f t="shared" si="1"/>
        <v>MEDICAMENTO ANTIFLAMATORIO</v>
      </c>
      <c r="L65">
        <v>1</v>
      </c>
    </row>
    <row r="66" spans="1:12" x14ac:dyDescent="0.3">
      <c r="A66" s="7" t="s">
        <v>889</v>
      </c>
      <c r="B66" s="6" t="s">
        <v>2902</v>
      </c>
      <c r="G66" s="10" t="s">
        <v>1137</v>
      </c>
      <c r="H66" s="2">
        <v>1</v>
      </c>
      <c r="J66" t="s">
        <v>986</v>
      </c>
      <c r="K66" t="str">
        <f t="shared" si="1"/>
        <v>DESODORANTE PARA BAÑO</v>
      </c>
      <c r="L66">
        <v>1</v>
      </c>
    </row>
    <row r="67" spans="1:12" x14ac:dyDescent="0.3">
      <c r="A67" s="7" t="s">
        <v>949</v>
      </c>
      <c r="B67" s="6" t="s">
        <v>6707</v>
      </c>
      <c r="G67" s="10" t="s">
        <v>731</v>
      </c>
      <c r="H67" s="2">
        <v>1</v>
      </c>
      <c r="J67" t="s">
        <v>671</v>
      </c>
      <c r="K67" t="str">
        <f t="shared" si="1"/>
        <v>DETERGENTE DE ROPA</v>
      </c>
      <c r="L67">
        <v>1</v>
      </c>
    </row>
    <row r="68" spans="1:12" x14ac:dyDescent="0.3">
      <c r="A68" s="7" t="s">
        <v>1038</v>
      </c>
      <c r="B68" s="6" t="s">
        <v>3351</v>
      </c>
      <c r="G68" s="10" t="s">
        <v>995</v>
      </c>
      <c r="H68" s="2">
        <v>3</v>
      </c>
      <c r="J68" t="s">
        <v>672</v>
      </c>
      <c r="K68" t="str">
        <f t="shared" ref="K68:K81" si="2">+VLOOKUP(J68,$A$2:$B$138,2,FALSE)</f>
        <v>SUAVIZANTE DE ROPA</v>
      </c>
      <c r="L68">
        <v>1</v>
      </c>
    </row>
    <row r="69" spans="1:12" x14ac:dyDescent="0.3">
      <c r="A69" s="7" t="s">
        <v>1063</v>
      </c>
      <c r="B69" s="6" t="s">
        <v>6713</v>
      </c>
      <c r="G69" s="10" t="s">
        <v>948</v>
      </c>
      <c r="H69" s="2">
        <v>2</v>
      </c>
      <c r="J69" t="s">
        <v>1521</v>
      </c>
      <c r="K69" t="str">
        <f t="shared" si="2"/>
        <v>VASELINA</v>
      </c>
      <c r="L69">
        <v>1</v>
      </c>
    </row>
    <row r="70" spans="1:12" x14ac:dyDescent="0.3">
      <c r="A70" s="7" t="s">
        <v>1074</v>
      </c>
      <c r="B70" s="6" t="s">
        <v>2550</v>
      </c>
      <c r="G70" s="10" t="s">
        <v>6767</v>
      </c>
      <c r="H70" s="2">
        <v>1</v>
      </c>
      <c r="J70" t="s">
        <v>920</v>
      </c>
      <c r="K70" t="str">
        <f t="shared" si="2"/>
        <v>CERAS PARA PISOS</v>
      </c>
      <c r="L70">
        <v>1</v>
      </c>
    </row>
    <row r="71" spans="1:12" x14ac:dyDescent="0.3">
      <c r="A71" s="7" t="s">
        <v>1087</v>
      </c>
      <c r="B71" s="6" t="s">
        <v>1523</v>
      </c>
      <c r="G71" s="10" t="s">
        <v>6768</v>
      </c>
      <c r="H71" s="2">
        <v>1</v>
      </c>
      <c r="J71" t="s">
        <v>833</v>
      </c>
      <c r="K71" t="str">
        <f t="shared" si="2"/>
        <v>TARRINAS Y VASOS DE PLÁSTICO</v>
      </c>
      <c r="L71">
        <v>1</v>
      </c>
    </row>
    <row r="72" spans="1:12" x14ac:dyDescent="0.3">
      <c r="A72" s="7" t="s">
        <v>1099</v>
      </c>
      <c r="B72" s="6" t="s">
        <v>6715</v>
      </c>
      <c r="G72" s="10" t="s">
        <v>1025</v>
      </c>
      <c r="H72" s="2">
        <v>2</v>
      </c>
      <c r="J72" t="s">
        <v>805</v>
      </c>
      <c r="K72" t="str">
        <f t="shared" si="2"/>
        <v>INODORO</v>
      </c>
      <c r="L72">
        <v>1</v>
      </c>
    </row>
    <row r="73" spans="1:12" x14ac:dyDescent="0.3">
      <c r="A73" s="7" t="s">
        <v>1112</v>
      </c>
      <c r="B73" s="6" t="s">
        <v>6718</v>
      </c>
      <c r="G73" s="10" t="s">
        <v>1149</v>
      </c>
      <c r="H73" s="2">
        <v>1</v>
      </c>
      <c r="J73" t="s">
        <v>1137</v>
      </c>
      <c r="K73" t="str">
        <f t="shared" si="2"/>
        <v>IMPERPOL</v>
      </c>
      <c r="L73">
        <v>1</v>
      </c>
    </row>
    <row r="74" spans="1:12" x14ac:dyDescent="0.3">
      <c r="A74" s="7" t="s">
        <v>1123</v>
      </c>
      <c r="B74" s="6" t="s">
        <v>6720</v>
      </c>
      <c r="G74" s="10" t="s">
        <v>1150</v>
      </c>
      <c r="H74" s="2">
        <v>2</v>
      </c>
      <c r="J74" t="s">
        <v>731</v>
      </c>
      <c r="K74" t="str">
        <f t="shared" si="2"/>
        <v>BÍTUMEN/BETÚN (PARA CARRETERAS)</v>
      </c>
      <c r="L74">
        <v>1</v>
      </c>
    </row>
    <row r="75" spans="1:12" x14ac:dyDescent="0.3">
      <c r="A75" s="7" t="s">
        <v>731</v>
      </c>
      <c r="B75" s="6" t="s">
        <v>6725</v>
      </c>
      <c r="G75" s="10" t="s">
        <v>1326</v>
      </c>
      <c r="H75" s="2">
        <v>3</v>
      </c>
      <c r="J75" t="s">
        <v>6767</v>
      </c>
      <c r="K75" t="str">
        <f t="shared" si="2"/>
        <v>PERFIL I</v>
      </c>
      <c r="L75">
        <v>1</v>
      </c>
    </row>
    <row r="76" spans="1:12" x14ac:dyDescent="0.3">
      <c r="A76" s="7" t="s">
        <v>1150</v>
      </c>
      <c r="B76" s="6" t="s">
        <v>6728</v>
      </c>
      <c r="G76" s="10" t="s">
        <v>806</v>
      </c>
      <c r="H76" s="2">
        <v>1</v>
      </c>
      <c r="J76" t="s">
        <v>6768</v>
      </c>
      <c r="K76" t="str">
        <f t="shared" si="2"/>
        <v>PERFILES DE ACERO</v>
      </c>
      <c r="L76">
        <v>1</v>
      </c>
    </row>
    <row r="77" spans="1:12" x14ac:dyDescent="0.3">
      <c r="A77" s="7" t="s">
        <v>1199</v>
      </c>
      <c r="B77" s="6" t="s">
        <v>3364</v>
      </c>
      <c r="G77" s="10" t="s">
        <v>1112</v>
      </c>
      <c r="H77" s="2">
        <v>3</v>
      </c>
      <c r="J77" t="s">
        <v>1149</v>
      </c>
      <c r="K77" t="str">
        <f t="shared" si="2"/>
        <v>CUBIERTA DE ACERO</v>
      </c>
      <c r="L77">
        <v>1</v>
      </c>
    </row>
    <row r="78" spans="1:12" x14ac:dyDescent="0.3">
      <c r="A78" s="7" t="s">
        <v>637</v>
      </c>
      <c r="B78" s="6" t="s">
        <v>6729</v>
      </c>
      <c r="G78" s="10" t="s">
        <v>949</v>
      </c>
      <c r="H78" s="2">
        <v>2</v>
      </c>
      <c r="J78" t="s">
        <v>806</v>
      </c>
      <c r="K78" t="str">
        <f t="shared" si="2"/>
        <v>LAVAVO DE ALUMINIO</v>
      </c>
      <c r="L78">
        <v>1</v>
      </c>
    </row>
    <row r="79" spans="1:12" x14ac:dyDescent="0.3">
      <c r="A79" s="7" t="s">
        <v>879</v>
      </c>
      <c r="B79" s="6" t="s">
        <v>6702</v>
      </c>
      <c r="G79" s="10" t="s">
        <v>1038</v>
      </c>
      <c r="H79" s="2">
        <v>1</v>
      </c>
      <c r="J79" t="s">
        <v>1038</v>
      </c>
      <c r="K79" t="str">
        <f t="shared" si="2"/>
        <v>HORNO ELECTRICO</v>
      </c>
      <c r="L79">
        <v>1</v>
      </c>
    </row>
    <row r="80" spans="1:12" x14ac:dyDescent="0.3">
      <c r="A80" s="7" t="s">
        <v>1100</v>
      </c>
      <c r="B80" s="6" t="s">
        <v>6716</v>
      </c>
      <c r="G80" s="10" t="s">
        <v>1037</v>
      </c>
      <c r="H80" s="2">
        <v>1</v>
      </c>
      <c r="J80" t="s">
        <v>1037</v>
      </c>
      <c r="K80" t="str">
        <f t="shared" si="2"/>
        <v>COCINETA DE GAS</v>
      </c>
      <c r="L80">
        <v>1</v>
      </c>
    </row>
    <row r="81" spans="1:12" x14ac:dyDescent="0.3">
      <c r="A81" s="7" t="s">
        <v>699</v>
      </c>
      <c r="B81" s="6" t="s">
        <v>6730</v>
      </c>
      <c r="G81" s="10" t="s">
        <v>1111</v>
      </c>
      <c r="H81" s="2">
        <v>1</v>
      </c>
      <c r="J81" t="s">
        <v>1111</v>
      </c>
      <c r="K81" t="str">
        <f t="shared" si="2"/>
        <v>CABLE DE COBRE</v>
      </c>
      <c r="L81">
        <v>1</v>
      </c>
    </row>
    <row r="82" spans="1:12" x14ac:dyDescent="0.3">
      <c r="A82" s="7" t="s">
        <v>1277</v>
      </c>
      <c r="B82" s="6" t="s">
        <v>6736</v>
      </c>
      <c r="G82" s="10" t="s">
        <v>6964</v>
      </c>
      <c r="H82" s="2">
        <v>137</v>
      </c>
    </row>
    <row r="83" spans="1:12" x14ac:dyDescent="0.3">
      <c r="A83" s="7" t="s">
        <v>540</v>
      </c>
      <c r="B83" s="6" t="s">
        <v>2205</v>
      </c>
    </row>
    <row r="84" spans="1:12" x14ac:dyDescent="0.3">
      <c r="A84" s="7" t="s">
        <v>844</v>
      </c>
      <c r="B84" s="6" t="s">
        <v>6698</v>
      </c>
    </row>
    <row r="85" spans="1:12" x14ac:dyDescent="0.3">
      <c r="A85" s="7" t="s">
        <v>1305</v>
      </c>
      <c r="B85" s="6" t="s">
        <v>6737</v>
      </c>
    </row>
    <row r="86" spans="1:12" x14ac:dyDescent="0.3">
      <c r="A86" s="7" t="s">
        <v>637</v>
      </c>
      <c r="B86" s="6" t="s">
        <v>6729</v>
      </c>
    </row>
    <row r="87" spans="1:12" x14ac:dyDescent="0.3">
      <c r="A87" s="7" t="s">
        <v>1326</v>
      </c>
      <c r="B87" s="6" t="s">
        <v>6738</v>
      </c>
    </row>
    <row r="88" spans="1:12" x14ac:dyDescent="0.3">
      <c r="A88" s="7" t="s">
        <v>1347</v>
      </c>
      <c r="B88" s="6" t="s">
        <v>6739</v>
      </c>
    </row>
    <row r="89" spans="1:12" x14ac:dyDescent="0.3">
      <c r="A89" s="7" t="s">
        <v>1025</v>
      </c>
      <c r="B89" s="6" t="s">
        <v>6711</v>
      </c>
    </row>
    <row r="90" spans="1:12" x14ac:dyDescent="0.3">
      <c r="A90" s="7" t="s">
        <v>673</v>
      </c>
      <c r="B90" s="6" t="s">
        <v>2250</v>
      </c>
    </row>
    <row r="91" spans="1:12" x14ac:dyDescent="0.3">
      <c r="A91" s="7" t="s">
        <v>845</v>
      </c>
      <c r="B91" s="6" t="s">
        <v>6699</v>
      </c>
    </row>
    <row r="92" spans="1:12" x14ac:dyDescent="0.3">
      <c r="A92" s="7" t="s">
        <v>856</v>
      </c>
      <c r="B92" s="6" t="s">
        <v>5374</v>
      </c>
    </row>
    <row r="93" spans="1:12" x14ac:dyDescent="0.3">
      <c r="A93" s="7" t="s">
        <v>869</v>
      </c>
      <c r="B93" s="6" t="s">
        <v>6701</v>
      </c>
    </row>
    <row r="94" spans="1:12" x14ac:dyDescent="0.3">
      <c r="A94" s="7" t="s">
        <v>889</v>
      </c>
      <c r="B94" s="6" t="s">
        <v>2902</v>
      </c>
    </row>
    <row r="95" spans="1:12" x14ac:dyDescent="0.3">
      <c r="A95" s="7" t="s">
        <v>929</v>
      </c>
      <c r="B95" s="6" t="s">
        <v>1681</v>
      </c>
    </row>
    <row r="96" spans="1:12" x14ac:dyDescent="0.3">
      <c r="A96" s="7" t="s">
        <v>949</v>
      </c>
      <c r="B96" s="6" t="s">
        <v>6707</v>
      </c>
    </row>
    <row r="97" spans="1:2" x14ac:dyDescent="0.3">
      <c r="A97" s="7" t="s">
        <v>844</v>
      </c>
      <c r="B97" s="6" t="s">
        <v>6698</v>
      </c>
    </row>
    <row r="98" spans="1:2" x14ac:dyDescent="0.3">
      <c r="A98" s="7" t="s">
        <v>995</v>
      </c>
      <c r="B98" s="6" t="s">
        <v>6710</v>
      </c>
    </row>
    <row r="99" spans="1:2" x14ac:dyDescent="0.3">
      <c r="A99" s="7" t="s">
        <v>1006</v>
      </c>
      <c r="B99" s="6" t="s">
        <v>1798</v>
      </c>
    </row>
    <row r="100" spans="1:2" x14ac:dyDescent="0.3">
      <c r="A100" s="7" t="s">
        <v>889</v>
      </c>
      <c r="B100" s="6" t="s">
        <v>2902</v>
      </c>
    </row>
    <row r="101" spans="1:2" x14ac:dyDescent="0.3">
      <c r="A101" s="7" t="s">
        <v>1074</v>
      </c>
      <c r="B101" s="6" t="s">
        <v>2550</v>
      </c>
    </row>
    <row r="102" spans="1:2" x14ac:dyDescent="0.3">
      <c r="A102" s="7" t="s">
        <v>1088</v>
      </c>
      <c r="B102" s="6" t="s">
        <v>6714</v>
      </c>
    </row>
    <row r="103" spans="1:2" x14ac:dyDescent="0.3">
      <c r="A103" s="7" t="s">
        <v>1100</v>
      </c>
      <c r="B103" s="6" t="s">
        <v>6716</v>
      </c>
    </row>
    <row r="104" spans="1:2" x14ac:dyDescent="0.3">
      <c r="A104" s="7" t="s">
        <v>1112</v>
      </c>
      <c r="B104" s="6" t="s">
        <v>6718</v>
      </c>
    </row>
    <row r="105" spans="1:2" x14ac:dyDescent="0.3">
      <c r="A105" s="7" t="s">
        <v>1124</v>
      </c>
      <c r="B105" s="6" t="s">
        <v>6721</v>
      </c>
    </row>
    <row r="106" spans="1:2" x14ac:dyDescent="0.3">
      <c r="A106" s="7" t="s">
        <v>1138</v>
      </c>
      <c r="B106" s="6" t="s">
        <v>6726</v>
      </c>
    </row>
    <row r="107" spans="1:2" x14ac:dyDescent="0.3">
      <c r="A107" s="7" t="s">
        <v>1200</v>
      </c>
      <c r="B107" s="6" t="s">
        <v>3365</v>
      </c>
    </row>
    <row r="108" spans="1:2" x14ac:dyDescent="0.3">
      <c r="A108" s="7" t="s">
        <v>1212</v>
      </c>
      <c r="B108" s="6" t="s">
        <v>1853</v>
      </c>
    </row>
    <row r="109" spans="1:2" x14ac:dyDescent="0.3">
      <c r="A109" s="7" t="s">
        <v>217</v>
      </c>
      <c r="B109" s="6" t="s">
        <v>6703</v>
      </c>
    </row>
    <row r="110" spans="1:2" x14ac:dyDescent="0.3">
      <c r="A110" s="7" t="s">
        <v>1099</v>
      </c>
      <c r="B110" s="6" t="s">
        <v>6715</v>
      </c>
    </row>
    <row r="111" spans="1:2" x14ac:dyDescent="0.3">
      <c r="A111" s="7" t="s">
        <v>1253</v>
      </c>
      <c r="B111" s="6" t="s">
        <v>6732</v>
      </c>
    </row>
    <row r="112" spans="1:2" x14ac:dyDescent="0.3">
      <c r="A112" s="7" t="s">
        <v>540</v>
      </c>
      <c r="B112" s="6" t="s">
        <v>2205</v>
      </c>
    </row>
    <row r="113" spans="1:2" x14ac:dyDescent="0.3">
      <c r="A113" s="7" t="s">
        <v>636</v>
      </c>
      <c r="B113" s="6" t="s">
        <v>3354</v>
      </c>
    </row>
    <row r="114" spans="1:2" x14ac:dyDescent="0.3">
      <c r="A114" s="7" t="s">
        <v>1326</v>
      </c>
      <c r="B114" s="6" t="s">
        <v>6738</v>
      </c>
    </row>
    <row r="115" spans="1:2" x14ac:dyDescent="0.3">
      <c r="A115" s="7" t="s">
        <v>1150</v>
      </c>
      <c r="B115" s="6" t="s">
        <v>6728</v>
      </c>
    </row>
    <row r="116" spans="1:2" x14ac:dyDescent="0.3">
      <c r="A116" s="7" t="s">
        <v>792</v>
      </c>
      <c r="B116" s="6" t="s">
        <v>6693</v>
      </c>
    </row>
    <row r="117" spans="1:2" x14ac:dyDescent="0.3">
      <c r="A117" s="7" t="s">
        <v>792</v>
      </c>
      <c r="B117" s="6" t="s">
        <v>6693</v>
      </c>
    </row>
    <row r="118" spans="1:2" x14ac:dyDescent="0.3">
      <c r="A118" s="7" t="s">
        <v>869</v>
      </c>
      <c r="B118" s="6" t="s">
        <v>6701</v>
      </c>
    </row>
    <row r="119" spans="1:2" x14ac:dyDescent="0.3">
      <c r="A119" s="7" t="s">
        <v>889</v>
      </c>
      <c r="B119" s="6" t="s">
        <v>2902</v>
      </c>
    </row>
    <row r="120" spans="1:2" x14ac:dyDescent="0.3">
      <c r="A120" s="7" t="s">
        <v>180</v>
      </c>
      <c r="B120" s="6" t="s">
        <v>6705</v>
      </c>
    </row>
    <row r="121" spans="1:2" x14ac:dyDescent="0.3">
      <c r="A121" s="7" t="s">
        <v>792</v>
      </c>
      <c r="B121" s="6" t="s">
        <v>6693</v>
      </c>
    </row>
    <row r="122" spans="1:2" x14ac:dyDescent="0.3">
      <c r="A122" s="7" t="s">
        <v>889</v>
      </c>
      <c r="B122" s="6" t="s">
        <v>2902</v>
      </c>
    </row>
    <row r="123" spans="1:2" x14ac:dyDescent="0.3">
      <c r="A123" s="7" t="s">
        <v>564</v>
      </c>
      <c r="B123" s="6" t="s">
        <v>2655</v>
      </c>
    </row>
    <row r="124" spans="1:2" x14ac:dyDescent="0.3">
      <c r="A124" s="7" t="s">
        <v>1088</v>
      </c>
      <c r="B124" s="6" t="s">
        <v>6714</v>
      </c>
    </row>
    <row r="125" spans="1:2" x14ac:dyDescent="0.3">
      <c r="A125" s="7" t="s">
        <v>1112</v>
      </c>
      <c r="B125" s="6" t="s">
        <v>6718</v>
      </c>
    </row>
    <row r="126" spans="1:2" x14ac:dyDescent="0.3">
      <c r="A126" s="7" t="s">
        <v>1125</v>
      </c>
      <c r="B126" s="6" t="s">
        <v>6722</v>
      </c>
    </row>
    <row r="127" spans="1:2" x14ac:dyDescent="0.3">
      <c r="A127" s="7" t="s">
        <v>1201</v>
      </c>
      <c r="B127" s="6" t="s">
        <v>2197</v>
      </c>
    </row>
    <row r="128" spans="1:2" x14ac:dyDescent="0.3">
      <c r="A128" s="7" t="s">
        <v>217</v>
      </c>
      <c r="B128" s="6" t="s">
        <v>6703</v>
      </c>
    </row>
    <row r="129" spans="1:2" x14ac:dyDescent="0.3">
      <c r="A129" s="7" t="s">
        <v>1254</v>
      </c>
      <c r="B129" s="6" t="s">
        <v>6733</v>
      </c>
    </row>
    <row r="130" spans="1:2" x14ac:dyDescent="0.3">
      <c r="A130" s="7" t="s">
        <v>6768</v>
      </c>
      <c r="B130" s="6" t="s">
        <v>6772</v>
      </c>
    </row>
    <row r="131" spans="1:2" x14ac:dyDescent="0.3">
      <c r="A131" s="7" t="s">
        <v>793</v>
      </c>
      <c r="B131" s="6" t="s">
        <v>6694</v>
      </c>
    </row>
    <row r="132" spans="1:2" x14ac:dyDescent="0.3">
      <c r="A132" s="7" t="s">
        <v>793</v>
      </c>
      <c r="B132" s="6" t="s">
        <v>6694</v>
      </c>
    </row>
    <row r="133" spans="1:2" x14ac:dyDescent="0.3">
      <c r="A133" s="7" t="s">
        <v>564</v>
      </c>
      <c r="B133" s="6" t="s">
        <v>2655</v>
      </c>
    </row>
    <row r="134" spans="1:2" x14ac:dyDescent="0.3">
      <c r="A134" s="7" t="s">
        <v>1088</v>
      </c>
      <c r="B134" s="6" t="s">
        <v>6714</v>
      </c>
    </row>
    <row r="135" spans="1:2" x14ac:dyDescent="0.3">
      <c r="A135" s="7" t="s">
        <v>1126</v>
      </c>
      <c r="B135" s="6" t="s">
        <v>6723</v>
      </c>
    </row>
    <row r="136" spans="1:2" x14ac:dyDescent="0.3">
      <c r="A136" s="7" t="s">
        <v>1255</v>
      </c>
      <c r="B136" s="6" t="s">
        <v>6734</v>
      </c>
    </row>
    <row r="137" spans="1:2" x14ac:dyDescent="0.3">
      <c r="A137" s="7" t="s">
        <v>1521</v>
      </c>
      <c r="B137" s="6" t="s">
        <v>1522</v>
      </c>
    </row>
    <row r="138" spans="1:2" x14ac:dyDescent="0.3">
      <c r="A138" s="7" t="s">
        <v>1087</v>
      </c>
      <c r="B138" s="6" t="s">
        <v>1523</v>
      </c>
    </row>
  </sheetData>
  <autoFilter ref="J3:L3">
    <sortState ref="J4:L81">
      <sortCondition descending="1" ref="L3"/>
    </sortState>
  </autoFilter>
  <dataValidations count="1">
    <dataValidation type="list" allowBlank="1" showInputMessage="1" showErrorMessage="1" sqref="A137:A138">
      <formula1>#REF!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'[2]Catálogo de productos'!#REF!</xm:f>
          </x14:formula1>
          <xm:sqref>A130 A115 A89 A49</xm:sqref>
        </x14:dataValidation>
        <x14:dataValidation type="list" allowBlank="1" showInputMessage="1" showErrorMessage="1">
          <x14:formula1>
            <xm:f>'[6]Catálogo de productos'!#REF!</xm:f>
          </x14:formula1>
          <xm:sqref>A131:A136 A116:A129 A90:A114 A50:A88 A2:A47</xm:sqref>
        </x14:dataValidation>
        <x14:dataValidation type="list" allowBlank="1" showInputMessage="1" showErrorMessage="1">
          <x14:formula1>
            <xm:f>'[4]Catálogo de productos'!#REF!</xm:f>
          </x14:formula1>
          <xm:sqref>A48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1"/>
  <sheetViews>
    <sheetView topLeftCell="A13" workbookViewId="0">
      <selection activeCell="A3" sqref="A3:B31"/>
    </sheetView>
  </sheetViews>
  <sheetFormatPr baseColWidth="10" defaultRowHeight="14.4" x14ac:dyDescent="0.3"/>
  <cols>
    <col min="2" max="2" width="38.44140625" bestFit="1" customWidth="1"/>
    <col min="5" max="5" width="16.5546875" bestFit="1" customWidth="1"/>
    <col min="6" max="6" width="37.77734375" bestFit="1" customWidth="1"/>
  </cols>
  <sheetData>
    <row r="2" spans="1:10" ht="30.6" x14ac:dyDescent="0.3">
      <c r="A2" s="4" t="s">
        <v>40</v>
      </c>
      <c r="B2" s="4" t="s">
        <v>41</v>
      </c>
    </row>
    <row r="3" spans="1:10" x14ac:dyDescent="0.3">
      <c r="A3" s="5" t="s">
        <v>602</v>
      </c>
      <c r="B3" s="5" t="s">
        <v>2814</v>
      </c>
    </row>
    <row r="4" spans="1:10" x14ac:dyDescent="0.3">
      <c r="A4" s="5" t="s">
        <v>2444</v>
      </c>
      <c r="B4" s="5" t="s">
        <v>2445</v>
      </c>
      <c r="E4" s="9" t="s">
        <v>6963</v>
      </c>
      <c r="F4" t="s">
        <v>7077</v>
      </c>
      <c r="H4" t="s">
        <v>6963</v>
      </c>
      <c r="J4" t="s">
        <v>7077</v>
      </c>
    </row>
    <row r="5" spans="1:10" x14ac:dyDescent="0.3">
      <c r="A5" s="5" t="s">
        <v>540</v>
      </c>
      <c r="B5" s="5" t="s">
        <v>2205</v>
      </c>
      <c r="E5" s="10" t="s">
        <v>2444</v>
      </c>
      <c r="F5" s="2">
        <v>1</v>
      </c>
      <c r="H5" t="s">
        <v>6964</v>
      </c>
      <c r="J5">
        <v>29</v>
      </c>
    </row>
    <row r="6" spans="1:10" x14ac:dyDescent="0.3">
      <c r="A6" s="5" t="s">
        <v>2506</v>
      </c>
      <c r="B6" s="5" t="s">
        <v>2507</v>
      </c>
      <c r="E6" s="10" t="s">
        <v>1434</v>
      </c>
      <c r="F6" s="2">
        <v>1</v>
      </c>
      <c r="H6" t="s">
        <v>540</v>
      </c>
      <c r="I6" t="str">
        <f>+VLOOKUP(H6,$A$5:$B$31,2,FALSE)</f>
        <v>TELA DE PUNTO POLIESTER</v>
      </c>
      <c r="J6">
        <v>3</v>
      </c>
    </row>
    <row r="7" spans="1:10" x14ac:dyDescent="0.3">
      <c r="A7" s="5" t="s">
        <v>2856</v>
      </c>
      <c r="B7" s="5" t="s">
        <v>2857</v>
      </c>
      <c r="E7" s="10" t="s">
        <v>1436</v>
      </c>
      <c r="F7" s="2">
        <v>1</v>
      </c>
      <c r="H7" t="s">
        <v>1720</v>
      </c>
      <c r="I7" t="str">
        <f t="shared" ref="I7:I29" si="0">+VLOOKUP(H7,$A$5:$B$31,2,FALSE)</f>
        <v>CALZONARIA PARA MUJER ALGODÓN</v>
      </c>
      <c r="J7">
        <v>2</v>
      </c>
    </row>
    <row r="8" spans="1:10" x14ac:dyDescent="0.3">
      <c r="A8" s="5" t="s">
        <v>564</v>
      </c>
      <c r="B8" s="5" t="s">
        <v>2655</v>
      </c>
      <c r="E8" s="10" t="s">
        <v>2826</v>
      </c>
      <c r="F8" s="2">
        <v>1</v>
      </c>
      <c r="H8" t="s">
        <v>2469</v>
      </c>
      <c r="I8" t="str">
        <f t="shared" si="0"/>
        <v>BIVIDÍ</v>
      </c>
      <c r="J8">
        <v>2</v>
      </c>
    </row>
    <row r="9" spans="1:10" x14ac:dyDescent="0.3">
      <c r="A9" s="5" t="s">
        <v>2888</v>
      </c>
      <c r="B9" s="5" t="s">
        <v>2889</v>
      </c>
      <c r="E9" s="10" t="s">
        <v>889</v>
      </c>
      <c r="F9" s="2">
        <v>1</v>
      </c>
      <c r="H9" t="s">
        <v>616</v>
      </c>
      <c r="I9" t="str">
        <f t="shared" si="0"/>
        <v>ZAPATOS DE CUERO PARA HOMBRE Y MUJER</v>
      </c>
      <c r="J9">
        <v>2</v>
      </c>
    </row>
    <row r="10" spans="1:10" x14ac:dyDescent="0.3">
      <c r="A10" s="5" t="s">
        <v>2469</v>
      </c>
      <c r="B10" s="5" t="s">
        <v>2470</v>
      </c>
      <c r="E10" s="10" t="s">
        <v>564</v>
      </c>
      <c r="F10" s="2">
        <v>1</v>
      </c>
      <c r="H10" t="s">
        <v>2444</v>
      </c>
      <c r="I10" t="e">
        <f t="shared" si="0"/>
        <v>#N/A</v>
      </c>
      <c r="J10">
        <v>1</v>
      </c>
    </row>
    <row r="11" spans="1:10" x14ac:dyDescent="0.3">
      <c r="A11" s="5" t="s">
        <v>889</v>
      </c>
      <c r="B11" s="5" t="s">
        <v>2902</v>
      </c>
      <c r="E11" s="10" t="s">
        <v>540</v>
      </c>
      <c r="F11" s="2">
        <v>3</v>
      </c>
      <c r="H11" t="s">
        <v>1434</v>
      </c>
      <c r="I11" t="str">
        <f t="shared" si="0"/>
        <v>RON</v>
      </c>
      <c r="J11">
        <v>1</v>
      </c>
    </row>
    <row r="12" spans="1:10" x14ac:dyDescent="0.3">
      <c r="A12" s="5" t="s">
        <v>616</v>
      </c>
      <c r="B12" s="5" t="s">
        <v>2815</v>
      </c>
      <c r="E12" s="10" t="s">
        <v>2473</v>
      </c>
      <c r="F12" s="2">
        <v>1</v>
      </c>
      <c r="H12" t="s">
        <v>1436</v>
      </c>
      <c r="I12" t="str">
        <f t="shared" si="0"/>
        <v>VODKA</v>
      </c>
      <c r="J12">
        <v>1</v>
      </c>
    </row>
    <row r="13" spans="1:10" x14ac:dyDescent="0.3">
      <c r="A13" s="5" t="s">
        <v>1434</v>
      </c>
      <c r="B13" s="5" t="s">
        <v>1435</v>
      </c>
      <c r="E13" s="10" t="s">
        <v>2483</v>
      </c>
      <c r="F13" s="2">
        <v>1</v>
      </c>
      <c r="H13" t="s">
        <v>2826</v>
      </c>
      <c r="I13" t="str">
        <f t="shared" si="0"/>
        <v>LICORES</v>
      </c>
      <c r="J13">
        <v>1</v>
      </c>
    </row>
    <row r="14" spans="1:10" x14ac:dyDescent="0.3">
      <c r="A14" s="5" t="s">
        <v>2483</v>
      </c>
      <c r="B14" s="5" t="s">
        <v>2484</v>
      </c>
      <c r="E14" s="10" t="s">
        <v>1720</v>
      </c>
      <c r="F14" s="2">
        <v>2</v>
      </c>
      <c r="H14" t="s">
        <v>889</v>
      </c>
      <c r="I14" t="str">
        <f t="shared" si="0"/>
        <v>TELA DE ALGODÓN CON FIBRA SINTÉTICA</v>
      </c>
      <c r="J14">
        <v>1</v>
      </c>
    </row>
    <row r="15" spans="1:10" x14ac:dyDescent="0.3">
      <c r="A15" s="5" t="s">
        <v>2858</v>
      </c>
      <c r="B15" s="5" t="s">
        <v>2859</v>
      </c>
      <c r="E15" s="10" t="s">
        <v>2475</v>
      </c>
      <c r="F15" s="2">
        <v>1</v>
      </c>
      <c r="H15" t="s">
        <v>564</v>
      </c>
      <c r="I15" t="str">
        <f t="shared" si="0"/>
        <v>TELA POLIESTER</v>
      </c>
      <c r="J15">
        <v>1</v>
      </c>
    </row>
    <row r="16" spans="1:10" x14ac:dyDescent="0.3">
      <c r="A16" s="5" t="s">
        <v>540</v>
      </c>
      <c r="B16" s="5" t="s">
        <v>2205</v>
      </c>
      <c r="E16" s="10" t="s">
        <v>2469</v>
      </c>
      <c r="F16" s="2">
        <v>2</v>
      </c>
      <c r="H16" t="s">
        <v>2473</v>
      </c>
      <c r="I16" t="str">
        <f t="shared" si="0"/>
        <v>CAMISETA DEPORTIVA DE HOMBRE</v>
      </c>
      <c r="J16">
        <v>1</v>
      </c>
    </row>
    <row r="17" spans="1:10" x14ac:dyDescent="0.3">
      <c r="A17" s="5" t="s">
        <v>616</v>
      </c>
      <c r="B17" s="5" t="s">
        <v>2815</v>
      </c>
      <c r="E17" s="10" t="s">
        <v>2471</v>
      </c>
      <c r="F17" s="2">
        <v>1</v>
      </c>
      <c r="H17" t="s">
        <v>2483</v>
      </c>
      <c r="I17" t="str">
        <f t="shared" si="0"/>
        <v>CALZONCILLO PARA HOMBRE ALGODÓN</v>
      </c>
      <c r="J17">
        <v>1</v>
      </c>
    </row>
    <row r="18" spans="1:10" x14ac:dyDescent="0.3">
      <c r="A18" s="5" t="s">
        <v>2471</v>
      </c>
      <c r="B18" s="5" t="s">
        <v>2472</v>
      </c>
      <c r="E18" s="10" t="s">
        <v>2506</v>
      </c>
      <c r="F18" s="2">
        <v>1</v>
      </c>
      <c r="H18" t="s">
        <v>2475</v>
      </c>
      <c r="I18" t="str">
        <f t="shared" si="0"/>
        <v>CAMISETA DE HOMBRE DE ALGODÓN</v>
      </c>
      <c r="J18">
        <v>1</v>
      </c>
    </row>
    <row r="19" spans="1:10" x14ac:dyDescent="0.3">
      <c r="A19" s="5" t="s">
        <v>1436</v>
      </c>
      <c r="B19" s="5" t="s">
        <v>1437</v>
      </c>
      <c r="E19" s="10" t="s">
        <v>2890</v>
      </c>
      <c r="F19" s="2">
        <v>1</v>
      </c>
      <c r="H19" t="s">
        <v>2471</v>
      </c>
      <c r="I19" t="str">
        <f t="shared" si="0"/>
        <v>BLUSA PARA MUJER</v>
      </c>
      <c r="J19">
        <v>1</v>
      </c>
    </row>
    <row r="20" spans="1:10" x14ac:dyDescent="0.3">
      <c r="A20" s="5" t="s">
        <v>2469</v>
      </c>
      <c r="B20" s="5" t="s">
        <v>2470</v>
      </c>
      <c r="E20" s="10" t="s">
        <v>2888</v>
      </c>
      <c r="F20" s="2">
        <v>1</v>
      </c>
      <c r="H20" t="s">
        <v>2506</v>
      </c>
      <c r="I20" t="str">
        <f t="shared" si="0"/>
        <v>CUERO DIVIDIDO</v>
      </c>
      <c r="J20">
        <v>1</v>
      </c>
    </row>
    <row r="21" spans="1:10" x14ac:dyDescent="0.3">
      <c r="A21" s="5" t="s">
        <v>2860</v>
      </c>
      <c r="B21" s="5" t="s">
        <v>2861</v>
      </c>
      <c r="E21" s="10" t="s">
        <v>602</v>
      </c>
      <c r="F21" s="2">
        <v>1</v>
      </c>
      <c r="H21" t="s">
        <v>2890</v>
      </c>
      <c r="I21" t="str">
        <f t="shared" si="0"/>
        <v>BOTAS DE CAUCHO</v>
      </c>
      <c r="J21">
        <v>1</v>
      </c>
    </row>
    <row r="22" spans="1:10" x14ac:dyDescent="0.3">
      <c r="A22" s="5" t="s">
        <v>540</v>
      </c>
      <c r="B22" s="5" t="s">
        <v>2205</v>
      </c>
      <c r="E22" s="10" t="s">
        <v>616</v>
      </c>
      <c r="F22" s="2">
        <v>2</v>
      </c>
      <c r="H22" t="s">
        <v>2888</v>
      </c>
      <c r="I22" t="str">
        <f t="shared" si="0"/>
        <v>ZAPATOS PARA MUJER</v>
      </c>
      <c r="J22">
        <v>1</v>
      </c>
    </row>
    <row r="23" spans="1:10" x14ac:dyDescent="0.3">
      <c r="A23" s="5" t="s">
        <v>615</v>
      </c>
      <c r="B23" s="5" t="s">
        <v>2702</v>
      </c>
      <c r="E23" s="10" t="s">
        <v>615</v>
      </c>
      <c r="F23" s="2">
        <v>1</v>
      </c>
      <c r="H23" t="s">
        <v>602</v>
      </c>
      <c r="I23" t="e">
        <f t="shared" si="0"/>
        <v>#N/A</v>
      </c>
      <c r="J23">
        <v>1</v>
      </c>
    </row>
    <row r="24" spans="1:10" x14ac:dyDescent="0.3">
      <c r="A24" s="5" t="s">
        <v>2473</v>
      </c>
      <c r="B24" s="5" t="s">
        <v>2474</v>
      </c>
      <c r="E24" s="10" t="s">
        <v>2858</v>
      </c>
      <c r="F24" s="2">
        <v>1</v>
      </c>
      <c r="H24" t="s">
        <v>615</v>
      </c>
      <c r="I24" t="str">
        <f t="shared" si="0"/>
        <v>CALZADO DE LONA</v>
      </c>
      <c r="J24">
        <v>1</v>
      </c>
    </row>
    <row r="25" spans="1:10" x14ac:dyDescent="0.3">
      <c r="A25" s="5" t="s">
        <v>2826</v>
      </c>
      <c r="B25" s="5" t="s">
        <v>2827</v>
      </c>
      <c r="E25" s="10" t="s">
        <v>2864</v>
      </c>
      <c r="F25" s="2">
        <v>1</v>
      </c>
      <c r="H25" t="s">
        <v>2858</v>
      </c>
      <c r="I25" t="str">
        <f t="shared" si="0"/>
        <v>PARACETAMOL</v>
      </c>
      <c r="J25">
        <v>1</v>
      </c>
    </row>
    <row r="26" spans="1:10" x14ac:dyDescent="0.3">
      <c r="A26" s="5" t="s">
        <v>1720</v>
      </c>
      <c r="B26" s="5" t="s">
        <v>1721</v>
      </c>
      <c r="E26" s="10" t="s">
        <v>2856</v>
      </c>
      <c r="F26" s="2">
        <v>1</v>
      </c>
      <c r="H26" t="s">
        <v>2864</v>
      </c>
      <c r="I26" t="str">
        <f t="shared" si="0"/>
        <v>ANTIGRIPALES</v>
      </c>
      <c r="J26">
        <v>1</v>
      </c>
    </row>
    <row r="27" spans="1:10" x14ac:dyDescent="0.3">
      <c r="A27" s="5" t="s">
        <v>2862</v>
      </c>
      <c r="B27" s="5" t="s">
        <v>2863</v>
      </c>
      <c r="E27" s="10" t="s">
        <v>2860</v>
      </c>
      <c r="F27" s="2">
        <v>1</v>
      </c>
      <c r="H27" t="s">
        <v>2856</v>
      </c>
      <c r="I27" t="str">
        <f t="shared" si="0"/>
        <v>ANTIÁCIDOS (A02A)</v>
      </c>
      <c r="J27">
        <v>1</v>
      </c>
    </row>
    <row r="28" spans="1:10" x14ac:dyDescent="0.3">
      <c r="A28" s="5" t="s">
        <v>2890</v>
      </c>
      <c r="B28" s="5" t="s">
        <v>2891</v>
      </c>
      <c r="E28" s="10" t="s">
        <v>2862</v>
      </c>
      <c r="F28" s="2">
        <v>1</v>
      </c>
      <c r="H28" t="s">
        <v>2860</v>
      </c>
      <c r="I28" t="str">
        <f t="shared" si="0"/>
        <v>METRONIDAZOL</v>
      </c>
      <c r="J28">
        <v>1</v>
      </c>
    </row>
    <row r="29" spans="1:10" x14ac:dyDescent="0.3">
      <c r="A29" s="5" t="s">
        <v>1720</v>
      </c>
      <c r="B29" s="5" t="s">
        <v>1721</v>
      </c>
      <c r="E29" s="10" t="s">
        <v>6964</v>
      </c>
      <c r="F29" s="2">
        <v>29</v>
      </c>
      <c r="H29" t="s">
        <v>2862</v>
      </c>
      <c r="I29" t="str">
        <f t="shared" si="0"/>
        <v>SECNIDAZOL</v>
      </c>
      <c r="J29">
        <v>1</v>
      </c>
    </row>
    <row r="30" spans="1:10" x14ac:dyDescent="0.3">
      <c r="A30" s="5" t="s">
        <v>2864</v>
      </c>
      <c r="B30" s="5" t="s">
        <v>2865</v>
      </c>
    </row>
    <row r="31" spans="1:10" x14ac:dyDescent="0.3">
      <c r="A31" s="5" t="s">
        <v>2475</v>
      </c>
      <c r="B31" s="5" t="s">
        <v>2476</v>
      </c>
    </row>
  </sheetData>
  <autoFilter ref="H4:J4">
    <sortState ref="H5:J29">
      <sortCondition descending="1" ref="J4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39"/>
  <sheetViews>
    <sheetView topLeftCell="A121" workbookViewId="0">
      <selection activeCell="B3" sqref="B3:C139"/>
    </sheetView>
  </sheetViews>
  <sheetFormatPr baseColWidth="10" defaultRowHeight="14.4" x14ac:dyDescent="0.3"/>
  <cols>
    <col min="3" max="3" width="43" bestFit="1" customWidth="1"/>
    <col min="5" max="5" width="16.5546875" bestFit="1" customWidth="1"/>
    <col min="6" max="6" width="37.77734375" bestFit="1" customWidth="1"/>
  </cols>
  <sheetData>
    <row r="2" spans="2:10" ht="30.6" x14ac:dyDescent="0.3">
      <c r="B2" s="4" t="s">
        <v>40</v>
      </c>
      <c r="C2" s="4" t="s">
        <v>41</v>
      </c>
    </row>
    <row r="3" spans="2:10" x14ac:dyDescent="0.3">
      <c r="B3" s="5" t="s">
        <v>699</v>
      </c>
      <c r="C3" s="5" t="s">
        <v>6730</v>
      </c>
      <c r="E3" s="9" t="s">
        <v>6963</v>
      </c>
      <c r="F3" t="s">
        <v>7077</v>
      </c>
      <c r="H3" t="s">
        <v>6963</v>
      </c>
      <c r="I3" t="s">
        <v>7080</v>
      </c>
      <c r="J3" t="s">
        <v>7077</v>
      </c>
    </row>
    <row r="4" spans="2:10" x14ac:dyDescent="0.3">
      <c r="B4" s="5" t="s">
        <v>6788</v>
      </c>
      <c r="C4" s="5" t="s">
        <v>6789</v>
      </c>
      <c r="E4" s="10" t="s">
        <v>6833</v>
      </c>
      <c r="F4" s="2">
        <v>1</v>
      </c>
      <c r="H4" t="s">
        <v>4315</v>
      </c>
      <c r="I4" t="str">
        <f>+VLOOKUP(H4,$B$3:C$139,2,FALSE)</f>
        <v xml:space="preserve">HARINA DE PESCADO </v>
      </c>
      <c r="J4">
        <v>7</v>
      </c>
    </row>
    <row r="5" spans="2:10" x14ac:dyDescent="0.3">
      <c r="B5" s="3" t="s">
        <v>2712</v>
      </c>
      <c r="C5" s="3" t="s">
        <v>7070</v>
      </c>
      <c r="E5" s="10" t="s">
        <v>6986</v>
      </c>
      <c r="F5" s="2">
        <v>2</v>
      </c>
      <c r="H5" t="s">
        <v>6132</v>
      </c>
      <c r="I5" t="str">
        <f>+VLOOKUP(H5,$B$3:C$139,2,FALSE)</f>
        <v>ACEITE DE PESCADO</v>
      </c>
      <c r="J5">
        <v>4</v>
      </c>
    </row>
    <row r="6" spans="2:10" x14ac:dyDescent="0.3">
      <c r="B6" s="3" t="s">
        <v>1277</v>
      </c>
      <c r="C6" s="3" t="s">
        <v>6736</v>
      </c>
      <c r="E6" s="10" t="s">
        <v>7051</v>
      </c>
      <c r="F6" s="2">
        <v>1</v>
      </c>
      <c r="H6" t="s">
        <v>637</v>
      </c>
      <c r="I6" t="str">
        <f>+VLOOKUP(H6,$B$3:C$139,2,FALSE)</f>
        <v>DILUYENTE</v>
      </c>
      <c r="J6">
        <v>4</v>
      </c>
    </row>
    <row r="7" spans="2:10" x14ac:dyDescent="0.3">
      <c r="B7" s="5" t="s">
        <v>4828</v>
      </c>
      <c r="C7" s="5" t="s">
        <v>4829</v>
      </c>
      <c r="E7" s="10" t="s">
        <v>6991</v>
      </c>
      <c r="F7" s="2">
        <v>2</v>
      </c>
      <c r="H7" t="s">
        <v>386</v>
      </c>
      <c r="I7" t="str">
        <f>+VLOOKUP(H7,$B$3:C$139,2,FALSE)</f>
        <v>ACEITE CRUDO DE PALMA AFRICANA</v>
      </c>
      <c r="J7">
        <v>3</v>
      </c>
    </row>
    <row r="8" spans="2:10" x14ac:dyDescent="0.3">
      <c r="B8" s="3" t="s">
        <v>7065</v>
      </c>
      <c r="C8" s="3" t="s">
        <v>7066</v>
      </c>
      <c r="E8" s="10" t="s">
        <v>6988</v>
      </c>
      <c r="F8" s="2">
        <v>2</v>
      </c>
      <c r="H8" t="s">
        <v>6414</v>
      </c>
      <c r="I8" t="str">
        <f>+VLOOKUP(H8,$B$3:C$139,2,FALSE)</f>
        <v>ACEITE DE PALMISTE</v>
      </c>
      <c r="J8">
        <v>3</v>
      </c>
    </row>
    <row r="9" spans="2:10" x14ac:dyDescent="0.3">
      <c r="B9" s="3" t="s">
        <v>7065</v>
      </c>
      <c r="C9" s="3" t="s">
        <v>7066</v>
      </c>
      <c r="E9" s="10" t="s">
        <v>3242</v>
      </c>
      <c r="F9" s="2">
        <v>1</v>
      </c>
      <c r="H9" t="s">
        <v>879</v>
      </c>
      <c r="I9" t="str">
        <f>+VLOOKUP(H9,$B$3:C$139,2,FALSE)</f>
        <v>PAPEL HIGIÉNICO</v>
      </c>
      <c r="J9">
        <v>3</v>
      </c>
    </row>
    <row r="10" spans="2:10" x14ac:dyDescent="0.3">
      <c r="B10" s="5" t="s">
        <v>743</v>
      </c>
      <c r="C10" s="5" t="s">
        <v>6749</v>
      </c>
      <c r="E10" s="10" t="s">
        <v>7076</v>
      </c>
      <c r="F10" s="2">
        <v>1</v>
      </c>
      <c r="H10" t="s">
        <v>6877</v>
      </c>
      <c r="I10" t="str">
        <f>+VLOOKUP(H10,$B$3:C$139,2,FALSE)</f>
        <v>AMOXICILINA</v>
      </c>
      <c r="J10">
        <v>3</v>
      </c>
    </row>
    <row r="11" spans="2:10" x14ac:dyDescent="0.3">
      <c r="B11" s="5" t="s">
        <v>1111</v>
      </c>
      <c r="C11" s="5" t="s">
        <v>6717</v>
      </c>
      <c r="E11" s="10" t="s">
        <v>7065</v>
      </c>
      <c r="F11" s="2">
        <v>2</v>
      </c>
      <c r="H11" t="s">
        <v>6766</v>
      </c>
      <c r="I11" t="str">
        <f>+VLOOKUP(H11,$B$3:C$139,2,FALSE)</f>
        <v>ANTIGRIPALES</v>
      </c>
      <c r="J11">
        <v>3</v>
      </c>
    </row>
    <row r="12" spans="2:10" x14ac:dyDescent="0.3">
      <c r="B12" s="5" t="s">
        <v>6803</v>
      </c>
      <c r="C12" s="5" t="s">
        <v>6804</v>
      </c>
      <c r="E12" s="10" t="s">
        <v>7032</v>
      </c>
      <c r="F12" s="2">
        <v>1</v>
      </c>
      <c r="H12" t="s">
        <v>671</v>
      </c>
      <c r="I12" t="str">
        <f>+VLOOKUP(H12,$B$3:C$139,2,FALSE)</f>
        <v>DETERGENTE DE ROPA</v>
      </c>
      <c r="J12">
        <v>3</v>
      </c>
    </row>
    <row r="13" spans="2:10" x14ac:dyDescent="0.3">
      <c r="B13" s="3" t="s">
        <v>7062</v>
      </c>
      <c r="C13" s="3" t="s">
        <v>7063</v>
      </c>
      <c r="E13" s="10" t="s">
        <v>6998</v>
      </c>
      <c r="F13" s="2">
        <v>1</v>
      </c>
      <c r="H13" t="s">
        <v>2574</v>
      </c>
      <c r="I13" t="str">
        <f>+VLOOKUP(H13,$B$3:C$139,2,FALSE)</f>
        <v>TUBOS DE HORMIGÓN</v>
      </c>
      <c r="J13">
        <v>3</v>
      </c>
    </row>
    <row r="14" spans="2:10" x14ac:dyDescent="0.3">
      <c r="B14" s="3" t="s">
        <v>7060</v>
      </c>
      <c r="C14" s="3" t="s">
        <v>7061</v>
      </c>
      <c r="E14" s="10" t="s">
        <v>4315</v>
      </c>
      <c r="F14" s="2">
        <v>7</v>
      </c>
      <c r="H14" t="s">
        <v>743</v>
      </c>
      <c r="I14" t="str">
        <f>+VLOOKUP(H14,$B$3:C$139,2,FALSE)</f>
        <v>ENVASES DE HOJALATA</v>
      </c>
      <c r="J14">
        <v>3</v>
      </c>
    </row>
    <row r="15" spans="2:10" x14ac:dyDescent="0.3">
      <c r="B15" s="5" t="s">
        <v>6807</v>
      </c>
      <c r="C15" s="5" t="s">
        <v>6808</v>
      </c>
      <c r="E15" s="10" t="s">
        <v>6996</v>
      </c>
      <c r="F15" s="2">
        <v>2</v>
      </c>
      <c r="H15" t="s">
        <v>6986</v>
      </c>
      <c r="I15" t="str">
        <f>+VLOOKUP(H15,$B$3:C$139,2,FALSE)</f>
        <v>ATÚN ENTERO CONGELADO</v>
      </c>
      <c r="J15">
        <v>2</v>
      </c>
    </row>
    <row r="16" spans="2:10" x14ac:dyDescent="0.3">
      <c r="B16" s="3" t="s">
        <v>1100</v>
      </c>
      <c r="C16" s="3" t="s">
        <v>6716</v>
      </c>
      <c r="E16" s="10" t="s">
        <v>6132</v>
      </c>
      <c r="F16" s="2">
        <v>4</v>
      </c>
      <c r="H16" t="s">
        <v>6991</v>
      </c>
      <c r="I16" t="str">
        <f>+VLOOKUP(H16,$B$3:C$139,2,FALSE)</f>
        <v xml:space="preserve">ATUN FILETE CONGELADO </v>
      </c>
      <c r="J16">
        <v>2</v>
      </c>
    </row>
    <row r="17" spans="2:10" x14ac:dyDescent="0.3">
      <c r="B17" s="3" t="s">
        <v>6132</v>
      </c>
      <c r="C17" s="3" t="s">
        <v>6133</v>
      </c>
      <c r="E17" s="10" t="s">
        <v>6984</v>
      </c>
      <c r="F17" s="2">
        <v>1</v>
      </c>
      <c r="H17" t="s">
        <v>6988</v>
      </c>
      <c r="I17" t="str">
        <f>+VLOOKUP(H17,$B$3:C$139,2,FALSE)</f>
        <v>FILETE DE PESCADO DORADO CONGELADO</v>
      </c>
      <c r="J17">
        <v>2</v>
      </c>
    </row>
    <row r="18" spans="2:10" x14ac:dyDescent="0.3">
      <c r="B18" s="3" t="s">
        <v>7056</v>
      </c>
      <c r="C18" s="3" t="s">
        <v>7057</v>
      </c>
      <c r="E18" s="10" t="s">
        <v>386</v>
      </c>
      <c r="F18" s="2">
        <v>3</v>
      </c>
      <c r="H18" t="s">
        <v>7065</v>
      </c>
      <c r="I18" t="str">
        <f>+VLOOKUP(H18,$B$3:C$139,2,FALSE)</f>
        <v xml:space="preserve">CAMARÓN CONGELADO </v>
      </c>
      <c r="J18">
        <v>2</v>
      </c>
    </row>
    <row r="19" spans="2:10" x14ac:dyDescent="0.3">
      <c r="B19" s="3" t="s">
        <v>671</v>
      </c>
      <c r="C19" s="3" t="s">
        <v>2251</v>
      </c>
      <c r="E19" s="10" t="s">
        <v>6414</v>
      </c>
      <c r="F19" s="2">
        <v>3</v>
      </c>
      <c r="H19" t="s">
        <v>6996</v>
      </c>
      <c r="I19" t="str">
        <f>+VLOOKUP(H19,$B$3:C$139,2,FALSE)</f>
        <v>HARINA DE CAMARÓN</v>
      </c>
      <c r="J19">
        <v>2</v>
      </c>
    </row>
    <row r="20" spans="2:10" x14ac:dyDescent="0.3">
      <c r="B20" s="5" t="s">
        <v>2248</v>
      </c>
      <c r="C20" s="5" t="s">
        <v>2249</v>
      </c>
      <c r="E20" s="10" t="s">
        <v>844</v>
      </c>
      <c r="F20" s="2">
        <v>2</v>
      </c>
      <c r="H20" t="s">
        <v>844</v>
      </c>
      <c r="I20" t="str">
        <f>+VLOOKUP(H20,$B$3:C$139,2,FALSE)</f>
        <v>ACEITE VEGETAL</v>
      </c>
      <c r="J20">
        <v>2</v>
      </c>
    </row>
    <row r="21" spans="2:10" x14ac:dyDescent="0.3">
      <c r="B21" s="5" t="s">
        <v>2712</v>
      </c>
      <c r="C21" s="5" t="s">
        <v>2713</v>
      </c>
      <c r="E21" s="10" t="s">
        <v>7030</v>
      </c>
      <c r="F21" s="2">
        <v>1</v>
      </c>
      <c r="H21" t="s">
        <v>4828</v>
      </c>
      <c r="I21" t="str">
        <f>+VLOOKUP(H21,$B$3:C$139,2,FALSE)</f>
        <v>SAL REFINADA</v>
      </c>
      <c r="J21">
        <v>2</v>
      </c>
    </row>
    <row r="22" spans="2:10" x14ac:dyDescent="0.3">
      <c r="B22" s="5" t="s">
        <v>3242</v>
      </c>
      <c r="C22" s="5" t="s">
        <v>3362</v>
      </c>
      <c r="E22" s="10" t="s">
        <v>7031</v>
      </c>
      <c r="F22" s="2">
        <v>1</v>
      </c>
      <c r="H22" t="s">
        <v>217</v>
      </c>
      <c r="I22" t="str">
        <f>+VLOOKUP(H22,$B$3:C$139,2,FALSE)</f>
        <v>SERVILLETAS</v>
      </c>
      <c r="J22">
        <v>2</v>
      </c>
    </row>
    <row r="23" spans="2:10" x14ac:dyDescent="0.3">
      <c r="B23" s="3" t="s">
        <v>7051</v>
      </c>
      <c r="C23" s="3" t="s">
        <v>7052</v>
      </c>
      <c r="E23" s="10" t="s">
        <v>4828</v>
      </c>
      <c r="F23" s="2">
        <v>2</v>
      </c>
      <c r="H23" t="s">
        <v>1276</v>
      </c>
      <c r="I23" t="str">
        <f>+VLOOKUP(H23,$B$3:C$139,2,FALSE)</f>
        <v>PAÑALES DESECHABLES</v>
      </c>
      <c r="J23">
        <v>2</v>
      </c>
    </row>
    <row r="24" spans="2:10" x14ac:dyDescent="0.3">
      <c r="B24" s="5" t="s">
        <v>2574</v>
      </c>
      <c r="C24" s="5" t="s">
        <v>2575</v>
      </c>
      <c r="E24" s="10" t="s">
        <v>7044</v>
      </c>
      <c r="F24" s="2">
        <v>1</v>
      </c>
      <c r="H24" t="s">
        <v>1277</v>
      </c>
      <c r="I24" t="str">
        <f>+VLOOKUP(H24,$B$3:C$139,2,FALSE)</f>
        <v>PAÑOS HÚMEDOS</v>
      </c>
      <c r="J24">
        <v>2</v>
      </c>
    </row>
    <row r="25" spans="2:10" x14ac:dyDescent="0.3">
      <c r="B25" s="3" t="s">
        <v>879</v>
      </c>
      <c r="C25" s="3" t="s">
        <v>6702</v>
      </c>
      <c r="E25" s="10" t="s">
        <v>2826</v>
      </c>
      <c r="F25" s="2">
        <v>1</v>
      </c>
      <c r="H25" t="s">
        <v>7034</v>
      </c>
      <c r="I25" t="str">
        <f>+VLOOKUP(H25,$B$3:C$139,2,FALSE)</f>
        <v>HERBICIDA PARA MALEZA</v>
      </c>
      <c r="J25">
        <v>2</v>
      </c>
    </row>
    <row r="26" spans="2:10" x14ac:dyDescent="0.3">
      <c r="B26" s="5" t="s">
        <v>2576</v>
      </c>
      <c r="C26" s="5" t="s">
        <v>2577</v>
      </c>
      <c r="E26" s="10" t="s">
        <v>1438</v>
      </c>
      <c r="F26" s="2">
        <v>1</v>
      </c>
      <c r="H26" t="s">
        <v>7037</v>
      </c>
      <c r="I26" t="str">
        <f>+VLOOKUP(H26,$B$3:C$139,2,FALSE)</f>
        <v xml:space="preserve">MATAGUSANOS </v>
      </c>
      <c r="J26">
        <v>2</v>
      </c>
    </row>
    <row r="27" spans="2:10" x14ac:dyDescent="0.3">
      <c r="B27" s="3" t="s">
        <v>1111</v>
      </c>
      <c r="C27" s="3" t="s">
        <v>6717</v>
      </c>
      <c r="E27" s="10" t="s">
        <v>602</v>
      </c>
      <c r="F27" s="2">
        <v>1</v>
      </c>
      <c r="H27" t="s">
        <v>636</v>
      </c>
      <c r="I27" t="str">
        <f>+VLOOKUP(H27,$B$3:C$139,2,FALSE)</f>
        <v>PINTURA</v>
      </c>
      <c r="J27">
        <v>2</v>
      </c>
    </row>
    <row r="28" spans="2:10" x14ac:dyDescent="0.3">
      <c r="B28" s="5" t="s">
        <v>6833</v>
      </c>
      <c r="C28" s="5" t="s">
        <v>6834</v>
      </c>
      <c r="E28" s="10" t="s">
        <v>7060</v>
      </c>
      <c r="F28" s="2">
        <v>1</v>
      </c>
      <c r="H28" t="s">
        <v>6788</v>
      </c>
      <c r="I28" t="str">
        <f>+VLOOKUP(H28,$B$3:C$139,2,FALSE)</f>
        <v>PIGMENTOS</v>
      </c>
      <c r="J28">
        <v>2</v>
      </c>
    </row>
    <row r="29" spans="2:10" x14ac:dyDescent="0.3">
      <c r="B29" s="3" t="s">
        <v>7044</v>
      </c>
      <c r="C29" s="3" t="s">
        <v>7045</v>
      </c>
      <c r="E29" s="10" t="s">
        <v>879</v>
      </c>
      <c r="F29" s="2">
        <v>3</v>
      </c>
      <c r="H29" t="s">
        <v>2712</v>
      </c>
      <c r="I29" t="str">
        <f>+VLOOKUP(H29,$B$3:C$139,2,FALSE)</f>
        <v>ÁCIDO FÓLICO</v>
      </c>
      <c r="J29">
        <v>2</v>
      </c>
    </row>
    <row r="30" spans="2:10" x14ac:dyDescent="0.3">
      <c r="B30" s="5" t="s">
        <v>6837</v>
      </c>
      <c r="C30" s="5" t="s">
        <v>6838</v>
      </c>
      <c r="E30" s="10" t="s">
        <v>217</v>
      </c>
      <c r="F30" s="2">
        <v>2</v>
      </c>
      <c r="H30" t="s">
        <v>699</v>
      </c>
      <c r="I30" t="str">
        <f>+VLOOKUP(H30,$B$3:C$139,2,FALSE)</f>
        <v>COMPLEJO B</v>
      </c>
      <c r="J30">
        <v>2</v>
      </c>
    </row>
    <row r="31" spans="2:10" x14ac:dyDescent="0.3">
      <c r="B31" s="5" t="s">
        <v>6414</v>
      </c>
      <c r="C31" s="5" t="s">
        <v>6415</v>
      </c>
      <c r="E31" s="10" t="s">
        <v>6897</v>
      </c>
      <c r="F31" s="2">
        <v>1</v>
      </c>
      <c r="H31" t="s">
        <v>661</v>
      </c>
      <c r="I31" t="str">
        <f>+VLOOKUP(H31,$B$3:C$139,2,FALSE)</f>
        <v>DESGRASANTES</v>
      </c>
      <c r="J31">
        <v>2</v>
      </c>
    </row>
    <row r="32" spans="2:10" x14ac:dyDescent="0.3">
      <c r="B32" s="5" t="s">
        <v>386</v>
      </c>
      <c r="C32" s="5" t="s">
        <v>5215</v>
      </c>
      <c r="E32" s="10" t="s">
        <v>1276</v>
      </c>
      <c r="F32" s="2">
        <v>2</v>
      </c>
      <c r="H32" t="s">
        <v>1100</v>
      </c>
      <c r="I32" t="str">
        <f>+VLOOKUP(H32,$B$3:C$139,2,FALSE)</f>
        <v>ENJUAGUES BUCALES</v>
      </c>
      <c r="J32">
        <v>2</v>
      </c>
    </row>
    <row r="33" spans="2:10" x14ac:dyDescent="0.3">
      <c r="B33" s="3" t="s">
        <v>7034</v>
      </c>
      <c r="C33" s="3" t="s">
        <v>7035</v>
      </c>
      <c r="E33" s="10" t="s">
        <v>1277</v>
      </c>
      <c r="F33" s="2">
        <v>2</v>
      </c>
      <c r="H33" t="s">
        <v>1088</v>
      </c>
      <c r="I33" t="str">
        <f>+VLOOKUP(H33,$B$3:C$139,2,FALSE)</f>
        <v>DESODORANTE</v>
      </c>
      <c r="J33">
        <v>2</v>
      </c>
    </row>
    <row r="34" spans="2:10" x14ac:dyDescent="0.3">
      <c r="B34" s="5" t="s">
        <v>6854</v>
      </c>
      <c r="C34" s="5" t="s">
        <v>6855</v>
      </c>
      <c r="E34" s="10" t="s">
        <v>673</v>
      </c>
      <c r="F34" s="2">
        <v>1</v>
      </c>
      <c r="H34" t="s">
        <v>2248</v>
      </c>
      <c r="I34" t="str">
        <f>+VLOOKUP(H34,$B$3:C$139,2,FALSE)</f>
        <v>DESODORANTE AMBIENTAL</v>
      </c>
      <c r="J34">
        <v>2</v>
      </c>
    </row>
    <row r="35" spans="2:10" x14ac:dyDescent="0.3">
      <c r="B35" s="5" t="s">
        <v>1088</v>
      </c>
      <c r="C35" s="5" t="s">
        <v>6714</v>
      </c>
      <c r="E35" s="10" t="s">
        <v>7040</v>
      </c>
      <c r="F35" s="2">
        <v>1</v>
      </c>
      <c r="H35" t="s">
        <v>6807</v>
      </c>
      <c r="I35" t="str">
        <f>+VLOOKUP(H35,$B$3:C$139,2,FALSE)</f>
        <v>BOTELLAS PLÁSTICAS</v>
      </c>
      <c r="J35">
        <v>2</v>
      </c>
    </row>
    <row r="36" spans="2:10" x14ac:dyDescent="0.3">
      <c r="B36" s="3" t="s">
        <v>7032</v>
      </c>
      <c r="C36" s="3" t="s">
        <v>3361</v>
      </c>
      <c r="E36" s="10" t="s">
        <v>1740</v>
      </c>
      <c r="F36" s="2">
        <v>1</v>
      </c>
      <c r="H36" t="s">
        <v>2576</v>
      </c>
      <c r="I36" t="str">
        <f>+VLOOKUP(H36,$B$3:C$139,2,FALSE)</f>
        <v>PILOTES DE HORMIGÓN</v>
      </c>
      <c r="J36">
        <v>2</v>
      </c>
    </row>
    <row r="37" spans="2:10" x14ac:dyDescent="0.3">
      <c r="B37" s="3" t="s">
        <v>7030</v>
      </c>
      <c r="C37" s="3" t="s">
        <v>5215</v>
      </c>
      <c r="E37" s="10" t="s">
        <v>6864</v>
      </c>
      <c r="F37" s="2">
        <v>1</v>
      </c>
      <c r="H37" t="s">
        <v>6803</v>
      </c>
      <c r="I37" t="str">
        <f>+VLOOKUP(H37,$B$3:C$139,2,FALSE)</f>
        <v>TUBOS ESTRUCTURALES</v>
      </c>
      <c r="J37">
        <v>2</v>
      </c>
    </row>
    <row r="38" spans="2:10" x14ac:dyDescent="0.3">
      <c r="B38" s="5" t="s">
        <v>3102</v>
      </c>
      <c r="C38" s="5" t="s">
        <v>3350</v>
      </c>
      <c r="E38" s="10" t="s">
        <v>7034</v>
      </c>
      <c r="F38" s="2">
        <v>2</v>
      </c>
      <c r="H38" t="s">
        <v>6800</v>
      </c>
      <c r="I38" t="str">
        <f>+VLOOKUP(H38,$B$3:C$139,2,FALSE)</f>
        <v>CABLE DE MEDIA TENSIÓN</v>
      </c>
      <c r="J38">
        <v>2</v>
      </c>
    </row>
    <row r="39" spans="2:10" x14ac:dyDescent="0.3">
      <c r="B39" s="3" t="s">
        <v>7076</v>
      </c>
      <c r="C39" s="3" t="s">
        <v>7066</v>
      </c>
      <c r="E39" s="10" t="s">
        <v>7037</v>
      </c>
      <c r="F39" s="2">
        <v>2</v>
      </c>
      <c r="H39" t="s">
        <v>1111</v>
      </c>
      <c r="I39" t="str">
        <f>+VLOOKUP(H39,$B$3:C$139,2,FALSE)</f>
        <v>CABLE DE COBRE</v>
      </c>
      <c r="J39">
        <v>2</v>
      </c>
    </row>
    <row r="40" spans="2:10" x14ac:dyDescent="0.3">
      <c r="B40" s="3" t="s">
        <v>7025</v>
      </c>
      <c r="C40" s="3" t="s">
        <v>7026</v>
      </c>
      <c r="E40" s="10" t="s">
        <v>636</v>
      </c>
      <c r="F40" s="2">
        <v>2</v>
      </c>
      <c r="H40" t="s">
        <v>6833</v>
      </c>
      <c r="I40" t="str">
        <f>+VLOOKUP(H40,$B$3:C$139,2,FALSE)</f>
        <v>CARBONATO DE CALCIO MINERÍA</v>
      </c>
      <c r="J40">
        <v>1</v>
      </c>
    </row>
    <row r="41" spans="2:10" x14ac:dyDescent="0.3">
      <c r="B41" s="3" t="s">
        <v>7021</v>
      </c>
      <c r="C41" s="3" t="s">
        <v>3347</v>
      </c>
      <c r="E41" s="10" t="s">
        <v>7056</v>
      </c>
      <c r="F41" s="2">
        <v>1</v>
      </c>
      <c r="H41" t="s">
        <v>7051</v>
      </c>
      <c r="I41" t="str">
        <f>+VLOOKUP(H41,$B$3:C$139,2,FALSE)</f>
        <v xml:space="preserve">PESCADO ENTERO CONGELADO DE EXPORTACIÓN </v>
      </c>
      <c r="J41">
        <v>1</v>
      </c>
    </row>
    <row r="42" spans="2:10" x14ac:dyDescent="0.3">
      <c r="B42" s="3" t="s">
        <v>7007</v>
      </c>
      <c r="C42" s="3" t="s">
        <v>7008</v>
      </c>
      <c r="E42" s="10" t="s">
        <v>6788</v>
      </c>
      <c r="F42" s="2">
        <v>2</v>
      </c>
      <c r="H42" t="s">
        <v>3242</v>
      </c>
      <c r="I42" t="str">
        <f>+VLOOKUP(H42,$B$3:C$139,2,FALSE)</f>
        <v>CAMARÓN CONGELADO</v>
      </c>
      <c r="J42">
        <v>1</v>
      </c>
    </row>
    <row r="43" spans="2:10" x14ac:dyDescent="0.3">
      <c r="B43" s="5" t="s">
        <v>1740</v>
      </c>
      <c r="C43" s="5" t="s">
        <v>1741</v>
      </c>
      <c r="E43" s="10" t="s">
        <v>1211</v>
      </c>
      <c r="F43" s="2">
        <v>1</v>
      </c>
      <c r="H43" t="s">
        <v>7076</v>
      </c>
      <c r="I43" t="str">
        <f>+VLOOKUP(H43,$B$3:C$139,2,FALSE)</f>
        <v xml:space="preserve">CAMARÓN CONGELADO </v>
      </c>
      <c r="J43">
        <v>1</v>
      </c>
    </row>
    <row r="44" spans="2:10" x14ac:dyDescent="0.3">
      <c r="B44" s="5" t="s">
        <v>386</v>
      </c>
      <c r="C44" s="5" t="s">
        <v>5215</v>
      </c>
      <c r="E44" s="10" t="s">
        <v>637</v>
      </c>
      <c r="F44" s="2">
        <v>4</v>
      </c>
      <c r="H44" t="s">
        <v>7032</v>
      </c>
      <c r="I44" t="str">
        <f>+VLOOKUP(H44,$B$3:C$139,2,FALSE)</f>
        <v>CAMARÓN CONGELADO DE EXPORTACIÓN</v>
      </c>
      <c r="J44">
        <v>1</v>
      </c>
    </row>
    <row r="45" spans="2:10" x14ac:dyDescent="0.3">
      <c r="B45" s="3" t="s">
        <v>6986</v>
      </c>
      <c r="C45" s="3" t="s">
        <v>6987</v>
      </c>
      <c r="E45" s="10" t="s">
        <v>2712</v>
      </c>
      <c r="F45" s="2">
        <v>2</v>
      </c>
      <c r="H45" t="s">
        <v>6998</v>
      </c>
      <c r="I45" t="str">
        <f>+VLOOKUP(H45,$B$3:C$139,2,FALSE)</f>
        <v xml:space="preserve">CAMARÓN CONGELADO DE EXPORTACIÓN </v>
      </c>
      <c r="J45">
        <v>1</v>
      </c>
    </row>
    <row r="46" spans="2:10" x14ac:dyDescent="0.3">
      <c r="B46" s="5" t="s">
        <v>6132</v>
      </c>
      <c r="C46" s="5" t="s">
        <v>6133</v>
      </c>
      <c r="E46" s="10" t="s">
        <v>699</v>
      </c>
      <c r="F46" s="2">
        <v>2</v>
      </c>
      <c r="H46" t="s">
        <v>6984</v>
      </c>
      <c r="I46" t="str">
        <f>+VLOOKUP(H46,$B$3:C$139,2,FALSE)</f>
        <v xml:space="preserve">ACEITE DE PESCADO </v>
      </c>
      <c r="J46">
        <v>1</v>
      </c>
    </row>
    <row r="47" spans="2:10" x14ac:dyDescent="0.3">
      <c r="B47" s="5" t="s">
        <v>6877</v>
      </c>
      <c r="C47" s="5" t="s">
        <v>6878</v>
      </c>
      <c r="E47" s="10" t="s">
        <v>7010</v>
      </c>
      <c r="F47" s="2">
        <v>1</v>
      </c>
      <c r="H47" t="s">
        <v>7030</v>
      </c>
      <c r="I47" t="str">
        <f>+VLOOKUP(H47,$B$3:C$139,2,FALSE)</f>
        <v>ACEITE CRUDO DE PALMA AFRICANA</v>
      </c>
      <c r="J47">
        <v>1</v>
      </c>
    </row>
    <row r="48" spans="2:10" x14ac:dyDescent="0.3">
      <c r="B48" s="3" t="s">
        <v>743</v>
      </c>
      <c r="C48" s="3" t="s">
        <v>6749</v>
      </c>
      <c r="E48" s="10" t="s">
        <v>6877</v>
      </c>
      <c r="F48" s="2">
        <v>3</v>
      </c>
      <c r="H48" t="s">
        <v>7031</v>
      </c>
      <c r="I48" t="str">
        <f>+VLOOKUP(H48,$B$3:C$139,2,FALSE)</f>
        <v>ACEITE DE PALMISTE</v>
      </c>
      <c r="J48">
        <v>1</v>
      </c>
    </row>
    <row r="49" spans="2:10" x14ac:dyDescent="0.3">
      <c r="B49" s="5" t="s">
        <v>2576</v>
      </c>
      <c r="C49" s="5" t="s">
        <v>2577</v>
      </c>
      <c r="E49" s="10" t="s">
        <v>7007</v>
      </c>
      <c r="F49" s="2">
        <v>1</v>
      </c>
      <c r="H49" t="s">
        <v>7044</v>
      </c>
      <c r="I49" t="str">
        <f>+VLOOKUP(H49,$B$3:C$139,2,FALSE)</f>
        <v>CREMA DE LICOR CACAO</v>
      </c>
      <c r="J49">
        <v>1</v>
      </c>
    </row>
    <row r="50" spans="2:10" x14ac:dyDescent="0.3">
      <c r="B50" s="3" t="s">
        <v>6998</v>
      </c>
      <c r="C50" s="3" t="s">
        <v>6999</v>
      </c>
      <c r="E50" s="10" t="s">
        <v>6766</v>
      </c>
      <c r="F50" s="2">
        <v>3</v>
      </c>
      <c r="H50" t="s">
        <v>2826</v>
      </c>
      <c r="I50" t="str">
        <f>+VLOOKUP(H50,$B$3:C$139,2,FALSE)</f>
        <v>LICORES</v>
      </c>
      <c r="J50">
        <v>1</v>
      </c>
    </row>
    <row r="51" spans="2:10" x14ac:dyDescent="0.3">
      <c r="B51" s="3" t="s">
        <v>4315</v>
      </c>
      <c r="C51" s="3" t="s">
        <v>6995</v>
      </c>
      <c r="E51" s="10" t="s">
        <v>7073</v>
      </c>
      <c r="F51" s="2">
        <v>1</v>
      </c>
      <c r="H51" t="s">
        <v>1438</v>
      </c>
      <c r="I51" t="str">
        <f>+VLOOKUP(H51,$B$3:C$139,2,FALSE)</f>
        <v>VINO ESPUMANTE</v>
      </c>
      <c r="J51">
        <v>1</v>
      </c>
    </row>
    <row r="52" spans="2:10" x14ac:dyDescent="0.3">
      <c r="B52" s="5" t="s">
        <v>217</v>
      </c>
      <c r="C52" s="5" t="s">
        <v>6703</v>
      </c>
      <c r="E52" s="10" t="s">
        <v>7025</v>
      </c>
      <c r="F52" s="2">
        <v>1</v>
      </c>
      <c r="H52" t="s">
        <v>602</v>
      </c>
      <c r="I52" t="str">
        <f>+VLOOKUP(H52,$B$3:C$139,2,FALSE)</f>
        <v xml:space="preserve">BOTINES DE CUERO </v>
      </c>
      <c r="J52">
        <v>1</v>
      </c>
    </row>
    <row r="53" spans="2:10" x14ac:dyDescent="0.3">
      <c r="B53" s="3" t="s">
        <v>879</v>
      </c>
      <c r="C53" s="3" t="s">
        <v>6979</v>
      </c>
      <c r="E53" s="10" t="s">
        <v>7019</v>
      </c>
      <c r="F53" s="2">
        <v>1</v>
      </c>
      <c r="H53" t="s">
        <v>7060</v>
      </c>
      <c r="I53" t="str">
        <f>+VLOOKUP(H53,$B$3:C$139,2,FALSE)</f>
        <v>BALSA</v>
      </c>
      <c r="J53">
        <v>1</v>
      </c>
    </row>
    <row r="54" spans="2:10" x14ac:dyDescent="0.3">
      <c r="B54" s="5" t="s">
        <v>6886</v>
      </c>
      <c r="C54" s="5" t="s">
        <v>6887</v>
      </c>
      <c r="E54" s="10" t="s">
        <v>7013</v>
      </c>
      <c r="F54" s="2">
        <v>1</v>
      </c>
      <c r="H54" t="s">
        <v>6897</v>
      </c>
      <c r="I54" t="str">
        <f>+VLOOKUP(H54,$B$3:C$139,2,FALSE)</f>
        <v>TOALLAS SANITARIAS</v>
      </c>
      <c r="J54">
        <v>1</v>
      </c>
    </row>
    <row r="55" spans="2:10" x14ac:dyDescent="0.3">
      <c r="B55" s="5" t="s">
        <v>844</v>
      </c>
      <c r="C55" s="5" t="s">
        <v>6698</v>
      </c>
      <c r="E55" s="10" t="s">
        <v>7016</v>
      </c>
      <c r="F55" s="2">
        <v>1</v>
      </c>
      <c r="H55" t="s">
        <v>673</v>
      </c>
      <c r="I55" t="str">
        <f>+VLOOKUP(H55,$B$3:C$139,2,FALSE)</f>
        <v>CLORO LIQUIDO</v>
      </c>
      <c r="J55">
        <v>1</v>
      </c>
    </row>
    <row r="56" spans="2:10" x14ac:dyDescent="0.3">
      <c r="B56" s="3" t="s">
        <v>6986</v>
      </c>
      <c r="C56" s="3" t="s">
        <v>6987</v>
      </c>
      <c r="E56" s="10" t="s">
        <v>792</v>
      </c>
      <c r="F56" s="2">
        <v>1</v>
      </c>
      <c r="H56" t="s">
        <v>7040</v>
      </c>
      <c r="I56" t="str">
        <f>+VLOOKUP(H56,$B$3:C$139,2,FALSE)</f>
        <v>ABONO COMPUESTO</v>
      </c>
      <c r="J56">
        <v>1</v>
      </c>
    </row>
    <row r="57" spans="2:10" x14ac:dyDescent="0.3">
      <c r="B57" s="5" t="s">
        <v>661</v>
      </c>
      <c r="C57" s="5" t="s">
        <v>1761</v>
      </c>
      <c r="E57" s="10" t="s">
        <v>793</v>
      </c>
      <c r="F57" s="2">
        <v>1</v>
      </c>
      <c r="H57" t="s">
        <v>1740</v>
      </c>
      <c r="I57" t="str">
        <f>+VLOOKUP(H57,$B$3:C$139,2,FALSE)</f>
        <v>INSECTICIDAS AGRICOLAS</v>
      </c>
      <c r="J57">
        <v>1</v>
      </c>
    </row>
    <row r="58" spans="2:10" x14ac:dyDescent="0.3">
      <c r="B58" s="3" t="s">
        <v>6984</v>
      </c>
      <c r="C58" s="3" t="s">
        <v>6983</v>
      </c>
      <c r="E58" s="10" t="s">
        <v>674</v>
      </c>
      <c r="F58" s="2">
        <v>1</v>
      </c>
      <c r="H58" t="s">
        <v>6864</v>
      </c>
      <c r="I58" t="str">
        <f>+VLOOKUP(H58,$B$3:C$139,2,FALSE)</f>
        <v>FUNGICIDA</v>
      </c>
      <c r="J58">
        <v>1</v>
      </c>
    </row>
    <row r="59" spans="2:10" x14ac:dyDescent="0.3">
      <c r="B59" s="3" t="s">
        <v>602</v>
      </c>
      <c r="C59" s="3" t="s">
        <v>6981</v>
      </c>
      <c r="E59" s="10" t="s">
        <v>986</v>
      </c>
      <c r="F59" s="2">
        <v>1</v>
      </c>
      <c r="H59" t="s">
        <v>7056</v>
      </c>
      <c r="I59" t="str">
        <f>+VLOOKUP(H59,$B$3:C$139,2,FALSE)</f>
        <v xml:space="preserve">BARNIZ </v>
      </c>
      <c r="J59">
        <v>1</v>
      </c>
    </row>
    <row r="60" spans="2:10" x14ac:dyDescent="0.3">
      <c r="B60" s="5" t="s">
        <v>637</v>
      </c>
      <c r="C60" s="5" t="s">
        <v>6729</v>
      </c>
      <c r="E60" s="10" t="s">
        <v>661</v>
      </c>
      <c r="F60" s="2">
        <v>2</v>
      </c>
      <c r="H60" t="s">
        <v>1211</v>
      </c>
      <c r="I60" t="str">
        <f>+VLOOKUP(H60,$B$3:C$139,2,FALSE)</f>
        <v>SELLANTE</v>
      </c>
      <c r="J60">
        <v>1</v>
      </c>
    </row>
    <row r="61" spans="2:10" x14ac:dyDescent="0.3">
      <c r="B61" s="5" t="s">
        <v>636</v>
      </c>
      <c r="C61" s="5" t="s">
        <v>3354</v>
      </c>
      <c r="E61" s="10" t="s">
        <v>671</v>
      </c>
      <c r="F61" s="2">
        <v>3</v>
      </c>
      <c r="H61" t="s">
        <v>7010</v>
      </c>
      <c r="I61" t="str">
        <f>+VLOOKUP(H61,$B$3:C$139,2,FALSE)</f>
        <v>MULTIVITAMÍNICO</v>
      </c>
      <c r="J61">
        <v>1</v>
      </c>
    </row>
    <row r="62" spans="2:10" x14ac:dyDescent="0.3">
      <c r="B62" s="5" t="s">
        <v>6788</v>
      </c>
      <c r="C62" s="5" t="s">
        <v>6789</v>
      </c>
      <c r="E62" s="10" t="s">
        <v>672</v>
      </c>
      <c r="F62" s="2">
        <v>1</v>
      </c>
      <c r="H62" t="s">
        <v>7007</v>
      </c>
      <c r="I62" t="str">
        <f>+VLOOKUP(H62,$B$3:C$139,2,FALSE)</f>
        <v>ANTIHIPERTENSIVOS</v>
      </c>
      <c r="J62">
        <v>1</v>
      </c>
    </row>
    <row r="63" spans="2:10" x14ac:dyDescent="0.3">
      <c r="B63" s="3" t="s">
        <v>6877</v>
      </c>
      <c r="C63" s="3" t="s">
        <v>6878</v>
      </c>
      <c r="E63" s="10" t="s">
        <v>1521</v>
      </c>
      <c r="F63" s="2">
        <v>1</v>
      </c>
      <c r="H63" t="s">
        <v>7073</v>
      </c>
      <c r="I63" t="str">
        <f>+VLOOKUP(H63,$B$3:C$139,2,FALSE)</f>
        <v>ANTIÁCIDOS</v>
      </c>
      <c r="J63">
        <v>1</v>
      </c>
    </row>
    <row r="64" spans="2:10" x14ac:dyDescent="0.3">
      <c r="B64" s="3" t="s">
        <v>1521</v>
      </c>
      <c r="C64" s="3" t="s">
        <v>1522</v>
      </c>
      <c r="E64" s="10" t="s">
        <v>1100</v>
      </c>
      <c r="F64" s="2">
        <v>2</v>
      </c>
      <c r="H64" t="s">
        <v>7025</v>
      </c>
      <c r="I64" t="str">
        <f>+VLOOKUP(H64,$B$3:C$139,2,FALSE)</f>
        <v>ANALGÉSICO URINARIO</v>
      </c>
      <c r="J64">
        <v>1</v>
      </c>
    </row>
    <row r="65" spans="2:10" x14ac:dyDescent="0.3">
      <c r="B65" s="5" t="s">
        <v>4828</v>
      </c>
      <c r="C65" s="5" t="s">
        <v>4829</v>
      </c>
      <c r="E65" s="10" t="s">
        <v>1088</v>
      </c>
      <c r="F65" s="2">
        <v>2</v>
      </c>
      <c r="H65" t="s">
        <v>7019</v>
      </c>
      <c r="I65" t="str">
        <f>+VLOOKUP(H65,$B$3:C$139,2,FALSE)</f>
        <v>METRONIDAZOL</v>
      </c>
      <c r="J65">
        <v>1</v>
      </c>
    </row>
    <row r="66" spans="2:10" x14ac:dyDescent="0.3">
      <c r="B66" s="5" t="s">
        <v>6800</v>
      </c>
      <c r="C66" s="5" t="s">
        <v>6801</v>
      </c>
      <c r="E66" s="10" t="s">
        <v>2248</v>
      </c>
      <c r="F66" s="2">
        <v>2</v>
      </c>
      <c r="H66" t="s">
        <v>7013</v>
      </c>
      <c r="I66" t="str">
        <f>+VLOOKUP(H66,$B$3:C$139,2,FALSE)</f>
        <v>COLUFASE (NOITAZOXANIDA)</v>
      </c>
      <c r="J66">
        <v>1</v>
      </c>
    </row>
    <row r="67" spans="2:10" x14ac:dyDescent="0.3">
      <c r="B67" s="5" t="s">
        <v>743</v>
      </c>
      <c r="C67" s="5" t="s">
        <v>6749</v>
      </c>
      <c r="E67" s="10" t="s">
        <v>6910</v>
      </c>
      <c r="F67" s="2">
        <v>1</v>
      </c>
      <c r="H67" t="s">
        <v>7016</v>
      </c>
      <c r="I67" t="str">
        <f>+VLOOKUP(H67,$B$3:C$139,2,FALSE)</f>
        <v>CREMA PARA LA PAÑALITIS</v>
      </c>
      <c r="J67">
        <v>1</v>
      </c>
    </row>
    <row r="68" spans="2:10" x14ac:dyDescent="0.3">
      <c r="B68" s="3" t="s">
        <v>1100</v>
      </c>
      <c r="C68" s="3" t="s">
        <v>6716</v>
      </c>
      <c r="E68" s="10" t="s">
        <v>3066</v>
      </c>
      <c r="F68" s="2">
        <v>1</v>
      </c>
      <c r="H68" t="s">
        <v>792</v>
      </c>
      <c r="I68" t="str">
        <f>+VLOOKUP(H68,$B$3:C$139,2,FALSE)</f>
        <v>JABÓN PARA LAVAR ROPA</v>
      </c>
      <c r="J68">
        <v>1</v>
      </c>
    </row>
    <row r="69" spans="2:10" x14ac:dyDescent="0.3">
      <c r="B69" s="3" t="s">
        <v>4315</v>
      </c>
      <c r="C69" s="3" t="s">
        <v>6995</v>
      </c>
      <c r="E69" s="10" t="s">
        <v>7021</v>
      </c>
      <c r="F69" s="2">
        <v>1</v>
      </c>
      <c r="H69" t="s">
        <v>793</v>
      </c>
      <c r="I69" t="str">
        <f>+VLOOKUP(H69,$B$3:C$139,2,FALSE)</f>
        <v>JABÓN/CREMA PARA LAVAR VAJILLA</v>
      </c>
      <c r="J69">
        <v>1</v>
      </c>
    </row>
    <row r="70" spans="2:10" x14ac:dyDescent="0.3">
      <c r="B70" s="3" t="s">
        <v>672</v>
      </c>
      <c r="C70" s="3" t="s">
        <v>2534</v>
      </c>
      <c r="E70" s="10" t="s">
        <v>6807</v>
      </c>
      <c r="F70" s="2">
        <v>2</v>
      </c>
      <c r="H70" t="s">
        <v>674</v>
      </c>
      <c r="I70" t="str">
        <f>+VLOOKUP(H70,$B$3:C$139,2,FALSE)</f>
        <v>JABÓN LÍQUIDO</v>
      </c>
      <c r="J70">
        <v>1</v>
      </c>
    </row>
    <row r="71" spans="2:10" x14ac:dyDescent="0.3">
      <c r="B71" s="5" t="s">
        <v>793</v>
      </c>
      <c r="C71" s="5" t="s">
        <v>6694</v>
      </c>
      <c r="E71" s="10" t="s">
        <v>7001</v>
      </c>
      <c r="F71" s="2">
        <v>1</v>
      </c>
      <c r="H71" t="s">
        <v>986</v>
      </c>
      <c r="I71" t="str">
        <f>+VLOOKUP(H71,$B$3:C$139,2,FALSE)</f>
        <v>DESODORANTE PARA BAÑO</v>
      </c>
      <c r="J71">
        <v>1</v>
      </c>
    </row>
    <row r="72" spans="2:10" x14ac:dyDescent="0.3">
      <c r="B72" s="5" t="s">
        <v>2574</v>
      </c>
      <c r="C72" s="5" t="s">
        <v>2575</v>
      </c>
      <c r="E72" s="10" t="s">
        <v>2540</v>
      </c>
      <c r="F72" s="2">
        <v>1</v>
      </c>
      <c r="H72" t="s">
        <v>672</v>
      </c>
      <c r="I72" t="str">
        <f>+VLOOKUP(H72,$B$3:C$139,2,FALSE)</f>
        <v>SUAVIZANTE DE ROPA</v>
      </c>
      <c r="J72">
        <v>1</v>
      </c>
    </row>
    <row r="73" spans="2:10" x14ac:dyDescent="0.3">
      <c r="B73" s="3" t="s">
        <v>217</v>
      </c>
      <c r="C73" s="3" t="s">
        <v>6703</v>
      </c>
      <c r="E73" s="10" t="s">
        <v>6854</v>
      </c>
      <c r="F73" s="2">
        <v>1</v>
      </c>
      <c r="H73" t="s">
        <v>1521</v>
      </c>
      <c r="I73" t="str">
        <f>+VLOOKUP(H73,$B$3:C$139,2,FALSE)</f>
        <v>VASELINA</v>
      </c>
      <c r="J73">
        <v>1</v>
      </c>
    </row>
    <row r="74" spans="2:10" x14ac:dyDescent="0.3">
      <c r="B74" s="5" t="s">
        <v>6830</v>
      </c>
      <c r="C74" s="5" t="s">
        <v>6831</v>
      </c>
      <c r="E74" s="10" t="s">
        <v>6837</v>
      </c>
      <c r="F74" s="2">
        <v>1</v>
      </c>
      <c r="H74" t="s">
        <v>6910</v>
      </c>
      <c r="I74" t="str">
        <f>+VLOOKUP(H74,$B$3:C$139,2,FALSE)</f>
        <v>COLA BLANCA</v>
      </c>
      <c r="J74">
        <v>1</v>
      </c>
    </row>
    <row r="75" spans="2:10" x14ac:dyDescent="0.3">
      <c r="B75" s="3" t="s">
        <v>6800</v>
      </c>
      <c r="C75" s="3" t="s">
        <v>6801</v>
      </c>
      <c r="E75" s="10" t="s">
        <v>2945</v>
      </c>
      <c r="F75" s="2">
        <v>1</v>
      </c>
      <c r="H75" t="s">
        <v>3066</v>
      </c>
      <c r="I75" t="str">
        <f>+VLOOKUP(H75,$B$3:C$139,2,FALSE)</f>
        <v>MORTERO</v>
      </c>
      <c r="J75">
        <v>1</v>
      </c>
    </row>
    <row r="76" spans="2:10" x14ac:dyDescent="0.3">
      <c r="B76" s="3" t="s">
        <v>2826</v>
      </c>
      <c r="C76" s="3" t="s">
        <v>2827</v>
      </c>
      <c r="E76" s="10" t="s">
        <v>2576</v>
      </c>
      <c r="F76" s="2">
        <v>2</v>
      </c>
      <c r="H76" t="s">
        <v>7021</v>
      </c>
      <c r="I76" t="str">
        <f>+VLOOKUP(H76,$B$3:C$139,2,FALSE)</f>
        <v>MORTERO</v>
      </c>
      <c r="J76">
        <v>1</v>
      </c>
    </row>
    <row r="77" spans="2:10" x14ac:dyDescent="0.3">
      <c r="B77" s="5" t="s">
        <v>2945</v>
      </c>
      <c r="C77" s="5" t="s">
        <v>3345</v>
      </c>
      <c r="E77" s="10" t="s">
        <v>2574</v>
      </c>
      <c r="F77" s="2">
        <v>3</v>
      </c>
      <c r="H77" t="s">
        <v>7001</v>
      </c>
      <c r="I77" t="str">
        <f>+VLOOKUP(H77,$B$3:C$139,2,FALSE)</f>
        <v>CANECAS, BALDES PLASTICAS</v>
      </c>
      <c r="J77">
        <v>1</v>
      </c>
    </row>
    <row r="78" spans="2:10" x14ac:dyDescent="0.3">
      <c r="B78" s="5" t="s">
        <v>386</v>
      </c>
      <c r="C78" s="5" t="s">
        <v>5215</v>
      </c>
      <c r="E78" s="10" t="s">
        <v>6830</v>
      </c>
      <c r="F78" s="2">
        <v>1</v>
      </c>
      <c r="H78" t="s">
        <v>2540</v>
      </c>
      <c r="I78" t="str">
        <f>+VLOOKUP(H78,$B$3:C$139,2,FALSE)</f>
        <v>TAPAS PLÁSTICAS</v>
      </c>
      <c r="J78">
        <v>1</v>
      </c>
    </row>
    <row r="79" spans="2:10" x14ac:dyDescent="0.3">
      <c r="B79" s="5" t="s">
        <v>6414</v>
      </c>
      <c r="C79" s="5" t="s">
        <v>6415</v>
      </c>
      <c r="E79" s="10" t="s">
        <v>6886</v>
      </c>
      <c r="F79" s="2">
        <v>1</v>
      </c>
      <c r="H79" t="s">
        <v>6854</v>
      </c>
      <c r="I79" t="str">
        <f>+VLOOKUP(H79,$B$3:C$139,2,FALSE)</f>
        <v>TANQUE PLÁSTICO</v>
      </c>
      <c r="J79">
        <v>1</v>
      </c>
    </row>
    <row r="80" spans="2:10" x14ac:dyDescent="0.3">
      <c r="B80" s="3" t="s">
        <v>7037</v>
      </c>
      <c r="C80" s="3" t="s">
        <v>7038</v>
      </c>
      <c r="E80" s="10" t="s">
        <v>6890</v>
      </c>
      <c r="F80" s="2">
        <v>1</v>
      </c>
      <c r="H80" t="s">
        <v>6837</v>
      </c>
      <c r="I80" t="str">
        <f>+VLOOKUP(H80,$B$3:C$139,2,FALSE)</f>
        <v>ENVASE DE VIDRIO GRANDE</v>
      </c>
      <c r="J80">
        <v>1</v>
      </c>
    </row>
    <row r="81" spans="2:10" x14ac:dyDescent="0.3">
      <c r="B81" s="5" t="s">
        <v>674</v>
      </c>
      <c r="C81" s="5" t="s">
        <v>2533</v>
      </c>
      <c r="E81" s="10" t="s">
        <v>6767</v>
      </c>
      <c r="F81" s="2">
        <v>1</v>
      </c>
      <c r="H81" t="s">
        <v>2945</v>
      </c>
      <c r="I81" t="str">
        <f>+VLOOKUP(H81,$B$3:C$139,2,FALSE)</f>
        <v>ENVASE DE VIDRIO PEQUEÑO</v>
      </c>
      <c r="J81">
        <v>1</v>
      </c>
    </row>
    <row r="82" spans="2:10" x14ac:dyDescent="0.3">
      <c r="B82" s="3" t="s">
        <v>7031</v>
      </c>
      <c r="C82" s="3" t="s">
        <v>6415</v>
      </c>
      <c r="E82" s="10" t="s">
        <v>3102</v>
      </c>
      <c r="F82" s="2">
        <v>1</v>
      </c>
      <c r="H82" t="s">
        <v>6830</v>
      </c>
      <c r="I82" t="str">
        <f>+VLOOKUP(H82,$B$3:C$139,2,FALSE)</f>
        <v>TANQUES DE CEMENTO</v>
      </c>
      <c r="J82">
        <v>1</v>
      </c>
    </row>
    <row r="83" spans="2:10" x14ac:dyDescent="0.3">
      <c r="B83" s="5" t="s">
        <v>6803</v>
      </c>
      <c r="C83" s="5" t="s">
        <v>6804</v>
      </c>
      <c r="E83" s="10" t="s">
        <v>7062</v>
      </c>
      <c r="F83" s="2">
        <v>1</v>
      </c>
      <c r="H83" t="s">
        <v>6886</v>
      </c>
      <c r="I83" t="str">
        <f>+VLOOKUP(H83,$B$3:C$139,2,FALSE)</f>
        <v>PLANCHAS DE ACERO ALEADO</v>
      </c>
      <c r="J83">
        <v>1</v>
      </c>
    </row>
    <row r="84" spans="2:10" x14ac:dyDescent="0.3">
      <c r="B84" s="3" t="s">
        <v>6766</v>
      </c>
      <c r="C84" s="3" t="s">
        <v>2865</v>
      </c>
      <c r="E84" s="10" t="s">
        <v>6803</v>
      </c>
      <c r="F84" s="2">
        <v>2</v>
      </c>
      <c r="H84" t="s">
        <v>6890</v>
      </c>
      <c r="I84" t="str">
        <f>+VLOOKUP(H84,$B$3:C$139,2,FALSE)</f>
        <v>PERFIL L</v>
      </c>
      <c r="J84">
        <v>1</v>
      </c>
    </row>
    <row r="85" spans="2:10" x14ac:dyDescent="0.3">
      <c r="B85" s="3" t="s">
        <v>637</v>
      </c>
      <c r="C85" s="3" t="s">
        <v>7023</v>
      </c>
      <c r="E85" s="10" t="s">
        <v>743</v>
      </c>
      <c r="F85" s="2">
        <v>3</v>
      </c>
      <c r="H85" t="s">
        <v>6767</v>
      </c>
      <c r="I85" t="str">
        <f>+VLOOKUP(H85,$B$3:C$139,2,FALSE)</f>
        <v>PERFIL I</v>
      </c>
      <c r="J85">
        <v>1</v>
      </c>
    </row>
    <row r="86" spans="2:10" x14ac:dyDescent="0.3">
      <c r="B86" s="3" t="s">
        <v>7010</v>
      </c>
      <c r="C86" s="3" t="s">
        <v>7011</v>
      </c>
      <c r="E86" s="10" t="s">
        <v>6800</v>
      </c>
      <c r="F86" s="2">
        <v>2</v>
      </c>
      <c r="H86" t="s">
        <v>3102</v>
      </c>
      <c r="I86" t="str">
        <f>+VLOOKUP(H86,$B$3:C$139,2,FALSE)</f>
        <v>ESTRUCTURAS METÁLICAS</v>
      </c>
      <c r="J86">
        <v>1</v>
      </c>
    </row>
    <row r="87" spans="2:10" x14ac:dyDescent="0.3">
      <c r="B87" s="5" t="s">
        <v>6864</v>
      </c>
      <c r="C87" s="5" t="s">
        <v>6865</v>
      </c>
      <c r="E87" s="10" t="s">
        <v>1111</v>
      </c>
      <c r="F87" s="2">
        <v>2</v>
      </c>
      <c r="H87" t="s">
        <v>7062</v>
      </c>
      <c r="I87" t="str">
        <f>+VLOOKUP(H87,$B$3:C$139,2,FALSE)</f>
        <v xml:space="preserve">ESTRUCTURAS METÁLICAS </v>
      </c>
      <c r="J87">
        <v>1</v>
      </c>
    </row>
    <row r="88" spans="2:10" x14ac:dyDescent="0.3">
      <c r="B88" s="5" t="s">
        <v>844</v>
      </c>
      <c r="C88" s="5" t="s">
        <v>6698</v>
      </c>
      <c r="E88" s="10" t="s">
        <v>6964</v>
      </c>
      <c r="F88" s="2">
        <v>137</v>
      </c>
    </row>
    <row r="89" spans="2:10" x14ac:dyDescent="0.3">
      <c r="B89" s="3" t="s">
        <v>6988</v>
      </c>
      <c r="C89" s="3" t="s">
        <v>6989</v>
      </c>
    </row>
    <row r="90" spans="2:10" x14ac:dyDescent="0.3">
      <c r="B90" s="5" t="s">
        <v>4315</v>
      </c>
      <c r="C90" s="5" t="s">
        <v>4316</v>
      </c>
    </row>
    <row r="91" spans="2:10" x14ac:dyDescent="0.3">
      <c r="B91" s="5" t="s">
        <v>6877</v>
      </c>
      <c r="C91" s="5" t="s">
        <v>6878</v>
      </c>
    </row>
    <row r="92" spans="2:10" x14ac:dyDescent="0.3">
      <c r="B92" s="3" t="s">
        <v>7001</v>
      </c>
      <c r="C92" s="3" t="s">
        <v>7002</v>
      </c>
    </row>
    <row r="93" spans="2:10" x14ac:dyDescent="0.3">
      <c r="B93" s="3" t="s">
        <v>6996</v>
      </c>
      <c r="C93" s="3" t="s">
        <v>6997</v>
      </c>
    </row>
    <row r="94" spans="2:10" x14ac:dyDescent="0.3">
      <c r="B94" s="5" t="s">
        <v>1276</v>
      </c>
      <c r="C94" s="5" t="s">
        <v>6735</v>
      </c>
    </row>
    <row r="95" spans="2:10" x14ac:dyDescent="0.3">
      <c r="B95" s="5" t="s">
        <v>6890</v>
      </c>
      <c r="C95" s="5" t="s">
        <v>6891</v>
      </c>
    </row>
    <row r="96" spans="2:10" x14ac:dyDescent="0.3">
      <c r="B96" s="5" t="s">
        <v>6897</v>
      </c>
      <c r="C96" s="5" t="s">
        <v>6898</v>
      </c>
    </row>
    <row r="97" spans="2:3" x14ac:dyDescent="0.3">
      <c r="B97" s="3" t="s">
        <v>6988</v>
      </c>
      <c r="C97" s="3" t="s">
        <v>6989</v>
      </c>
    </row>
    <row r="98" spans="2:3" x14ac:dyDescent="0.3">
      <c r="B98" s="5" t="s">
        <v>3066</v>
      </c>
      <c r="C98" s="5" t="s">
        <v>3347</v>
      </c>
    </row>
    <row r="99" spans="2:3" x14ac:dyDescent="0.3">
      <c r="B99" s="5" t="s">
        <v>1211</v>
      </c>
      <c r="C99" s="5" t="s">
        <v>3344</v>
      </c>
    </row>
    <row r="100" spans="2:3" x14ac:dyDescent="0.3">
      <c r="B100" s="3" t="s">
        <v>7073</v>
      </c>
      <c r="C100" s="3" t="s">
        <v>6762</v>
      </c>
    </row>
    <row r="101" spans="2:3" x14ac:dyDescent="0.3">
      <c r="B101" s="3" t="s">
        <v>4315</v>
      </c>
      <c r="C101" s="3" t="s">
        <v>6995</v>
      </c>
    </row>
    <row r="102" spans="2:3" x14ac:dyDescent="0.3">
      <c r="B102" s="3" t="s">
        <v>1088</v>
      </c>
      <c r="C102" s="3" t="s">
        <v>6714</v>
      </c>
    </row>
    <row r="103" spans="2:3" x14ac:dyDescent="0.3">
      <c r="B103" s="5" t="s">
        <v>673</v>
      </c>
      <c r="C103" s="5" t="s">
        <v>2250</v>
      </c>
    </row>
    <row r="104" spans="2:3" x14ac:dyDescent="0.3">
      <c r="B104" s="5" t="s">
        <v>2574</v>
      </c>
      <c r="C104" s="5" t="s">
        <v>2575</v>
      </c>
    </row>
    <row r="105" spans="2:3" x14ac:dyDescent="0.3">
      <c r="B105" s="3" t="s">
        <v>1438</v>
      </c>
      <c r="C105" s="3" t="s">
        <v>1439</v>
      </c>
    </row>
    <row r="106" spans="2:3" x14ac:dyDescent="0.3">
      <c r="B106" s="3" t="s">
        <v>7040</v>
      </c>
      <c r="C106" s="3" t="s">
        <v>1381</v>
      </c>
    </row>
    <row r="107" spans="2:3" x14ac:dyDescent="0.3">
      <c r="B107" s="3" t="s">
        <v>6766</v>
      </c>
      <c r="C107" s="3" t="s">
        <v>2865</v>
      </c>
    </row>
    <row r="108" spans="2:3" x14ac:dyDescent="0.3">
      <c r="B108" s="3" t="s">
        <v>7013</v>
      </c>
      <c r="C108" s="3" t="s">
        <v>7014</v>
      </c>
    </row>
    <row r="109" spans="2:3" x14ac:dyDescent="0.3">
      <c r="B109" s="3" t="s">
        <v>6807</v>
      </c>
      <c r="C109" s="3" t="s">
        <v>7004</v>
      </c>
    </row>
    <row r="110" spans="2:3" x14ac:dyDescent="0.3">
      <c r="B110" s="3" t="s">
        <v>6996</v>
      </c>
      <c r="C110" s="3" t="s">
        <v>6997</v>
      </c>
    </row>
    <row r="111" spans="2:3" x14ac:dyDescent="0.3">
      <c r="B111" s="5" t="s">
        <v>879</v>
      </c>
      <c r="C111" s="5" t="s">
        <v>6702</v>
      </c>
    </row>
    <row r="112" spans="2:3" x14ac:dyDescent="0.3">
      <c r="B112" s="5" t="s">
        <v>6767</v>
      </c>
      <c r="C112" s="5" t="s">
        <v>6771</v>
      </c>
    </row>
    <row r="113" spans="2:3" x14ac:dyDescent="0.3">
      <c r="B113" s="5" t="s">
        <v>1276</v>
      </c>
      <c r="C113" s="5" t="s">
        <v>6735</v>
      </c>
    </row>
    <row r="114" spans="2:3" x14ac:dyDescent="0.3">
      <c r="B114" s="3" t="s">
        <v>6991</v>
      </c>
      <c r="C114" s="3" t="s">
        <v>6992</v>
      </c>
    </row>
    <row r="115" spans="2:3" x14ac:dyDescent="0.3">
      <c r="B115" s="5" t="s">
        <v>6910</v>
      </c>
      <c r="C115" s="5" t="s">
        <v>6911</v>
      </c>
    </row>
    <row r="116" spans="2:3" x14ac:dyDescent="0.3">
      <c r="B116" s="5" t="s">
        <v>637</v>
      </c>
      <c r="C116" s="5" t="s">
        <v>6729</v>
      </c>
    </row>
    <row r="117" spans="2:3" x14ac:dyDescent="0.3">
      <c r="B117" s="3" t="s">
        <v>6766</v>
      </c>
      <c r="C117" s="3" t="s">
        <v>2865</v>
      </c>
    </row>
    <row r="118" spans="2:3" x14ac:dyDescent="0.3">
      <c r="B118" s="3" t="s">
        <v>4315</v>
      </c>
      <c r="C118" s="3" t="s">
        <v>6995</v>
      </c>
    </row>
    <row r="119" spans="2:3" x14ac:dyDescent="0.3">
      <c r="B119" s="5" t="s">
        <v>2248</v>
      </c>
      <c r="C119" s="5" t="s">
        <v>2249</v>
      </c>
    </row>
    <row r="120" spans="2:3" x14ac:dyDescent="0.3">
      <c r="B120" s="3" t="s">
        <v>7034</v>
      </c>
      <c r="C120" s="3" t="s">
        <v>7035</v>
      </c>
    </row>
    <row r="121" spans="2:3" x14ac:dyDescent="0.3">
      <c r="B121" s="3" t="s">
        <v>7016</v>
      </c>
      <c r="C121" s="3" t="s">
        <v>7017</v>
      </c>
    </row>
    <row r="122" spans="2:3" x14ac:dyDescent="0.3">
      <c r="B122" s="3" t="s">
        <v>2540</v>
      </c>
      <c r="C122" s="3" t="s">
        <v>2541</v>
      </c>
    </row>
    <row r="123" spans="2:3" x14ac:dyDescent="0.3">
      <c r="B123" s="5" t="s">
        <v>1277</v>
      </c>
      <c r="C123" s="5" t="s">
        <v>6736</v>
      </c>
    </row>
    <row r="124" spans="2:3" x14ac:dyDescent="0.3">
      <c r="B124" s="3" t="s">
        <v>6991</v>
      </c>
      <c r="C124" s="3" t="s">
        <v>6993</v>
      </c>
    </row>
    <row r="125" spans="2:3" x14ac:dyDescent="0.3">
      <c r="B125" s="5" t="s">
        <v>637</v>
      </c>
      <c r="C125" s="5" t="s">
        <v>6729</v>
      </c>
    </row>
    <row r="126" spans="2:3" x14ac:dyDescent="0.3">
      <c r="B126" s="5" t="s">
        <v>661</v>
      </c>
      <c r="C126" s="5" t="s">
        <v>1761</v>
      </c>
    </row>
    <row r="127" spans="2:3" x14ac:dyDescent="0.3">
      <c r="B127" s="3" t="s">
        <v>699</v>
      </c>
      <c r="C127" s="3" t="s">
        <v>6730</v>
      </c>
    </row>
    <row r="128" spans="2:3" x14ac:dyDescent="0.3">
      <c r="B128" s="5" t="s">
        <v>986</v>
      </c>
      <c r="C128" s="5" t="s">
        <v>6709</v>
      </c>
    </row>
    <row r="129" spans="2:3" x14ac:dyDescent="0.3">
      <c r="B129" s="3" t="s">
        <v>7037</v>
      </c>
      <c r="C129" s="3" t="s">
        <v>7042</v>
      </c>
    </row>
    <row r="130" spans="2:3" x14ac:dyDescent="0.3">
      <c r="B130" s="3" t="s">
        <v>7019</v>
      </c>
      <c r="C130" s="3" t="s">
        <v>2861</v>
      </c>
    </row>
    <row r="131" spans="2:3" x14ac:dyDescent="0.3">
      <c r="B131" s="5" t="s">
        <v>792</v>
      </c>
      <c r="C131" s="5" t="s">
        <v>6693</v>
      </c>
    </row>
    <row r="132" spans="2:3" x14ac:dyDescent="0.3">
      <c r="B132" s="5" t="s">
        <v>636</v>
      </c>
      <c r="C132" s="5" t="s">
        <v>3354</v>
      </c>
    </row>
    <row r="133" spans="2:3" x14ac:dyDescent="0.3">
      <c r="B133" s="5" t="s">
        <v>4315</v>
      </c>
      <c r="C133" s="5" t="s">
        <v>4316</v>
      </c>
    </row>
    <row r="134" spans="2:3" x14ac:dyDescent="0.3">
      <c r="B134" s="5" t="s">
        <v>4315</v>
      </c>
      <c r="C134" s="5" t="s">
        <v>4316</v>
      </c>
    </row>
    <row r="135" spans="2:3" x14ac:dyDescent="0.3">
      <c r="B135" s="5" t="s">
        <v>6414</v>
      </c>
      <c r="C135" s="5" t="s">
        <v>6415</v>
      </c>
    </row>
    <row r="136" spans="2:3" x14ac:dyDescent="0.3">
      <c r="B136" s="5" t="s">
        <v>671</v>
      </c>
      <c r="C136" s="5" t="s">
        <v>2251</v>
      </c>
    </row>
    <row r="137" spans="2:3" x14ac:dyDescent="0.3">
      <c r="B137" s="5" t="s">
        <v>6132</v>
      </c>
      <c r="C137" s="5" t="s">
        <v>6133</v>
      </c>
    </row>
    <row r="138" spans="2:3" x14ac:dyDescent="0.3">
      <c r="B138" s="5" t="s">
        <v>6132</v>
      </c>
      <c r="C138" s="5" t="s">
        <v>6133</v>
      </c>
    </row>
    <row r="139" spans="2:3" x14ac:dyDescent="0.3">
      <c r="B139" s="5" t="s">
        <v>671</v>
      </c>
      <c r="C139" s="5" t="s">
        <v>2251</v>
      </c>
    </row>
  </sheetData>
  <autoFilter ref="H3:J3">
    <sortState ref="H4:J87">
      <sortCondition descending="1" ref="J3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/>
  </sheetViews>
  <sheetFormatPr baseColWidth="10" defaultRowHeight="14.4" x14ac:dyDescent="0.3"/>
  <cols>
    <col min="2" max="2" width="36.44140625" bestFit="1" customWidth="1"/>
    <col min="5" max="5" width="16.5546875" bestFit="1" customWidth="1"/>
    <col min="6" max="6" width="37.77734375" bestFit="1" customWidth="1"/>
  </cols>
  <sheetData>
    <row r="1" spans="1:10" ht="30.6" x14ac:dyDescent="0.3">
      <c r="A1" s="4" t="s">
        <v>40</v>
      </c>
      <c r="B1" s="4" t="s">
        <v>41</v>
      </c>
    </row>
    <row r="2" spans="1:10" x14ac:dyDescent="0.3">
      <c r="A2" s="5" t="s">
        <v>1038</v>
      </c>
      <c r="B2" s="5" t="s">
        <v>3351</v>
      </c>
      <c r="E2" s="9" t="s">
        <v>6963</v>
      </c>
      <c r="F2" t="s">
        <v>7077</v>
      </c>
      <c r="H2" t="s">
        <v>6963</v>
      </c>
      <c r="I2" t="s">
        <v>7082</v>
      </c>
      <c r="J2" t="s">
        <v>7077</v>
      </c>
    </row>
    <row r="3" spans="1:10" x14ac:dyDescent="0.3">
      <c r="A3" s="5" t="s">
        <v>3123</v>
      </c>
      <c r="B3" s="5" t="s">
        <v>3353</v>
      </c>
      <c r="E3" s="10" t="s">
        <v>3201</v>
      </c>
      <c r="F3" s="2">
        <v>2</v>
      </c>
      <c r="H3" t="s">
        <v>3242</v>
      </c>
      <c r="I3" t="str">
        <f t="shared" ref="I3:I39" si="0">+VLOOKUP(H3,$A$2:$B$53,2,FALSE)</f>
        <v>CAMARÓN CONGELADO</v>
      </c>
      <c r="J3">
        <v>3</v>
      </c>
    </row>
    <row r="4" spans="1:10" x14ac:dyDescent="0.3">
      <c r="A4" s="5" t="s">
        <v>3132</v>
      </c>
      <c r="B4" s="5" t="s">
        <v>3355</v>
      </c>
      <c r="E4" s="10" t="s">
        <v>3242</v>
      </c>
      <c r="F4" s="2">
        <v>3</v>
      </c>
      <c r="H4" t="s">
        <v>3241</v>
      </c>
      <c r="I4" t="str">
        <f t="shared" si="0"/>
        <v>CAMARÓN CONGELADO DE EXPORTACIÓN</v>
      </c>
      <c r="J4">
        <v>3</v>
      </c>
    </row>
    <row r="5" spans="1:10" x14ac:dyDescent="0.3">
      <c r="A5" s="5" t="s">
        <v>1436</v>
      </c>
      <c r="B5" s="5" t="s">
        <v>1437</v>
      </c>
      <c r="E5" s="10" t="s">
        <v>3241</v>
      </c>
      <c r="F5" s="2">
        <v>3</v>
      </c>
      <c r="H5" t="s">
        <v>2572</v>
      </c>
      <c r="I5" t="str">
        <f t="shared" si="0"/>
        <v>ADOQUINES</v>
      </c>
      <c r="J5">
        <v>3</v>
      </c>
    </row>
    <row r="6" spans="1:10" x14ac:dyDescent="0.3">
      <c r="A6" s="5" t="s">
        <v>121</v>
      </c>
      <c r="B6" s="5" t="s">
        <v>3342</v>
      </c>
      <c r="E6" s="10" t="s">
        <v>3178</v>
      </c>
      <c r="F6" s="2">
        <v>1</v>
      </c>
      <c r="H6" t="s">
        <v>3285</v>
      </c>
      <c r="I6" t="str">
        <f t="shared" si="0"/>
        <v>OLLA DE METAL</v>
      </c>
      <c r="J6">
        <v>3</v>
      </c>
    </row>
    <row r="7" spans="1:10" x14ac:dyDescent="0.3">
      <c r="A7" s="5" t="s">
        <v>1779</v>
      </c>
      <c r="B7" s="5" t="s">
        <v>1780</v>
      </c>
      <c r="E7" s="10" t="s">
        <v>528</v>
      </c>
      <c r="F7" s="2">
        <v>1</v>
      </c>
      <c r="H7" t="s">
        <v>3201</v>
      </c>
      <c r="I7" t="str">
        <f t="shared" si="0"/>
        <v>CAMARÓN FRESCO</v>
      </c>
      <c r="J7">
        <v>2</v>
      </c>
    </row>
    <row r="8" spans="1:10" x14ac:dyDescent="0.3">
      <c r="A8" s="5" t="s">
        <v>3201</v>
      </c>
      <c r="B8" s="5" t="s">
        <v>3360</v>
      </c>
      <c r="E8" s="10" t="s">
        <v>1199</v>
      </c>
      <c r="F8" s="2">
        <v>1</v>
      </c>
      <c r="H8" t="s">
        <v>540</v>
      </c>
      <c r="I8" t="str">
        <f t="shared" si="0"/>
        <v>TELA DE PUNTO POLIESTER</v>
      </c>
      <c r="J8">
        <v>2</v>
      </c>
    </row>
    <row r="9" spans="1:10" x14ac:dyDescent="0.3">
      <c r="A9" s="5" t="s">
        <v>1957</v>
      </c>
      <c r="B9" s="5" t="s">
        <v>1958</v>
      </c>
      <c r="E9" s="10" t="s">
        <v>3250</v>
      </c>
      <c r="F9" s="2">
        <v>1</v>
      </c>
      <c r="H9" t="s">
        <v>575</v>
      </c>
      <c r="I9" t="str">
        <f t="shared" si="0"/>
        <v>TOALLAS DE BAÑO DE ALGODÓN</v>
      </c>
      <c r="J9">
        <v>2</v>
      </c>
    </row>
    <row r="10" spans="1:10" x14ac:dyDescent="0.3">
      <c r="A10" s="5" t="s">
        <v>3241</v>
      </c>
      <c r="B10" s="5" t="s">
        <v>3361</v>
      </c>
      <c r="E10" s="10" t="s">
        <v>121</v>
      </c>
      <c r="F10" s="2">
        <v>1</v>
      </c>
      <c r="H10" t="s">
        <v>6965</v>
      </c>
      <c r="I10" t="str">
        <f t="shared" si="0"/>
        <v>NEUMÁTICO PARA AUTOMÓVIL</v>
      </c>
      <c r="J10">
        <v>2</v>
      </c>
    </row>
    <row r="11" spans="1:10" x14ac:dyDescent="0.3">
      <c r="A11" s="5" t="s">
        <v>528</v>
      </c>
      <c r="B11" s="5" t="s">
        <v>3363</v>
      </c>
      <c r="E11" s="10" t="s">
        <v>1200</v>
      </c>
      <c r="F11" s="2">
        <v>1</v>
      </c>
      <c r="H11" t="s">
        <v>6969</v>
      </c>
      <c r="I11" t="str">
        <f t="shared" si="0"/>
        <v>NEUMÁTICO PARA CAMIONETA</v>
      </c>
      <c r="J11">
        <v>2</v>
      </c>
    </row>
    <row r="12" spans="1:10" x14ac:dyDescent="0.3">
      <c r="A12" s="5" t="s">
        <v>540</v>
      </c>
      <c r="B12" s="5" t="s">
        <v>2205</v>
      </c>
      <c r="E12" s="10" t="s">
        <v>3175</v>
      </c>
      <c r="F12" s="2">
        <v>1</v>
      </c>
      <c r="H12" t="s">
        <v>3132</v>
      </c>
      <c r="I12" t="str">
        <f t="shared" si="0"/>
        <v>BLOQUES</v>
      </c>
      <c r="J12">
        <v>2</v>
      </c>
    </row>
    <row r="13" spans="1:10" x14ac:dyDescent="0.3">
      <c r="A13" s="5" t="s">
        <v>3241</v>
      </c>
      <c r="B13" s="5" t="s">
        <v>3361</v>
      </c>
      <c r="E13" s="10" t="s">
        <v>3177</v>
      </c>
      <c r="F13" s="2">
        <v>1</v>
      </c>
      <c r="H13" t="s">
        <v>1957</v>
      </c>
      <c r="I13" t="str">
        <f t="shared" si="0"/>
        <v>REFRIGERADORA DOS PUERTAS</v>
      </c>
      <c r="J13">
        <v>2</v>
      </c>
    </row>
    <row r="14" spans="1:10" x14ac:dyDescent="0.3">
      <c r="A14" s="5" t="s">
        <v>3132</v>
      </c>
      <c r="B14" s="5" t="s">
        <v>3355</v>
      </c>
      <c r="E14" s="10" t="s">
        <v>3176</v>
      </c>
      <c r="F14" s="2">
        <v>1</v>
      </c>
      <c r="H14" t="s">
        <v>3178</v>
      </c>
      <c r="I14" t="str">
        <f t="shared" si="0"/>
        <v>TÉ VERDE</v>
      </c>
      <c r="J14">
        <v>1</v>
      </c>
    </row>
    <row r="15" spans="1:10" x14ac:dyDescent="0.3">
      <c r="A15" s="3" t="s">
        <v>6965</v>
      </c>
      <c r="B15" s="3" t="s">
        <v>6966</v>
      </c>
      <c r="E15" s="10" t="s">
        <v>2444</v>
      </c>
      <c r="F15" s="2">
        <v>1</v>
      </c>
      <c r="H15" t="s">
        <v>528</v>
      </c>
      <c r="I15" t="str">
        <f t="shared" si="0"/>
        <v>SALSA DE TOMATE</v>
      </c>
      <c r="J15">
        <v>1</v>
      </c>
    </row>
    <row r="16" spans="1:10" x14ac:dyDescent="0.3">
      <c r="A16" s="5" t="s">
        <v>3285</v>
      </c>
      <c r="B16" s="5" t="s">
        <v>3367</v>
      </c>
      <c r="E16" s="10" t="s">
        <v>1434</v>
      </c>
      <c r="F16" s="2">
        <v>1</v>
      </c>
      <c r="H16" t="s">
        <v>1199</v>
      </c>
      <c r="I16" t="str">
        <f t="shared" si="0"/>
        <v>MAYONESA</v>
      </c>
      <c r="J16">
        <v>1</v>
      </c>
    </row>
    <row r="17" spans="1:10" x14ac:dyDescent="0.3">
      <c r="A17" s="5" t="s">
        <v>1037</v>
      </c>
      <c r="B17" s="5" t="s">
        <v>1959</v>
      </c>
      <c r="E17" s="10" t="s">
        <v>1436</v>
      </c>
      <c r="F17" s="2">
        <v>1</v>
      </c>
      <c r="H17" t="s">
        <v>3250</v>
      </c>
      <c r="I17" t="str">
        <f t="shared" si="0"/>
        <v>MOSTAZA</v>
      </c>
      <c r="J17">
        <v>1</v>
      </c>
    </row>
    <row r="18" spans="1:10" x14ac:dyDescent="0.3">
      <c r="A18" s="5" t="s">
        <v>1212</v>
      </c>
      <c r="B18" s="5" t="s">
        <v>1853</v>
      </c>
      <c r="E18" s="10" t="s">
        <v>1438</v>
      </c>
      <c r="F18" s="2">
        <v>1</v>
      </c>
      <c r="H18" t="s">
        <v>121</v>
      </c>
      <c r="I18" t="str">
        <f t="shared" si="0"/>
        <v>ALIÑOS PREPARADOS</v>
      </c>
      <c r="J18">
        <v>1</v>
      </c>
    </row>
    <row r="19" spans="1:10" x14ac:dyDescent="0.3">
      <c r="A19" s="5" t="s">
        <v>2572</v>
      </c>
      <c r="B19" s="5" t="s">
        <v>2573</v>
      </c>
      <c r="E19" s="10" t="s">
        <v>540</v>
      </c>
      <c r="F19" s="2">
        <v>2</v>
      </c>
      <c r="H19" t="s">
        <v>1200</v>
      </c>
      <c r="I19" t="str">
        <f t="shared" si="0"/>
        <v>PASTA DE TOMATE</v>
      </c>
      <c r="J19">
        <v>1</v>
      </c>
    </row>
    <row r="20" spans="1:10" x14ac:dyDescent="0.3">
      <c r="A20" s="5" t="s">
        <v>1438</v>
      </c>
      <c r="B20" s="5" t="s">
        <v>1439</v>
      </c>
      <c r="E20" s="10" t="s">
        <v>575</v>
      </c>
      <c r="F20" s="2">
        <v>2</v>
      </c>
      <c r="H20" t="s">
        <v>3175</v>
      </c>
      <c r="I20" t="str">
        <f t="shared" si="0"/>
        <v>TÉ DE CEDRÓN</v>
      </c>
      <c r="J20">
        <v>1</v>
      </c>
    </row>
    <row r="21" spans="1:10" x14ac:dyDescent="0.3">
      <c r="A21" s="5" t="s">
        <v>3175</v>
      </c>
      <c r="B21" s="5" t="s">
        <v>3356</v>
      </c>
      <c r="E21" s="10" t="s">
        <v>1779</v>
      </c>
      <c r="F21" s="2">
        <v>1</v>
      </c>
      <c r="H21" t="s">
        <v>3177</v>
      </c>
      <c r="I21" t="str">
        <f t="shared" si="0"/>
        <v>TÉ DE MANZANILLA</v>
      </c>
      <c r="J21">
        <v>1</v>
      </c>
    </row>
    <row r="22" spans="1:10" x14ac:dyDescent="0.3">
      <c r="A22" s="5" t="s">
        <v>575</v>
      </c>
      <c r="B22" s="5" t="s">
        <v>2635</v>
      </c>
      <c r="E22" s="10" t="s">
        <v>3123</v>
      </c>
      <c r="F22" s="2">
        <v>1</v>
      </c>
      <c r="H22" t="s">
        <v>3176</v>
      </c>
      <c r="I22" t="str">
        <f t="shared" si="0"/>
        <v>TÉ DE HIERBA LUISA</v>
      </c>
      <c r="J22">
        <v>1</v>
      </c>
    </row>
    <row r="23" spans="1:10" x14ac:dyDescent="0.3">
      <c r="A23" s="5" t="s">
        <v>3201</v>
      </c>
      <c r="B23" s="5" t="s">
        <v>3360</v>
      </c>
      <c r="E23" s="10" t="s">
        <v>1212</v>
      </c>
      <c r="F23" s="2">
        <v>1</v>
      </c>
      <c r="H23" t="s">
        <v>2444</v>
      </c>
      <c r="I23" t="str">
        <f t="shared" si="0"/>
        <v>WHISKY</v>
      </c>
      <c r="J23">
        <v>1</v>
      </c>
    </row>
    <row r="24" spans="1:10" x14ac:dyDescent="0.3">
      <c r="A24" s="5" t="s">
        <v>1957</v>
      </c>
      <c r="B24" s="5" t="s">
        <v>1958</v>
      </c>
      <c r="E24" s="10" t="s">
        <v>636</v>
      </c>
      <c r="F24" s="2">
        <v>1</v>
      </c>
      <c r="H24" t="s">
        <v>1434</v>
      </c>
      <c r="I24" t="str">
        <f t="shared" si="0"/>
        <v>RON</v>
      </c>
      <c r="J24">
        <v>1</v>
      </c>
    </row>
    <row r="25" spans="1:10" x14ac:dyDescent="0.3">
      <c r="A25" s="5" t="s">
        <v>3242</v>
      </c>
      <c r="B25" s="5" t="s">
        <v>3362</v>
      </c>
      <c r="E25" s="10" t="s">
        <v>7081</v>
      </c>
      <c r="F25" s="2">
        <v>1</v>
      </c>
      <c r="H25" t="s">
        <v>1436</v>
      </c>
      <c r="I25" t="str">
        <f t="shared" si="0"/>
        <v>VODKA</v>
      </c>
      <c r="J25">
        <v>1</v>
      </c>
    </row>
    <row r="26" spans="1:10" x14ac:dyDescent="0.3">
      <c r="A26" s="5" t="s">
        <v>1199</v>
      </c>
      <c r="B26" s="5" t="s">
        <v>3364</v>
      </c>
      <c r="E26" s="10" t="s">
        <v>1211</v>
      </c>
      <c r="F26" s="2">
        <v>1</v>
      </c>
      <c r="H26" t="s">
        <v>1438</v>
      </c>
      <c r="I26" t="str">
        <f t="shared" si="0"/>
        <v>VINO ESPUMANTE</v>
      </c>
      <c r="J26">
        <v>1</v>
      </c>
    </row>
    <row r="27" spans="1:10" x14ac:dyDescent="0.3">
      <c r="A27" s="5" t="s">
        <v>540</v>
      </c>
      <c r="B27" s="5" t="s">
        <v>2205</v>
      </c>
      <c r="E27" s="10" t="s">
        <v>3066</v>
      </c>
      <c r="F27" s="2">
        <v>1</v>
      </c>
      <c r="H27" t="s">
        <v>1779</v>
      </c>
      <c r="I27" t="str">
        <f t="shared" si="0"/>
        <v>EDREDON</v>
      </c>
      <c r="J27">
        <v>1</v>
      </c>
    </row>
    <row r="28" spans="1:10" x14ac:dyDescent="0.3">
      <c r="A28" s="5" t="s">
        <v>3241</v>
      </c>
      <c r="B28" s="5" t="s">
        <v>3361</v>
      </c>
      <c r="E28" s="10" t="s">
        <v>3067</v>
      </c>
      <c r="F28" s="2">
        <v>1</v>
      </c>
      <c r="H28" t="s">
        <v>3123</v>
      </c>
      <c r="I28" t="str">
        <f t="shared" si="0"/>
        <v>CEMENTO DE CONTACTO</v>
      </c>
      <c r="J28">
        <v>1</v>
      </c>
    </row>
    <row r="29" spans="1:10" x14ac:dyDescent="0.3">
      <c r="A29" s="5" t="s">
        <v>2572</v>
      </c>
      <c r="B29" s="5" t="s">
        <v>2573</v>
      </c>
      <c r="E29" s="10" t="s">
        <v>6965</v>
      </c>
      <c r="F29" s="2">
        <v>2</v>
      </c>
      <c r="H29" t="s">
        <v>1212</v>
      </c>
      <c r="I29" t="str">
        <f t="shared" si="0"/>
        <v>RESINA</v>
      </c>
      <c r="J29">
        <v>1</v>
      </c>
    </row>
    <row r="30" spans="1:10" x14ac:dyDescent="0.3">
      <c r="A30" s="3" t="s">
        <v>6965</v>
      </c>
      <c r="B30" s="3" t="s">
        <v>6966</v>
      </c>
      <c r="E30" s="10" t="s">
        <v>6969</v>
      </c>
      <c r="F30" s="2">
        <v>2</v>
      </c>
      <c r="H30" t="s">
        <v>636</v>
      </c>
      <c r="I30" t="str">
        <f t="shared" si="0"/>
        <v>PINTURA</v>
      </c>
      <c r="J30">
        <v>1</v>
      </c>
    </row>
    <row r="31" spans="1:10" x14ac:dyDescent="0.3">
      <c r="A31" s="5" t="s">
        <v>3285</v>
      </c>
      <c r="B31" s="5" t="s">
        <v>3367</v>
      </c>
      <c r="E31" s="10" t="s">
        <v>6973</v>
      </c>
      <c r="F31" s="2">
        <v>1</v>
      </c>
      <c r="H31" t="s">
        <v>7081</v>
      </c>
      <c r="I31" t="str">
        <f t="shared" si="0"/>
        <v>BARNIZ</v>
      </c>
      <c r="J31">
        <v>1</v>
      </c>
    </row>
    <row r="32" spans="1:10" x14ac:dyDescent="0.3">
      <c r="A32" s="5" t="s">
        <v>3113</v>
      </c>
      <c r="B32" s="5" t="s">
        <v>3352</v>
      </c>
      <c r="E32" s="10" t="s">
        <v>300</v>
      </c>
      <c r="F32" s="2">
        <v>1</v>
      </c>
      <c r="H32" t="s">
        <v>1211</v>
      </c>
      <c r="I32" t="str">
        <f t="shared" si="0"/>
        <v>SELLANTE</v>
      </c>
      <c r="J32">
        <v>1</v>
      </c>
    </row>
    <row r="33" spans="1:10" x14ac:dyDescent="0.3">
      <c r="A33" s="5" t="s">
        <v>636</v>
      </c>
      <c r="B33" s="5" t="s">
        <v>3354</v>
      </c>
      <c r="E33" s="10" t="s">
        <v>3132</v>
      </c>
      <c r="F33" s="2">
        <v>2</v>
      </c>
      <c r="H33" t="s">
        <v>3066</v>
      </c>
      <c r="I33" t="str">
        <f t="shared" si="0"/>
        <v>MORTERO</v>
      </c>
      <c r="J33">
        <v>1</v>
      </c>
    </row>
    <row r="34" spans="1:10" x14ac:dyDescent="0.3">
      <c r="A34" s="5" t="s">
        <v>2572</v>
      </c>
      <c r="B34" s="5" t="s">
        <v>2573</v>
      </c>
      <c r="E34" s="10" t="s">
        <v>2572</v>
      </c>
      <c r="F34" s="2">
        <v>3</v>
      </c>
      <c r="H34" t="s">
        <v>3067</v>
      </c>
      <c r="I34" t="str">
        <f t="shared" si="0"/>
        <v>EMPASTE</v>
      </c>
      <c r="J34">
        <v>1</v>
      </c>
    </row>
    <row r="35" spans="1:10" x14ac:dyDescent="0.3">
      <c r="A35" s="5" t="s">
        <v>2444</v>
      </c>
      <c r="B35" s="5" t="s">
        <v>2445</v>
      </c>
      <c r="E35" s="10" t="s">
        <v>3113</v>
      </c>
      <c r="F35" s="2">
        <v>1</v>
      </c>
      <c r="H35" t="s">
        <v>6973</v>
      </c>
      <c r="I35" t="str">
        <f t="shared" si="0"/>
        <v>NEUMÁTICO DE CAMIÓN</v>
      </c>
      <c r="J35">
        <v>1</v>
      </c>
    </row>
    <row r="36" spans="1:10" x14ac:dyDescent="0.3">
      <c r="A36" s="5" t="s">
        <v>3176</v>
      </c>
      <c r="B36" s="5" t="s">
        <v>3357</v>
      </c>
      <c r="E36" s="10" t="s">
        <v>3285</v>
      </c>
      <c r="F36" s="2">
        <v>3</v>
      </c>
      <c r="H36" t="s">
        <v>300</v>
      </c>
      <c r="I36" t="str">
        <f t="shared" si="0"/>
        <v>HORMIGÓN PRÉ-MEZCLADO</v>
      </c>
      <c r="J36">
        <v>1</v>
      </c>
    </row>
    <row r="37" spans="1:10" x14ac:dyDescent="0.3">
      <c r="A37" s="5" t="s">
        <v>575</v>
      </c>
      <c r="B37" s="5" t="s">
        <v>2635</v>
      </c>
      <c r="E37" s="10" t="s">
        <v>1957</v>
      </c>
      <c r="F37" s="2">
        <v>2</v>
      </c>
      <c r="H37" t="s">
        <v>3113</v>
      </c>
      <c r="I37" t="str">
        <f t="shared" si="0"/>
        <v>ENVASES METÁLICO</v>
      </c>
      <c r="J37">
        <v>1</v>
      </c>
    </row>
    <row r="38" spans="1:10" x14ac:dyDescent="0.3">
      <c r="A38" s="5" t="s">
        <v>1434</v>
      </c>
      <c r="B38" s="5" t="s">
        <v>1435</v>
      </c>
      <c r="E38" s="10" t="s">
        <v>1038</v>
      </c>
      <c r="F38" s="2">
        <v>1</v>
      </c>
      <c r="H38" t="s">
        <v>1038</v>
      </c>
      <c r="I38" t="str">
        <f t="shared" si="0"/>
        <v>HORNO ELECTRICO</v>
      </c>
      <c r="J38">
        <v>1</v>
      </c>
    </row>
    <row r="39" spans="1:10" x14ac:dyDescent="0.3">
      <c r="A39" s="5" t="s">
        <v>3242</v>
      </c>
      <c r="B39" s="5" t="s">
        <v>3362</v>
      </c>
      <c r="E39" s="10" t="s">
        <v>1037</v>
      </c>
      <c r="F39" s="2">
        <v>1</v>
      </c>
      <c r="H39" t="s">
        <v>1037</v>
      </c>
      <c r="I39" t="str">
        <f t="shared" si="0"/>
        <v>COCINETA DE GAS</v>
      </c>
      <c r="J39">
        <v>1</v>
      </c>
    </row>
    <row r="40" spans="1:10" x14ac:dyDescent="0.3">
      <c r="A40" s="5" t="s">
        <v>3067</v>
      </c>
      <c r="B40" s="5" t="s">
        <v>3348</v>
      </c>
      <c r="E40" s="10" t="s">
        <v>6964</v>
      </c>
      <c r="F40" s="2">
        <v>52</v>
      </c>
    </row>
    <row r="41" spans="1:10" x14ac:dyDescent="0.3">
      <c r="A41" s="3" t="s">
        <v>6969</v>
      </c>
      <c r="B41" s="3" t="s">
        <v>6970</v>
      </c>
    </row>
    <row r="42" spans="1:10" x14ac:dyDescent="0.3">
      <c r="A42" s="5" t="s">
        <v>3285</v>
      </c>
      <c r="B42" s="5" t="s">
        <v>3367</v>
      </c>
    </row>
    <row r="43" spans="1:10" x14ac:dyDescent="0.3">
      <c r="A43" s="1" t="s">
        <v>7081</v>
      </c>
      <c r="B43" s="5" t="s">
        <v>3124</v>
      </c>
    </row>
    <row r="44" spans="1:10" x14ac:dyDescent="0.3">
      <c r="A44" s="5" t="s">
        <v>3177</v>
      </c>
      <c r="B44" s="5" t="s">
        <v>3358</v>
      </c>
    </row>
    <row r="45" spans="1:10" x14ac:dyDescent="0.3">
      <c r="A45" s="5" t="s">
        <v>1200</v>
      </c>
      <c r="B45" s="5" t="s">
        <v>3365</v>
      </c>
    </row>
    <row r="46" spans="1:10" x14ac:dyDescent="0.3">
      <c r="A46" s="5" t="s">
        <v>3242</v>
      </c>
      <c r="B46" s="5" t="s">
        <v>3362</v>
      </c>
    </row>
    <row r="47" spans="1:10" x14ac:dyDescent="0.3">
      <c r="A47" s="5" t="s">
        <v>3066</v>
      </c>
      <c r="B47" s="5" t="s">
        <v>3347</v>
      </c>
    </row>
    <row r="48" spans="1:10" x14ac:dyDescent="0.3">
      <c r="A48" s="3" t="s">
        <v>6969</v>
      </c>
      <c r="B48" s="3" t="s">
        <v>6970</v>
      </c>
    </row>
    <row r="49" spans="1:2" x14ac:dyDescent="0.3">
      <c r="A49" s="5" t="s">
        <v>1211</v>
      </c>
      <c r="B49" s="5" t="s">
        <v>3344</v>
      </c>
    </row>
    <row r="50" spans="1:2" x14ac:dyDescent="0.3">
      <c r="A50" s="5" t="s">
        <v>3178</v>
      </c>
      <c r="B50" s="5" t="s">
        <v>3359</v>
      </c>
    </row>
    <row r="51" spans="1:2" x14ac:dyDescent="0.3">
      <c r="A51" s="5" t="s">
        <v>3250</v>
      </c>
      <c r="B51" s="5" t="s">
        <v>3366</v>
      </c>
    </row>
    <row r="52" spans="1:2" x14ac:dyDescent="0.3">
      <c r="A52" s="5" t="s">
        <v>300</v>
      </c>
      <c r="B52" s="5" t="s">
        <v>2263</v>
      </c>
    </row>
    <row r="53" spans="1:2" x14ac:dyDescent="0.3">
      <c r="A53" s="3" t="s">
        <v>6973</v>
      </c>
      <c r="B53" s="3" t="s">
        <v>6974</v>
      </c>
    </row>
  </sheetData>
  <autoFilter ref="H2:J39">
    <sortState ref="H3:J39">
      <sortCondition descending="1" ref="J2:J39"/>
    </sortState>
  </autoFilter>
  <conditionalFormatting sqref="A43">
    <cfRule type="duplicateValues" dxfId="181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33"/>
  <sheetViews>
    <sheetView topLeftCell="B115" workbookViewId="0">
      <selection activeCell="B3" sqref="B3:B133"/>
    </sheetView>
  </sheetViews>
  <sheetFormatPr baseColWidth="10" defaultRowHeight="14.4" x14ac:dyDescent="0.3"/>
  <cols>
    <col min="8" max="8" width="16.5546875" bestFit="1" customWidth="1"/>
    <col min="9" max="9" width="37.77734375" bestFit="1" customWidth="1"/>
  </cols>
  <sheetData>
    <row r="2" spans="2:13" ht="30.6" x14ac:dyDescent="0.3">
      <c r="B2" s="4" t="s">
        <v>40</v>
      </c>
      <c r="C2" s="4" t="s">
        <v>41</v>
      </c>
    </row>
    <row r="3" spans="2:13" x14ac:dyDescent="0.3">
      <c r="B3" s="7" t="s">
        <v>104</v>
      </c>
      <c r="C3" s="6" t="s">
        <v>6700</v>
      </c>
      <c r="H3" s="9" t="s">
        <v>6963</v>
      </c>
      <c r="I3" t="s">
        <v>7077</v>
      </c>
      <c r="K3" t="s">
        <v>6963</v>
      </c>
      <c r="L3" t="s">
        <v>7083</v>
      </c>
      <c r="M3" t="s">
        <v>7077</v>
      </c>
    </row>
    <row r="4" spans="2:13" x14ac:dyDescent="0.3">
      <c r="B4" s="7" t="s">
        <v>119</v>
      </c>
      <c r="C4" s="6" t="s">
        <v>3343</v>
      </c>
      <c r="H4" s="10" t="s">
        <v>6752</v>
      </c>
      <c r="I4" s="2">
        <v>1</v>
      </c>
      <c r="K4" t="s">
        <v>1418</v>
      </c>
      <c r="L4" t="str">
        <f t="shared" ref="L4:L35" si="0">+VLOOKUP(K4,$B$3:$C$133,2,FALSE)</f>
        <v>PULPA DE FRUTAS</v>
      </c>
      <c r="M4">
        <v>9</v>
      </c>
    </row>
    <row r="5" spans="2:13" x14ac:dyDescent="0.3">
      <c r="B5" s="7" t="s">
        <v>180</v>
      </c>
      <c r="C5" s="6" t="s">
        <v>6705</v>
      </c>
      <c r="H5" s="10" t="s">
        <v>6754</v>
      </c>
      <c r="I5" s="2">
        <v>2</v>
      </c>
      <c r="K5" t="s">
        <v>1336</v>
      </c>
      <c r="L5" t="str">
        <f t="shared" si="0"/>
        <v>ABONO COMPUESTO</v>
      </c>
      <c r="M5">
        <v>8</v>
      </c>
    </row>
    <row r="6" spans="2:13" x14ac:dyDescent="0.3">
      <c r="B6" s="7" t="s">
        <v>197</v>
      </c>
      <c r="C6" s="6" t="s">
        <v>6742</v>
      </c>
      <c r="H6" s="10" t="s">
        <v>3241</v>
      </c>
      <c r="I6" s="2">
        <v>2</v>
      </c>
      <c r="K6" t="s">
        <v>553</v>
      </c>
      <c r="L6" t="str">
        <f t="shared" si="0"/>
        <v>HILO ACRILICO</v>
      </c>
      <c r="M6">
        <v>7</v>
      </c>
    </row>
    <row r="7" spans="2:13" x14ac:dyDescent="0.3">
      <c r="B7" s="7" t="s">
        <v>217</v>
      </c>
      <c r="C7" s="6" t="s">
        <v>6703</v>
      </c>
      <c r="H7" s="10" t="s">
        <v>397</v>
      </c>
      <c r="I7" s="2">
        <v>3</v>
      </c>
      <c r="K7" t="s">
        <v>661</v>
      </c>
      <c r="L7" t="str">
        <f t="shared" si="0"/>
        <v>DESGRASANTES</v>
      </c>
      <c r="M7">
        <v>6</v>
      </c>
    </row>
    <row r="8" spans="2:13" x14ac:dyDescent="0.3">
      <c r="B8" s="7" t="s">
        <v>300</v>
      </c>
      <c r="C8" s="6" t="s">
        <v>2263</v>
      </c>
      <c r="H8" s="10" t="s">
        <v>2175</v>
      </c>
      <c r="I8" s="2">
        <v>1</v>
      </c>
      <c r="K8" t="s">
        <v>300</v>
      </c>
      <c r="L8" t="str">
        <f t="shared" si="0"/>
        <v>HORMIGÓN PRÉ-MEZCLADO</v>
      </c>
      <c r="M8">
        <v>5</v>
      </c>
    </row>
    <row r="9" spans="2:13" x14ac:dyDescent="0.3">
      <c r="B9" s="7" t="s">
        <v>300</v>
      </c>
      <c r="C9" s="6" t="s">
        <v>2263</v>
      </c>
      <c r="H9" s="10" t="s">
        <v>1418</v>
      </c>
      <c r="I9" s="2">
        <v>9</v>
      </c>
      <c r="K9" t="s">
        <v>602</v>
      </c>
      <c r="L9" t="str">
        <f t="shared" si="0"/>
        <v>BOTINES DE CUERO</v>
      </c>
      <c r="M9">
        <v>4</v>
      </c>
    </row>
    <row r="10" spans="2:13" x14ac:dyDescent="0.3">
      <c r="B10" s="7" t="s">
        <v>386</v>
      </c>
      <c r="C10" s="6" t="s">
        <v>5215</v>
      </c>
      <c r="H10" s="10" t="s">
        <v>386</v>
      </c>
      <c r="I10" s="2">
        <v>3</v>
      </c>
      <c r="K10" t="s">
        <v>449</v>
      </c>
      <c r="L10" t="str">
        <f t="shared" si="0"/>
        <v>ESCOBA</v>
      </c>
      <c r="M10">
        <v>4</v>
      </c>
    </row>
    <row r="11" spans="2:13" x14ac:dyDescent="0.3">
      <c r="B11" s="7" t="s">
        <v>397</v>
      </c>
      <c r="C11" s="6" t="s">
        <v>6744</v>
      </c>
      <c r="H11" s="10" t="s">
        <v>711</v>
      </c>
      <c r="I11" s="2">
        <v>1</v>
      </c>
      <c r="K11" t="s">
        <v>397</v>
      </c>
      <c r="L11" t="str">
        <f t="shared" si="0"/>
        <v>MANÍ  DE SAL (SNACK)</v>
      </c>
      <c r="M11">
        <v>3</v>
      </c>
    </row>
    <row r="12" spans="2:13" x14ac:dyDescent="0.3">
      <c r="B12" s="7" t="s">
        <v>449</v>
      </c>
      <c r="C12" s="6" t="s">
        <v>6745</v>
      </c>
      <c r="H12" s="10" t="s">
        <v>104</v>
      </c>
      <c r="I12" s="2">
        <v>3</v>
      </c>
      <c r="K12" t="s">
        <v>386</v>
      </c>
      <c r="L12" t="str">
        <f t="shared" si="0"/>
        <v>ACEITE CRUDO DE PALMA AFRICANA</v>
      </c>
      <c r="M12">
        <v>3</v>
      </c>
    </row>
    <row r="13" spans="2:13" x14ac:dyDescent="0.3">
      <c r="B13" s="7" t="s">
        <v>300</v>
      </c>
      <c r="C13" s="6" t="s">
        <v>2263</v>
      </c>
      <c r="H13" s="10" t="s">
        <v>120</v>
      </c>
      <c r="I13" s="2">
        <v>1</v>
      </c>
      <c r="K13" t="s">
        <v>104</v>
      </c>
      <c r="L13" t="str">
        <f t="shared" si="0"/>
        <v>CARAMELOS</v>
      </c>
      <c r="M13">
        <v>3</v>
      </c>
    </row>
    <row r="14" spans="2:13" x14ac:dyDescent="0.3">
      <c r="B14" s="7" t="s">
        <v>479</v>
      </c>
      <c r="C14" s="6" t="s">
        <v>6746</v>
      </c>
      <c r="H14" s="10" t="s">
        <v>119</v>
      </c>
      <c r="I14" s="2">
        <v>1</v>
      </c>
      <c r="K14" t="s">
        <v>575</v>
      </c>
      <c r="L14" t="str">
        <f t="shared" si="0"/>
        <v>TOALLAS DE BAÑO DE ALGODÓN</v>
      </c>
      <c r="M14">
        <v>3</v>
      </c>
    </row>
    <row r="15" spans="2:13" x14ac:dyDescent="0.3">
      <c r="B15" s="7" t="s">
        <v>6752</v>
      </c>
      <c r="C15" s="6" t="s">
        <v>6769</v>
      </c>
      <c r="H15" s="10" t="s">
        <v>1201</v>
      </c>
      <c r="I15" s="2">
        <v>1</v>
      </c>
      <c r="K15" t="s">
        <v>180</v>
      </c>
      <c r="L15" t="str">
        <f t="shared" si="0"/>
        <v>MEDIAS ENTERAS PARA MUJER</v>
      </c>
      <c r="M15">
        <v>3</v>
      </c>
    </row>
    <row r="16" spans="2:13" x14ac:dyDescent="0.3">
      <c r="B16" s="7" t="s">
        <v>386</v>
      </c>
      <c r="C16" s="6" t="s">
        <v>5215</v>
      </c>
      <c r="H16" s="10" t="s">
        <v>528</v>
      </c>
      <c r="I16" s="2">
        <v>1</v>
      </c>
      <c r="K16" t="s">
        <v>636</v>
      </c>
      <c r="L16" t="str">
        <f t="shared" si="0"/>
        <v>PINTURA</v>
      </c>
      <c r="M16">
        <v>3</v>
      </c>
    </row>
    <row r="17" spans="2:13" x14ac:dyDescent="0.3">
      <c r="B17" s="7" t="s">
        <v>397</v>
      </c>
      <c r="C17" s="6" t="s">
        <v>6744</v>
      </c>
      <c r="H17" s="10" t="s">
        <v>2194</v>
      </c>
      <c r="I17" s="2">
        <v>1</v>
      </c>
      <c r="K17" t="s">
        <v>743</v>
      </c>
      <c r="L17" t="str">
        <f t="shared" si="0"/>
        <v>ENVASES DE HOJALATA</v>
      </c>
      <c r="M17">
        <v>3</v>
      </c>
    </row>
    <row r="18" spans="2:13" x14ac:dyDescent="0.3">
      <c r="B18" s="7" t="s">
        <v>528</v>
      </c>
      <c r="C18" s="6" t="s">
        <v>3363</v>
      </c>
      <c r="H18" s="10" t="s">
        <v>121</v>
      </c>
      <c r="I18" s="2">
        <v>2</v>
      </c>
      <c r="K18" t="s">
        <v>6754</v>
      </c>
      <c r="L18" t="str">
        <f t="shared" si="0"/>
        <v>PESCADO ENTERO CONGELADO DE EXPORTACIÓN</v>
      </c>
      <c r="M18">
        <v>2</v>
      </c>
    </row>
    <row r="19" spans="2:13" x14ac:dyDescent="0.3">
      <c r="B19" s="7" t="s">
        <v>540</v>
      </c>
      <c r="C19" s="6" t="s">
        <v>2205</v>
      </c>
      <c r="H19" s="10" t="s">
        <v>122</v>
      </c>
      <c r="I19" s="2">
        <v>1</v>
      </c>
      <c r="K19" t="s">
        <v>3241</v>
      </c>
      <c r="L19" t="str">
        <f t="shared" si="0"/>
        <v>CAMARÓN CONGELADO DE EXPORTACIÓN</v>
      </c>
      <c r="M19">
        <v>2</v>
      </c>
    </row>
    <row r="20" spans="2:13" x14ac:dyDescent="0.3">
      <c r="B20" s="7" t="s">
        <v>553</v>
      </c>
      <c r="C20" s="6" t="s">
        <v>6712</v>
      </c>
      <c r="H20" s="10" t="s">
        <v>1432</v>
      </c>
      <c r="I20" s="2">
        <v>1</v>
      </c>
      <c r="K20" t="s">
        <v>121</v>
      </c>
      <c r="L20" t="str">
        <f t="shared" si="0"/>
        <v>ALIÑOS PREPARADOS</v>
      </c>
      <c r="M20">
        <v>2</v>
      </c>
    </row>
    <row r="21" spans="2:13" x14ac:dyDescent="0.3">
      <c r="B21" s="7" t="s">
        <v>564</v>
      </c>
      <c r="C21" s="6" t="s">
        <v>2655</v>
      </c>
      <c r="H21" s="10" t="s">
        <v>1434</v>
      </c>
      <c r="I21" s="2">
        <v>1</v>
      </c>
      <c r="K21" t="s">
        <v>540</v>
      </c>
      <c r="L21" t="str">
        <f t="shared" si="0"/>
        <v>TELA DE PUNTO POLIESTER</v>
      </c>
      <c r="M21">
        <v>2</v>
      </c>
    </row>
    <row r="22" spans="2:13" x14ac:dyDescent="0.3">
      <c r="B22" s="7" t="s">
        <v>575</v>
      </c>
      <c r="C22" s="6" t="s">
        <v>2635</v>
      </c>
      <c r="H22" s="10" t="s">
        <v>1436</v>
      </c>
      <c r="I22" s="2">
        <v>1</v>
      </c>
      <c r="K22" t="s">
        <v>181</v>
      </c>
      <c r="L22" t="str">
        <f t="shared" si="0"/>
        <v>MEDIAS DE NIÑO</v>
      </c>
      <c r="M22">
        <v>2</v>
      </c>
    </row>
    <row r="23" spans="2:13" x14ac:dyDescent="0.3">
      <c r="B23" s="7" t="s">
        <v>180</v>
      </c>
      <c r="C23" s="6" t="s">
        <v>6705</v>
      </c>
      <c r="H23" s="10" t="s">
        <v>1438</v>
      </c>
      <c r="I23" s="2">
        <v>1</v>
      </c>
      <c r="K23" t="s">
        <v>182</v>
      </c>
      <c r="L23" t="str">
        <f t="shared" si="0"/>
        <v>MEDIAS PARA ADULTOS</v>
      </c>
      <c r="M23">
        <v>2</v>
      </c>
    </row>
    <row r="24" spans="2:13" x14ac:dyDescent="0.3">
      <c r="B24" s="7" t="s">
        <v>602</v>
      </c>
      <c r="C24" s="6" t="s">
        <v>2814</v>
      </c>
      <c r="H24" s="10" t="s">
        <v>553</v>
      </c>
      <c r="I24" s="2">
        <v>7</v>
      </c>
      <c r="K24" t="s">
        <v>1720</v>
      </c>
      <c r="L24" t="str">
        <f t="shared" si="0"/>
        <v>CALZONARIA PARA MUJER ALGODÓN</v>
      </c>
      <c r="M24">
        <v>2</v>
      </c>
    </row>
    <row r="25" spans="2:13" x14ac:dyDescent="0.3">
      <c r="B25" s="7" t="s">
        <v>615</v>
      </c>
      <c r="C25" s="6" t="s">
        <v>2702</v>
      </c>
      <c r="H25" s="10" t="s">
        <v>564</v>
      </c>
      <c r="I25" s="2">
        <v>1</v>
      </c>
      <c r="K25" t="s">
        <v>616</v>
      </c>
      <c r="L25" t="str">
        <f t="shared" si="0"/>
        <v>ZAPATOS DE CUERO PARA HOMBRE Y MUJER</v>
      </c>
      <c r="M25">
        <v>2</v>
      </c>
    </row>
    <row r="26" spans="2:13" x14ac:dyDescent="0.3">
      <c r="B26" s="7" t="s">
        <v>602</v>
      </c>
      <c r="C26" s="6" t="s">
        <v>2814</v>
      </c>
      <c r="H26" s="10" t="s">
        <v>540</v>
      </c>
      <c r="I26" s="2">
        <v>2</v>
      </c>
      <c r="K26" t="s">
        <v>673</v>
      </c>
      <c r="L26" t="str">
        <f t="shared" si="0"/>
        <v>CLORO LIQUIDO</v>
      </c>
      <c r="M26">
        <v>2</v>
      </c>
    </row>
    <row r="27" spans="2:13" x14ac:dyDescent="0.3">
      <c r="B27" s="7" t="s">
        <v>636</v>
      </c>
      <c r="C27" s="6" t="s">
        <v>3354</v>
      </c>
      <c r="H27" s="10" t="s">
        <v>968</v>
      </c>
      <c r="I27" s="2">
        <v>1</v>
      </c>
      <c r="K27" t="s">
        <v>671</v>
      </c>
      <c r="L27" t="str">
        <f t="shared" si="0"/>
        <v>DETERGENTE DE ROPA</v>
      </c>
      <c r="M27">
        <v>2</v>
      </c>
    </row>
    <row r="28" spans="2:13" x14ac:dyDescent="0.3">
      <c r="B28" s="7" t="s">
        <v>636</v>
      </c>
      <c r="C28" s="6" t="s">
        <v>3354</v>
      </c>
      <c r="H28" s="10" t="s">
        <v>575</v>
      </c>
      <c r="I28" s="2">
        <v>3</v>
      </c>
      <c r="K28" t="s">
        <v>2314</v>
      </c>
      <c r="L28" t="str">
        <f t="shared" si="0"/>
        <v>CARPETA PLÁSTICA/FORROS PLASTICOS</v>
      </c>
      <c r="M28">
        <v>2</v>
      </c>
    </row>
    <row r="29" spans="2:13" x14ac:dyDescent="0.3">
      <c r="B29" s="7" t="s">
        <v>661</v>
      </c>
      <c r="C29" s="6" t="s">
        <v>1761</v>
      </c>
      <c r="H29" s="10" t="s">
        <v>541</v>
      </c>
      <c r="I29" s="2">
        <v>1</v>
      </c>
      <c r="K29" t="s">
        <v>6752</v>
      </c>
      <c r="L29" t="str">
        <f t="shared" si="0"/>
        <v>ATÚN ENTERO CONGELADO DE EXPORTACIÓN</v>
      </c>
      <c r="M29">
        <v>1</v>
      </c>
    </row>
    <row r="30" spans="2:13" x14ac:dyDescent="0.3">
      <c r="B30" s="7" t="s">
        <v>661</v>
      </c>
      <c r="C30" s="6" t="s">
        <v>1761</v>
      </c>
      <c r="H30" s="10" t="s">
        <v>1779</v>
      </c>
      <c r="I30" s="2">
        <v>1</v>
      </c>
      <c r="K30" t="s">
        <v>2175</v>
      </c>
      <c r="L30" t="str">
        <f t="shared" si="0"/>
        <v>PULPA DE FRUTILLA</v>
      </c>
      <c r="M30">
        <v>1</v>
      </c>
    </row>
    <row r="31" spans="2:13" x14ac:dyDescent="0.3">
      <c r="B31" s="7" t="s">
        <v>699</v>
      </c>
      <c r="C31" s="6" t="s">
        <v>6730</v>
      </c>
      <c r="H31" s="10" t="s">
        <v>180</v>
      </c>
      <c r="I31" s="2">
        <v>3</v>
      </c>
      <c r="K31" t="s">
        <v>711</v>
      </c>
      <c r="L31" t="str">
        <f t="shared" si="0"/>
        <v>MANTECA DE CACAO</v>
      </c>
      <c r="M31">
        <v>1</v>
      </c>
    </row>
    <row r="32" spans="2:13" x14ac:dyDescent="0.3">
      <c r="B32" s="7" t="s">
        <v>711</v>
      </c>
      <c r="C32" s="6" t="s">
        <v>6748</v>
      </c>
      <c r="H32" s="10" t="s">
        <v>181</v>
      </c>
      <c r="I32" s="2">
        <v>2</v>
      </c>
      <c r="K32" t="s">
        <v>120</v>
      </c>
      <c r="L32" t="str">
        <f t="shared" si="0"/>
        <v>ESPAGUETI</v>
      </c>
      <c r="M32">
        <v>1</v>
      </c>
    </row>
    <row r="33" spans="2:13" x14ac:dyDescent="0.3">
      <c r="B33" s="7" t="s">
        <v>300</v>
      </c>
      <c r="C33" s="6" t="s">
        <v>2263</v>
      </c>
      <c r="H33" s="10" t="s">
        <v>182</v>
      </c>
      <c r="I33" s="2">
        <v>2</v>
      </c>
      <c r="K33" t="s">
        <v>119</v>
      </c>
      <c r="L33" t="str">
        <f t="shared" si="0"/>
        <v>COMINO EN POLVO</v>
      </c>
      <c r="M33">
        <v>1</v>
      </c>
    </row>
    <row r="34" spans="2:13" x14ac:dyDescent="0.3">
      <c r="B34" s="7" t="s">
        <v>731</v>
      </c>
      <c r="C34" s="6" t="s">
        <v>6725</v>
      </c>
      <c r="H34" s="10" t="s">
        <v>1720</v>
      </c>
      <c r="I34" s="2">
        <v>2</v>
      </c>
      <c r="K34" t="s">
        <v>1201</v>
      </c>
      <c r="L34" t="str">
        <f t="shared" si="0"/>
        <v>SALSA DE SOYA</v>
      </c>
      <c r="M34">
        <v>1</v>
      </c>
    </row>
    <row r="35" spans="2:13" x14ac:dyDescent="0.3">
      <c r="B35" s="7" t="s">
        <v>743</v>
      </c>
      <c r="C35" s="6" t="s">
        <v>6749</v>
      </c>
      <c r="H35" s="10" t="s">
        <v>1722</v>
      </c>
      <c r="I35" s="2">
        <v>1</v>
      </c>
      <c r="K35" t="s">
        <v>528</v>
      </c>
      <c r="L35" t="str">
        <f t="shared" si="0"/>
        <v>SALSA DE TOMATE</v>
      </c>
      <c r="M35">
        <v>1</v>
      </c>
    </row>
    <row r="36" spans="2:13" x14ac:dyDescent="0.3">
      <c r="B36" s="7" t="s">
        <v>760</v>
      </c>
      <c r="C36" s="6" t="s">
        <v>6750</v>
      </c>
      <c r="H36" s="10" t="s">
        <v>602</v>
      </c>
      <c r="I36" s="2">
        <v>4</v>
      </c>
      <c r="K36" t="s">
        <v>2194</v>
      </c>
      <c r="L36" t="str">
        <f t="shared" ref="L36:L67" si="1">+VLOOKUP(K36,$B$3:$C$133,2,FALSE)</f>
        <v>SALSA DE AJÍ</v>
      </c>
      <c r="M36">
        <v>1</v>
      </c>
    </row>
    <row r="37" spans="2:13" x14ac:dyDescent="0.3">
      <c r="B37" s="7" t="s">
        <v>1720</v>
      </c>
      <c r="C37" s="6" t="s">
        <v>1721</v>
      </c>
      <c r="H37" s="10" t="s">
        <v>616</v>
      </c>
      <c r="I37" s="2">
        <v>2</v>
      </c>
      <c r="K37" t="s">
        <v>122</v>
      </c>
      <c r="L37" t="str">
        <f t="shared" si="1"/>
        <v>CONDIMENTOS Y SAZONADORES EN POLVO</v>
      </c>
      <c r="M37">
        <v>1</v>
      </c>
    </row>
    <row r="38" spans="2:13" x14ac:dyDescent="0.3">
      <c r="B38" s="7" t="s">
        <v>1336</v>
      </c>
      <c r="C38" s="6" t="s">
        <v>1381</v>
      </c>
      <c r="H38" s="10" t="s">
        <v>615</v>
      </c>
      <c r="I38" s="2">
        <v>1</v>
      </c>
      <c r="K38" t="s">
        <v>1432</v>
      </c>
      <c r="L38" t="str">
        <f t="shared" si="1"/>
        <v>AGUARDIENTE DE CAÑA</v>
      </c>
      <c r="M38">
        <v>1</v>
      </c>
    </row>
    <row r="39" spans="2:13" x14ac:dyDescent="0.3">
      <c r="B39" s="7" t="s">
        <v>1740</v>
      </c>
      <c r="C39" s="6" t="s">
        <v>1741</v>
      </c>
      <c r="H39" s="10" t="s">
        <v>198</v>
      </c>
      <c r="I39" s="2">
        <v>1</v>
      </c>
      <c r="K39" t="s">
        <v>1434</v>
      </c>
      <c r="L39" t="str">
        <f t="shared" si="1"/>
        <v>RON</v>
      </c>
      <c r="M39">
        <v>1</v>
      </c>
    </row>
    <row r="40" spans="2:13" x14ac:dyDescent="0.3">
      <c r="B40" s="7" t="s">
        <v>1759</v>
      </c>
      <c r="C40" s="6" t="s">
        <v>1760</v>
      </c>
      <c r="H40" s="10" t="s">
        <v>197</v>
      </c>
      <c r="I40" s="2">
        <v>1</v>
      </c>
      <c r="K40" t="s">
        <v>1436</v>
      </c>
      <c r="L40" t="str">
        <f t="shared" si="1"/>
        <v>VODKA</v>
      </c>
      <c r="M40">
        <v>1</v>
      </c>
    </row>
    <row r="41" spans="2:13" x14ac:dyDescent="0.3">
      <c r="B41" s="7" t="s">
        <v>6761</v>
      </c>
      <c r="C41" s="6" t="s">
        <v>6762</v>
      </c>
      <c r="H41" s="10" t="s">
        <v>217</v>
      </c>
      <c r="I41" s="2">
        <v>1</v>
      </c>
      <c r="K41" t="s">
        <v>1438</v>
      </c>
      <c r="L41" t="str">
        <f t="shared" si="1"/>
        <v>VINO ESPUMANTE</v>
      </c>
      <c r="M41">
        <v>1</v>
      </c>
    </row>
    <row r="42" spans="2:13" x14ac:dyDescent="0.3">
      <c r="B42" s="8" t="s">
        <v>2175</v>
      </c>
      <c r="C42" s="6" t="s">
        <v>1420</v>
      </c>
      <c r="H42" s="10" t="s">
        <v>2317</v>
      </c>
      <c r="I42" s="2">
        <v>1</v>
      </c>
      <c r="K42" t="s">
        <v>564</v>
      </c>
      <c r="L42" t="str">
        <f t="shared" si="1"/>
        <v>TELA POLIESTER</v>
      </c>
      <c r="M42">
        <v>1</v>
      </c>
    </row>
    <row r="43" spans="2:13" x14ac:dyDescent="0.3">
      <c r="B43" s="8" t="s">
        <v>2194</v>
      </c>
      <c r="C43" s="6" t="s">
        <v>2195</v>
      </c>
      <c r="H43" s="10" t="s">
        <v>673</v>
      </c>
      <c r="I43" s="2">
        <v>2</v>
      </c>
      <c r="K43" t="s">
        <v>968</v>
      </c>
      <c r="L43" t="str">
        <f t="shared" si="1"/>
        <v>COBIJA DE POLIESTER</v>
      </c>
      <c r="M43">
        <v>1</v>
      </c>
    </row>
    <row r="44" spans="2:13" x14ac:dyDescent="0.3">
      <c r="B44" s="8" t="s">
        <v>540</v>
      </c>
      <c r="C44" s="6" t="s">
        <v>2205</v>
      </c>
      <c r="H44" s="10" t="s">
        <v>1336</v>
      </c>
      <c r="I44" s="2">
        <v>8</v>
      </c>
      <c r="K44" t="s">
        <v>541</v>
      </c>
      <c r="L44" t="str">
        <f t="shared" si="1"/>
        <v>ALMOHADA</v>
      </c>
      <c r="M44">
        <v>1</v>
      </c>
    </row>
    <row r="45" spans="2:13" x14ac:dyDescent="0.3">
      <c r="B45" s="8" t="s">
        <v>1779</v>
      </c>
      <c r="C45" s="6" t="s">
        <v>1780</v>
      </c>
      <c r="H45" s="10" t="s">
        <v>1740</v>
      </c>
      <c r="I45" s="2">
        <v>1</v>
      </c>
      <c r="K45" t="s">
        <v>1779</v>
      </c>
      <c r="L45" t="str">
        <f t="shared" si="1"/>
        <v>EDREDON</v>
      </c>
      <c r="M45">
        <v>1</v>
      </c>
    </row>
    <row r="46" spans="2:13" x14ac:dyDescent="0.3">
      <c r="B46" s="8" t="s">
        <v>2225</v>
      </c>
      <c r="C46" s="6" t="s">
        <v>2226</v>
      </c>
      <c r="H46" s="10" t="s">
        <v>636</v>
      </c>
      <c r="I46" s="2">
        <v>3</v>
      </c>
      <c r="K46" t="s">
        <v>1722</v>
      </c>
      <c r="L46" t="str">
        <f t="shared" si="1"/>
        <v>PIJAMAS DE MUJER SINTÉTICO</v>
      </c>
      <c r="M46">
        <v>1</v>
      </c>
    </row>
    <row r="47" spans="2:13" x14ac:dyDescent="0.3">
      <c r="B47" s="8" t="s">
        <v>2248</v>
      </c>
      <c r="C47" s="6" t="s">
        <v>2249</v>
      </c>
      <c r="H47" s="10" t="s">
        <v>1944</v>
      </c>
      <c r="I47" s="2">
        <v>1</v>
      </c>
      <c r="K47" t="s">
        <v>615</v>
      </c>
      <c r="L47" t="str">
        <f t="shared" si="1"/>
        <v>CALZADO DE LONA</v>
      </c>
      <c r="M47">
        <v>1</v>
      </c>
    </row>
    <row r="48" spans="2:13" x14ac:dyDescent="0.3">
      <c r="B48" s="8" t="s">
        <v>300</v>
      </c>
      <c r="C48" s="6" t="s">
        <v>2263</v>
      </c>
      <c r="H48" s="10" t="s">
        <v>637</v>
      </c>
      <c r="I48" s="2">
        <v>1</v>
      </c>
      <c r="K48" t="s">
        <v>198</v>
      </c>
      <c r="L48" t="str">
        <f t="shared" si="1"/>
        <v>VIGUETAS, VIGAS Y PIEZAS DE COLORADO</v>
      </c>
      <c r="M48">
        <v>1</v>
      </c>
    </row>
    <row r="49" spans="2:13" x14ac:dyDescent="0.3">
      <c r="B49" s="8" t="s">
        <v>2314</v>
      </c>
      <c r="C49" s="6" t="s">
        <v>2315</v>
      </c>
      <c r="H49" s="10" t="s">
        <v>699</v>
      </c>
      <c r="I49" s="2">
        <v>1</v>
      </c>
      <c r="K49" t="s">
        <v>197</v>
      </c>
      <c r="L49" t="str">
        <f t="shared" si="1"/>
        <v>POSTES DE EUCALIPTO</v>
      </c>
      <c r="M49">
        <v>1</v>
      </c>
    </row>
    <row r="50" spans="2:13" x14ac:dyDescent="0.3">
      <c r="B50" s="7" t="s">
        <v>104</v>
      </c>
      <c r="C50" s="6" t="s">
        <v>6700</v>
      </c>
      <c r="H50" s="10" t="s">
        <v>6765</v>
      </c>
      <c r="I50" s="2">
        <v>1</v>
      </c>
      <c r="K50" t="s">
        <v>217</v>
      </c>
      <c r="L50" t="str">
        <f t="shared" si="1"/>
        <v>SERVILLETAS</v>
      </c>
      <c r="M50">
        <v>1</v>
      </c>
    </row>
    <row r="51" spans="2:13" x14ac:dyDescent="0.3">
      <c r="B51" s="7" t="s">
        <v>120</v>
      </c>
      <c r="C51" s="6" t="s">
        <v>6740</v>
      </c>
      <c r="H51" s="10" t="s">
        <v>6766</v>
      </c>
      <c r="I51" s="2">
        <v>1</v>
      </c>
      <c r="K51" t="s">
        <v>2317</v>
      </c>
      <c r="L51" t="str">
        <f t="shared" si="1"/>
        <v>CARPETAS DE CARTÓN</v>
      </c>
      <c r="M51">
        <v>1</v>
      </c>
    </row>
    <row r="52" spans="2:13" x14ac:dyDescent="0.3">
      <c r="B52" s="7" t="s">
        <v>181</v>
      </c>
      <c r="C52" s="6" t="s">
        <v>2776</v>
      </c>
      <c r="H52" s="10" t="s">
        <v>6761</v>
      </c>
      <c r="I52" s="2">
        <v>1</v>
      </c>
      <c r="K52" t="s">
        <v>1740</v>
      </c>
      <c r="L52" t="str">
        <f t="shared" si="1"/>
        <v>INSECTICIDAS AGRICOLAS</v>
      </c>
      <c r="M52">
        <v>1</v>
      </c>
    </row>
    <row r="53" spans="2:13" x14ac:dyDescent="0.3">
      <c r="B53" s="7" t="s">
        <v>198</v>
      </c>
      <c r="C53" s="6" t="s">
        <v>6743</v>
      </c>
      <c r="H53" s="10" t="s">
        <v>6763</v>
      </c>
      <c r="I53" s="2">
        <v>1</v>
      </c>
      <c r="K53" t="s">
        <v>1944</v>
      </c>
      <c r="L53" t="str">
        <f t="shared" si="1"/>
        <v>PINTURA NO A BASE DE AGUA</v>
      </c>
      <c r="M53">
        <v>1</v>
      </c>
    </row>
    <row r="54" spans="2:13" x14ac:dyDescent="0.3">
      <c r="B54" s="7" t="s">
        <v>386</v>
      </c>
      <c r="C54" s="6" t="s">
        <v>5215</v>
      </c>
      <c r="H54" s="10" t="s">
        <v>674</v>
      </c>
      <c r="I54" s="2">
        <v>1</v>
      </c>
      <c r="K54" t="s">
        <v>637</v>
      </c>
      <c r="L54" t="str">
        <f t="shared" si="1"/>
        <v>DILUYENTE</v>
      </c>
      <c r="M54">
        <v>1</v>
      </c>
    </row>
    <row r="55" spans="2:13" x14ac:dyDescent="0.3">
      <c r="B55" s="7" t="s">
        <v>397</v>
      </c>
      <c r="C55" s="6" t="s">
        <v>6744</v>
      </c>
      <c r="H55" s="10" t="s">
        <v>1759</v>
      </c>
      <c r="I55" s="2">
        <v>1</v>
      </c>
      <c r="K55" t="s">
        <v>699</v>
      </c>
      <c r="L55" t="str">
        <f t="shared" si="1"/>
        <v>COMPLEJO B</v>
      </c>
      <c r="M55">
        <v>1</v>
      </c>
    </row>
    <row r="56" spans="2:13" x14ac:dyDescent="0.3">
      <c r="B56" s="7" t="s">
        <v>6754</v>
      </c>
      <c r="C56" s="6" t="s">
        <v>6770</v>
      </c>
      <c r="H56" s="10" t="s">
        <v>661</v>
      </c>
      <c r="I56" s="2">
        <v>6</v>
      </c>
      <c r="K56" t="s">
        <v>6765</v>
      </c>
      <c r="L56" t="str">
        <f t="shared" si="1"/>
        <v>MULTIVITAMINICO</v>
      </c>
      <c r="M56">
        <v>1</v>
      </c>
    </row>
    <row r="57" spans="2:13" x14ac:dyDescent="0.3">
      <c r="B57" s="7" t="s">
        <v>121</v>
      </c>
      <c r="C57" s="6" t="s">
        <v>3342</v>
      </c>
      <c r="H57" s="10" t="s">
        <v>671</v>
      </c>
      <c r="I57" s="2">
        <v>2</v>
      </c>
      <c r="K57" t="s">
        <v>6766</v>
      </c>
      <c r="L57" t="str">
        <f t="shared" si="1"/>
        <v>ANTIGRIPALES</v>
      </c>
      <c r="M57">
        <v>1</v>
      </c>
    </row>
    <row r="58" spans="2:13" x14ac:dyDescent="0.3">
      <c r="B58" s="7" t="s">
        <v>541</v>
      </c>
      <c r="C58" s="6" t="s">
        <v>6747</v>
      </c>
      <c r="H58" s="10" t="s">
        <v>672</v>
      </c>
      <c r="I58" s="2">
        <v>1</v>
      </c>
      <c r="K58" t="s">
        <v>6761</v>
      </c>
      <c r="L58" t="str">
        <f t="shared" si="1"/>
        <v>ANTIÁCIDOS</v>
      </c>
      <c r="M58">
        <v>1</v>
      </c>
    </row>
    <row r="59" spans="2:13" x14ac:dyDescent="0.3">
      <c r="B59" s="7" t="s">
        <v>553</v>
      </c>
      <c r="C59" s="6" t="s">
        <v>6712</v>
      </c>
      <c r="H59" s="10" t="s">
        <v>712</v>
      </c>
      <c r="I59" s="2">
        <v>1</v>
      </c>
      <c r="K59" t="s">
        <v>6763</v>
      </c>
      <c r="L59" t="str">
        <f t="shared" si="1"/>
        <v>ACICLOVIR</v>
      </c>
      <c r="M59">
        <v>1</v>
      </c>
    </row>
    <row r="60" spans="2:13" x14ac:dyDescent="0.3">
      <c r="B60" s="7" t="s">
        <v>575</v>
      </c>
      <c r="C60" s="6" t="s">
        <v>2635</v>
      </c>
      <c r="H60" s="10" t="s">
        <v>2248</v>
      </c>
      <c r="I60" s="2">
        <v>1</v>
      </c>
      <c r="K60" t="s">
        <v>674</v>
      </c>
      <c r="L60" t="str">
        <f t="shared" si="1"/>
        <v>JABÓN LÍQUIDO</v>
      </c>
      <c r="M60">
        <v>1</v>
      </c>
    </row>
    <row r="61" spans="2:13" x14ac:dyDescent="0.3">
      <c r="B61" s="7" t="s">
        <v>180</v>
      </c>
      <c r="C61" s="6" t="s">
        <v>6705</v>
      </c>
      <c r="H61" s="10" t="s">
        <v>760</v>
      </c>
      <c r="I61" s="2">
        <v>1</v>
      </c>
      <c r="K61" t="s">
        <v>1759</v>
      </c>
      <c r="L61" t="str">
        <f t="shared" si="1"/>
        <v>JABON INDUSTRIAL</v>
      </c>
      <c r="M61">
        <v>1</v>
      </c>
    </row>
    <row r="62" spans="2:13" x14ac:dyDescent="0.3">
      <c r="B62" s="7" t="s">
        <v>602</v>
      </c>
      <c r="C62" s="6" t="s">
        <v>2814</v>
      </c>
      <c r="H62" s="10" t="s">
        <v>2314</v>
      </c>
      <c r="I62" s="2">
        <v>2</v>
      </c>
      <c r="K62" t="s">
        <v>672</v>
      </c>
      <c r="L62" t="str">
        <f t="shared" si="1"/>
        <v>SUAVIZANTE DE ROPA</v>
      </c>
      <c r="M62">
        <v>1</v>
      </c>
    </row>
    <row r="63" spans="2:13" x14ac:dyDescent="0.3">
      <c r="B63" s="7" t="s">
        <v>616</v>
      </c>
      <c r="C63" s="6" t="s">
        <v>2815</v>
      </c>
      <c r="H63" s="10" t="s">
        <v>300</v>
      </c>
      <c r="I63" s="2">
        <v>5</v>
      </c>
      <c r="K63" t="s">
        <v>712</v>
      </c>
      <c r="L63" t="str">
        <f t="shared" si="1"/>
        <v>GEL ANTIBACTERIAL</v>
      </c>
      <c r="M63">
        <v>1</v>
      </c>
    </row>
    <row r="64" spans="2:13" x14ac:dyDescent="0.3">
      <c r="B64" s="7" t="s">
        <v>602</v>
      </c>
      <c r="C64" s="6" t="s">
        <v>2814</v>
      </c>
      <c r="H64" s="10" t="s">
        <v>731</v>
      </c>
      <c r="I64" s="2">
        <v>1</v>
      </c>
      <c r="K64" t="s">
        <v>2248</v>
      </c>
      <c r="L64" t="str">
        <f t="shared" si="1"/>
        <v>DESODORANTE AMBIENTAL</v>
      </c>
      <c r="M64">
        <v>1</v>
      </c>
    </row>
    <row r="65" spans="2:13" x14ac:dyDescent="0.3">
      <c r="B65" s="7" t="s">
        <v>636</v>
      </c>
      <c r="C65" s="6" t="s">
        <v>3354</v>
      </c>
      <c r="H65" s="10" t="s">
        <v>2225</v>
      </c>
      <c r="I65" s="2">
        <v>1</v>
      </c>
      <c r="K65" t="s">
        <v>760</v>
      </c>
      <c r="L65" t="str">
        <f t="shared" si="1"/>
        <v>CANECAS, BALDES</v>
      </c>
      <c r="M65">
        <v>1</v>
      </c>
    </row>
    <row r="66" spans="2:13" x14ac:dyDescent="0.3">
      <c r="B66" s="7" t="s">
        <v>671</v>
      </c>
      <c r="C66" s="6" t="s">
        <v>2251</v>
      </c>
      <c r="H66" s="10" t="s">
        <v>449</v>
      </c>
      <c r="I66" s="2">
        <v>4</v>
      </c>
      <c r="K66" t="s">
        <v>731</v>
      </c>
      <c r="L66" t="str">
        <f t="shared" si="1"/>
        <v>BÍTUMEN/BETÚN (PARA CARRETERAS)</v>
      </c>
      <c r="M66">
        <v>1</v>
      </c>
    </row>
    <row r="67" spans="2:13" x14ac:dyDescent="0.3">
      <c r="B67" s="7" t="s">
        <v>712</v>
      </c>
      <c r="C67" s="6" t="s">
        <v>2716</v>
      </c>
      <c r="H67" s="10" t="s">
        <v>479</v>
      </c>
      <c r="I67" s="2">
        <v>1</v>
      </c>
      <c r="K67" t="s">
        <v>2225</v>
      </c>
      <c r="L67" t="str">
        <f t="shared" si="1"/>
        <v>CAMA DE MADERA</v>
      </c>
      <c r="M67">
        <v>1</v>
      </c>
    </row>
    <row r="68" spans="2:13" x14ac:dyDescent="0.3">
      <c r="B68" s="7" t="s">
        <v>743</v>
      </c>
      <c r="C68" s="6" t="s">
        <v>6749</v>
      </c>
      <c r="H68" s="10" t="s">
        <v>743</v>
      </c>
      <c r="I68" s="2">
        <v>3</v>
      </c>
      <c r="K68" t="s">
        <v>479</v>
      </c>
      <c r="L68" t="str">
        <f t="shared" ref="L68:L73" si="2">+VLOOKUP(K68,$B$3:$C$133,2,FALSE)</f>
        <v>TORRES DE ACERO</v>
      </c>
      <c r="M68">
        <v>1</v>
      </c>
    </row>
    <row r="69" spans="2:13" x14ac:dyDescent="0.3">
      <c r="B69" s="7" t="s">
        <v>449</v>
      </c>
      <c r="C69" s="6" t="s">
        <v>6745</v>
      </c>
      <c r="H69" s="10" t="s">
        <v>1955</v>
      </c>
      <c r="I69" s="2">
        <v>1</v>
      </c>
      <c r="K69" t="s">
        <v>1955</v>
      </c>
      <c r="L69" t="str">
        <f t="shared" si="2"/>
        <v>FRIGORIFICO</v>
      </c>
      <c r="M69">
        <v>1</v>
      </c>
    </row>
    <row r="70" spans="2:13" x14ac:dyDescent="0.3">
      <c r="B70" s="7" t="s">
        <v>1720</v>
      </c>
      <c r="C70" s="6" t="s">
        <v>1721</v>
      </c>
      <c r="H70" s="10" t="s">
        <v>1957</v>
      </c>
      <c r="I70" s="2">
        <v>1</v>
      </c>
      <c r="K70" t="s">
        <v>1957</v>
      </c>
      <c r="L70" t="str">
        <f t="shared" si="2"/>
        <v>REFRIGERADORA DOS PUERTAS</v>
      </c>
      <c r="M70">
        <v>1</v>
      </c>
    </row>
    <row r="71" spans="2:13" x14ac:dyDescent="0.3">
      <c r="B71" s="7" t="s">
        <v>1336</v>
      </c>
      <c r="C71" s="6" t="s">
        <v>1381</v>
      </c>
      <c r="H71" s="10" t="s">
        <v>1037</v>
      </c>
      <c r="I71" s="2">
        <v>1</v>
      </c>
      <c r="K71" t="s">
        <v>1037</v>
      </c>
      <c r="L71" t="str">
        <f t="shared" si="2"/>
        <v>COCINETA DE GAS</v>
      </c>
      <c r="M71">
        <v>1</v>
      </c>
    </row>
    <row r="72" spans="2:13" x14ac:dyDescent="0.3">
      <c r="B72" s="7" t="s">
        <v>661</v>
      </c>
      <c r="C72" s="6" t="s">
        <v>1761</v>
      </c>
      <c r="H72" s="10" t="s">
        <v>1960</v>
      </c>
      <c r="I72" s="2">
        <v>1</v>
      </c>
      <c r="K72" t="s">
        <v>1960</v>
      </c>
      <c r="L72" t="str">
        <f t="shared" si="2"/>
        <v>COCINA DE GAS</v>
      </c>
      <c r="M72">
        <v>1</v>
      </c>
    </row>
    <row r="73" spans="2:13" x14ac:dyDescent="0.3">
      <c r="B73" s="7" t="s">
        <v>6763</v>
      </c>
      <c r="C73" s="6" t="s">
        <v>6764</v>
      </c>
      <c r="H73" s="10" t="s">
        <v>1962</v>
      </c>
      <c r="I73" s="2">
        <v>1</v>
      </c>
      <c r="K73" t="s">
        <v>1962</v>
      </c>
      <c r="L73" t="str">
        <f t="shared" si="2"/>
        <v>HORNOS A GAS</v>
      </c>
      <c r="M73">
        <v>1</v>
      </c>
    </row>
    <row r="74" spans="2:13" x14ac:dyDescent="0.3">
      <c r="B74" s="8" t="s">
        <v>1418</v>
      </c>
      <c r="C74" s="6" t="s">
        <v>2177</v>
      </c>
      <c r="H74" s="10" t="s">
        <v>6964</v>
      </c>
      <c r="I74" s="2">
        <v>131</v>
      </c>
    </row>
    <row r="75" spans="2:13" x14ac:dyDescent="0.3">
      <c r="B75" s="8" t="s">
        <v>1201</v>
      </c>
      <c r="C75" s="6" t="s">
        <v>2197</v>
      </c>
    </row>
    <row r="76" spans="2:13" x14ac:dyDescent="0.3">
      <c r="B76" s="8" t="s">
        <v>968</v>
      </c>
      <c r="C76" s="6" t="s">
        <v>2214</v>
      </c>
    </row>
    <row r="77" spans="2:13" x14ac:dyDescent="0.3">
      <c r="B77" s="8" t="s">
        <v>673</v>
      </c>
      <c r="C77" s="6" t="s">
        <v>2250</v>
      </c>
    </row>
    <row r="78" spans="2:13" x14ac:dyDescent="0.3">
      <c r="B78" s="8" t="s">
        <v>2314</v>
      </c>
      <c r="C78" s="6" t="s">
        <v>2315</v>
      </c>
    </row>
    <row r="79" spans="2:13" x14ac:dyDescent="0.3">
      <c r="B79" s="7" t="s">
        <v>104</v>
      </c>
      <c r="C79" s="6" t="s">
        <v>6700</v>
      </c>
    </row>
    <row r="80" spans="2:13" x14ac:dyDescent="0.3">
      <c r="B80" s="7" t="s">
        <v>121</v>
      </c>
      <c r="C80" s="6" t="s">
        <v>3342</v>
      </c>
    </row>
    <row r="81" spans="2:3" x14ac:dyDescent="0.3">
      <c r="B81" s="7" t="s">
        <v>181</v>
      </c>
      <c r="C81" s="6" t="s">
        <v>2776</v>
      </c>
    </row>
    <row r="82" spans="2:3" x14ac:dyDescent="0.3">
      <c r="B82" s="7" t="s">
        <v>3241</v>
      </c>
      <c r="C82" s="6" t="s">
        <v>3361</v>
      </c>
    </row>
    <row r="83" spans="2:3" x14ac:dyDescent="0.3">
      <c r="B83" s="7" t="s">
        <v>575</v>
      </c>
      <c r="C83" s="6" t="s">
        <v>2635</v>
      </c>
    </row>
    <row r="84" spans="2:3" x14ac:dyDescent="0.3">
      <c r="B84" s="7" t="s">
        <v>616</v>
      </c>
      <c r="C84" s="6" t="s">
        <v>2815</v>
      </c>
    </row>
    <row r="85" spans="2:3" x14ac:dyDescent="0.3">
      <c r="B85" s="7" t="s">
        <v>637</v>
      </c>
      <c r="C85" s="6" t="s">
        <v>6729</v>
      </c>
    </row>
    <row r="86" spans="2:3" x14ac:dyDescent="0.3">
      <c r="B86" s="7" t="s">
        <v>672</v>
      </c>
      <c r="C86" s="6" t="s">
        <v>2534</v>
      </c>
    </row>
    <row r="87" spans="2:3" x14ac:dyDescent="0.3">
      <c r="B87" s="7" t="s">
        <v>743</v>
      </c>
      <c r="C87" s="6" t="s">
        <v>6749</v>
      </c>
    </row>
    <row r="88" spans="2:3" x14ac:dyDescent="0.3">
      <c r="B88" s="7" t="s">
        <v>449</v>
      </c>
      <c r="C88" s="6" t="s">
        <v>6745</v>
      </c>
    </row>
    <row r="89" spans="2:3" x14ac:dyDescent="0.3">
      <c r="B89" s="7" t="s">
        <v>1722</v>
      </c>
      <c r="C89" s="6" t="s">
        <v>1723</v>
      </c>
    </row>
    <row r="90" spans="2:3" x14ac:dyDescent="0.3">
      <c r="B90" s="7" t="s">
        <v>1336</v>
      </c>
      <c r="C90" s="6" t="s">
        <v>1381</v>
      </c>
    </row>
    <row r="91" spans="2:3" x14ac:dyDescent="0.3">
      <c r="B91" s="7" t="s">
        <v>661</v>
      </c>
      <c r="C91" s="6" t="s">
        <v>1761</v>
      </c>
    </row>
    <row r="92" spans="2:3" x14ac:dyDescent="0.3">
      <c r="B92" s="7" t="s">
        <v>6765</v>
      </c>
      <c r="C92" s="6" t="s">
        <v>2715</v>
      </c>
    </row>
    <row r="93" spans="2:3" x14ac:dyDescent="0.3">
      <c r="B93" s="8" t="s">
        <v>1418</v>
      </c>
      <c r="C93" s="6" t="s">
        <v>2177</v>
      </c>
    </row>
    <row r="94" spans="2:3" x14ac:dyDescent="0.3">
      <c r="B94" s="8" t="s">
        <v>671</v>
      </c>
      <c r="C94" s="6" t="s">
        <v>2251</v>
      </c>
    </row>
    <row r="95" spans="2:3" x14ac:dyDescent="0.3">
      <c r="B95" s="8" t="s">
        <v>2317</v>
      </c>
      <c r="C95" s="6" t="s">
        <v>2318</v>
      </c>
    </row>
    <row r="96" spans="2:3" x14ac:dyDescent="0.3">
      <c r="B96" s="7" t="s">
        <v>122</v>
      </c>
      <c r="C96" s="6" t="s">
        <v>6741</v>
      </c>
    </row>
    <row r="97" spans="2:3" x14ac:dyDescent="0.3">
      <c r="B97" s="7" t="s">
        <v>182</v>
      </c>
      <c r="C97" s="6" t="s">
        <v>1680</v>
      </c>
    </row>
    <row r="98" spans="2:3" x14ac:dyDescent="0.3">
      <c r="B98" s="7" t="s">
        <v>3241</v>
      </c>
      <c r="C98" s="6" t="s">
        <v>3361</v>
      </c>
    </row>
    <row r="99" spans="2:3" x14ac:dyDescent="0.3">
      <c r="B99" s="7" t="s">
        <v>673</v>
      </c>
      <c r="C99" s="6" t="s">
        <v>2250</v>
      </c>
    </row>
    <row r="100" spans="2:3" x14ac:dyDescent="0.3">
      <c r="B100" s="7" t="s">
        <v>449</v>
      </c>
      <c r="C100" s="6" t="s">
        <v>6745</v>
      </c>
    </row>
    <row r="101" spans="2:3" x14ac:dyDescent="0.3">
      <c r="B101" s="7" t="s">
        <v>661</v>
      </c>
      <c r="C101" s="6" t="s">
        <v>1761</v>
      </c>
    </row>
    <row r="102" spans="2:3" x14ac:dyDescent="0.3">
      <c r="B102" s="7" t="s">
        <v>6766</v>
      </c>
      <c r="C102" s="6" t="s">
        <v>2865</v>
      </c>
    </row>
    <row r="103" spans="2:3" x14ac:dyDescent="0.3">
      <c r="B103" s="8" t="s">
        <v>1418</v>
      </c>
      <c r="C103" s="6" t="s">
        <v>2177</v>
      </c>
    </row>
    <row r="104" spans="2:3" x14ac:dyDescent="0.3">
      <c r="B104" s="7" t="s">
        <v>182</v>
      </c>
      <c r="C104" s="6" t="s">
        <v>1680</v>
      </c>
    </row>
    <row r="105" spans="2:3" x14ac:dyDescent="0.3">
      <c r="B105" s="7" t="s">
        <v>6754</v>
      </c>
      <c r="C105" s="6" t="s">
        <v>6770</v>
      </c>
    </row>
    <row r="106" spans="2:3" x14ac:dyDescent="0.3">
      <c r="B106" s="7" t="s">
        <v>674</v>
      </c>
      <c r="C106" s="6" t="s">
        <v>2533</v>
      </c>
    </row>
    <row r="107" spans="2:3" x14ac:dyDescent="0.3">
      <c r="B107" s="7" t="s">
        <v>661</v>
      </c>
      <c r="C107" s="6" t="s">
        <v>1761</v>
      </c>
    </row>
    <row r="108" spans="2:3" x14ac:dyDescent="0.3">
      <c r="B108" s="8" t="s">
        <v>1418</v>
      </c>
      <c r="C108" s="6" t="s">
        <v>2177</v>
      </c>
    </row>
    <row r="109" spans="2:3" x14ac:dyDescent="0.3">
      <c r="B109" s="7" t="s">
        <v>553</v>
      </c>
      <c r="C109" s="6" t="s">
        <v>1364</v>
      </c>
    </row>
    <row r="110" spans="2:3" x14ac:dyDescent="0.3">
      <c r="B110" s="7" t="s">
        <v>1336</v>
      </c>
      <c r="C110" s="6" t="s">
        <v>1381</v>
      </c>
    </row>
    <row r="111" spans="2:3" x14ac:dyDescent="0.3">
      <c r="B111" s="7" t="s">
        <v>1418</v>
      </c>
      <c r="C111" s="6" t="s">
        <v>1419</v>
      </c>
    </row>
    <row r="112" spans="2:3" x14ac:dyDescent="0.3">
      <c r="B112" s="7" t="s">
        <v>1432</v>
      </c>
      <c r="C112" s="6" t="s">
        <v>1433</v>
      </c>
    </row>
    <row r="113" spans="2:3" x14ac:dyDescent="0.3">
      <c r="B113" s="7" t="s">
        <v>1944</v>
      </c>
      <c r="C113" s="6" t="s">
        <v>1945</v>
      </c>
    </row>
    <row r="114" spans="2:3" x14ac:dyDescent="0.3">
      <c r="B114" s="7" t="s">
        <v>1955</v>
      </c>
      <c r="C114" s="6" t="s">
        <v>1956</v>
      </c>
    </row>
    <row r="115" spans="2:3" x14ac:dyDescent="0.3">
      <c r="B115" s="7" t="s">
        <v>553</v>
      </c>
      <c r="C115" s="6" t="s">
        <v>1364</v>
      </c>
    </row>
    <row r="116" spans="2:3" x14ac:dyDescent="0.3">
      <c r="B116" s="7" t="s">
        <v>1336</v>
      </c>
      <c r="C116" s="6" t="s">
        <v>1381</v>
      </c>
    </row>
    <row r="117" spans="2:3" x14ac:dyDescent="0.3">
      <c r="B117" s="7" t="s">
        <v>1418</v>
      </c>
      <c r="C117" s="6" t="s">
        <v>1419</v>
      </c>
    </row>
    <row r="118" spans="2:3" x14ac:dyDescent="0.3">
      <c r="B118" s="7" t="s">
        <v>1434</v>
      </c>
      <c r="C118" s="6" t="s">
        <v>1435</v>
      </c>
    </row>
    <row r="119" spans="2:3" x14ac:dyDescent="0.3">
      <c r="B119" s="7" t="s">
        <v>1957</v>
      </c>
      <c r="C119" s="6" t="s">
        <v>1958</v>
      </c>
    </row>
    <row r="120" spans="2:3" x14ac:dyDescent="0.3">
      <c r="B120" s="7" t="s">
        <v>553</v>
      </c>
      <c r="C120" s="6" t="s">
        <v>1364</v>
      </c>
    </row>
    <row r="121" spans="2:3" x14ac:dyDescent="0.3">
      <c r="B121" s="7" t="s">
        <v>1336</v>
      </c>
      <c r="C121" s="6" t="s">
        <v>1381</v>
      </c>
    </row>
    <row r="122" spans="2:3" x14ac:dyDescent="0.3">
      <c r="B122" s="7" t="s">
        <v>1418</v>
      </c>
      <c r="C122" s="6" t="s">
        <v>1420</v>
      </c>
    </row>
    <row r="123" spans="2:3" x14ac:dyDescent="0.3">
      <c r="B123" s="7" t="s">
        <v>1436</v>
      </c>
      <c r="C123" s="6" t="s">
        <v>1437</v>
      </c>
    </row>
    <row r="124" spans="2:3" x14ac:dyDescent="0.3">
      <c r="B124" s="7" t="s">
        <v>1037</v>
      </c>
      <c r="C124" s="6" t="s">
        <v>1959</v>
      </c>
    </row>
    <row r="125" spans="2:3" x14ac:dyDescent="0.3">
      <c r="B125" s="7" t="s">
        <v>553</v>
      </c>
      <c r="C125" s="6" t="s">
        <v>1364</v>
      </c>
    </row>
    <row r="126" spans="2:3" x14ac:dyDescent="0.3">
      <c r="B126" s="7" t="s">
        <v>1336</v>
      </c>
      <c r="C126" s="6" t="s">
        <v>1381</v>
      </c>
    </row>
    <row r="127" spans="2:3" x14ac:dyDescent="0.3">
      <c r="B127" s="7" t="s">
        <v>1418</v>
      </c>
      <c r="C127" s="6" t="s">
        <v>1419</v>
      </c>
    </row>
    <row r="128" spans="2:3" x14ac:dyDescent="0.3">
      <c r="B128" s="7" t="s">
        <v>1438</v>
      </c>
      <c r="C128" s="6" t="s">
        <v>1439</v>
      </c>
    </row>
    <row r="129" spans="2:3" x14ac:dyDescent="0.3">
      <c r="B129" s="7" t="s">
        <v>1960</v>
      </c>
      <c r="C129" s="6" t="s">
        <v>1961</v>
      </c>
    </row>
    <row r="130" spans="2:3" x14ac:dyDescent="0.3">
      <c r="B130" s="7" t="s">
        <v>553</v>
      </c>
      <c r="C130" s="6" t="s">
        <v>1364</v>
      </c>
    </row>
    <row r="131" spans="2:3" x14ac:dyDescent="0.3">
      <c r="B131" s="7" t="s">
        <v>1336</v>
      </c>
      <c r="C131" s="6" t="s">
        <v>1381</v>
      </c>
    </row>
    <row r="132" spans="2:3" x14ac:dyDescent="0.3">
      <c r="B132" s="7" t="s">
        <v>1418</v>
      </c>
      <c r="C132" s="6" t="s">
        <v>1419</v>
      </c>
    </row>
    <row r="133" spans="2:3" x14ac:dyDescent="0.3">
      <c r="B133" s="7" t="s">
        <v>1962</v>
      </c>
      <c r="C133" s="6" t="s">
        <v>1963</v>
      </c>
    </row>
  </sheetData>
  <autoFilter ref="K3:M3">
    <sortState ref="K4:M73">
      <sortCondition descending="1" ref="M3"/>
    </sortState>
  </autoFilter>
  <conditionalFormatting sqref="B42">
    <cfRule type="duplicateValues" dxfId="180" priority="136"/>
  </conditionalFormatting>
  <conditionalFormatting sqref="B42">
    <cfRule type="duplicateValues" dxfId="179" priority="137"/>
  </conditionalFormatting>
  <conditionalFormatting sqref="B42">
    <cfRule type="duplicateValues" dxfId="178" priority="138"/>
  </conditionalFormatting>
  <conditionalFormatting sqref="B42">
    <cfRule type="duplicateValues" dxfId="177" priority="139"/>
  </conditionalFormatting>
  <conditionalFormatting sqref="B42">
    <cfRule type="duplicateValues" dxfId="176" priority="140"/>
  </conditionalFormatting>
  <conditionalFormatting sqref="B43">
    <cfRule type="duplicateValues" dxfId="175" priority="111"/>
  </conditionalFormatting>
  <conditionalFormatting sqref="B43">
    <cfRule type="duplicateValues" dxfId="174" priority="112"/>
  </conditionalFormatting>
  <conditionalFormatting sqref="B43">
    <cfRule type="duplicateValues" dxfId="173" priority="113"/>
  </conditionalFormatting>
  <conditionalFormatting sqref="B43">
    <cfRule type="duplicateValues" dxfId="172" priority="114"/>
  </conditionalFormatting>
  <conditionalFormatting sqref="B43">
    <cfRule type="duplicateValues" dxfId="171" priority="115"/>
  </conditionalFormatting>
  <conditionalFormatting sqref="B44">
    <cfRule type="duplicateValues" dxfId="170" priority="101"/>
  </conditionalFormatting>
  <conditionalFormatting sqref="B44">
    <cfRule type="duplicateValues" dxfId="169" priority="102"/>
  </conditionalFormatting>
  <conditionalFormatting sqref="B44">
    <cfRule type="duplicateValues" dxfId="168" priority="103"/>
  </conditionalFormatting>
  <conditionalFormatting sqref="B44">
    <cfRule type="duplicateValues" dxfId="167" priority="104"/>
  </conditionalFormatting>
  <conditionalFormatting sqref="B44">
    <cfRule type="duplicateValues" dxfId="166" priority="105"/>
  </conditionalFormatting>
  <conditionalFormatting sqref="B45">
    <cfRule type="duplicateValues" dxfId="165" priority="96"/>
  </conditionalFormatting>
  <conditionalFormatting sqref="B45">
    <cfRule type="duplicateValues" dxfId="164" priority="97"/>
  </conditionalFormatting>
  <conditionalFormatting sqref="B45">
    <cfRule type="duplicateValues" dxfId="163" priority="98"/>
  </conditionalFormatting>
  <conditionalFormatting sqref="B45">
    <cfRule type="duplicateValues" dxfId="162" priority="99"/>
  </conditionalFormatting>
  <conditionalFormatting sqref="B45">
    <cfRule type="duplicateValues" dxfId="161" priority="100"/>
  </conditionalFormatting>
  <conditionalFormatting sqref="B46">
    <cfRule type="duplicateValues" dxfId="160" priority="86"/>
  </conditionalFormatting>
  <conditionalFormatting sqref="B46">
    <cfRule type="duplicateValues" dxfId="159" priority="87"/>
  </conditionalFormatting>
  <conditionalFormatting sqref="B46">
    <cfRule type="duplicateValues" dxfId="158" priority="88"/>
  </conditionalFormatting>
  <conditionalFormatting sqref="B46">
    <cfRule type="duplicateValues" dxfId="157" priority="89"/>
  </conditionalFormatting>
  <conditionalFormatting sqref="B46">
    <cfRule type="duplicateValues" dxfId="156" priority="90"/>
  </conditionalFormatting>
  <conditionalFormatting sqref="B47">
    <cfRule type="duplicateValues" dxfId="155" priority="81"/>
  </conditionalFormatting>
  <conditionalFormatting sqref="B47">
    <cfRule type="duplicateValues" dxfId="154" priority="82"/>
  </conditionalFormatting>
  <conditionalFormatting sqref="B47">
    <cfRule type="duplicateValues" dxfId="153" priority="83"/>
  </conditionalFormatting>
  <conditionalFormatting sqref="B47">
    <cfRule type="duplicateValues" dxfId="152" priority="84"/>
  </conditionalFormatting>
  <conditionalFormatting sqref="B47">
    <cfRule type="duplicateValues" dxfId="151" priority="85"/>
  </conditionalFormatting>
  <conditionalFormatting sqref="B48">
    <cfRule type="duplicateValues" dxfId="150" priority="66"/>
  </conditionalFormatting>
  <conditionalFormatting sqref="B48">
    <cfRule type="duplicateValues" dxfId="149" priority="67"/>
  </conditionalFormatting>
  <conditionalFormatting sqref="B48">
    <cfRule type="duplicateValues" dxfId="148" priority="68"/>
  </conditionalFormatting>
  <conditionalFormatting sqref="B48">
    <cfRule type="duplicateValues" dxfId="147" priority="69"/>
  </conditionalFormatting>
  <conditionalFormatting sqref="B48">
    <cfRule type="duplicateValues" dxfId="146" priority="70"/>
  </conditionalFormatting>
  <conditionalFormatting sqref="B49">
    <cfRule type="duplicateValues" dxfId="145" priority="61"/>
  </conditionalFormatting>
  <conditionalFormatting sqref="B49">
    <cfRule type="duplicateValues" dxfId="144" priority="62"/>
  </conditionalFormatting>
  <conditionalFormatting sqref="B49">
    <cfRule type="duplicateValues" dxfId="143" priority="63"/>
  </conditionalFormatting>
  <conditionalFormatting sqref="B49">
    <cfRule type="duplicateValues" dxfId="142" priority="64"/>
  </conditionalFormatting>
  <conditionalFormatting sqref="B49">
    <cfRule type="duplicateValues" dxfId="141" priority="65"/>
  </conditionalFormatting>
  <conditionalFormatting sqref="B74">
    <cfRule type="duplicateValues" dxfId="140" priority="46"/>
  </conditionalFormatting>
  <conditionalFormatting sqref="B74">
    <cfRule type="duplicateValues" dxfId="139" priority="47"/>
  </conditionalFormatting>
  <conditionalFormatting sqref="B74">
    <cfRule type="duplicateValues" dxfId="138" priority="48"/>
  </conditionalFormatting>
  <conditionalFormatting sqref="B74">
    <cfRule type="duplicateValues" dxfId="137" priority="49"/>
  </conditionalFormatting>
  <conditionalFormatting sqref="B74">
    <cfRule type="duplicateValues" dxfId="136" priority="50"/>
  </conditionalFormatting>
  <conditionalFormatting sqref="B75">
    <cfRule type="duplicateValues" dxfId="135" priority="41"/>
  </conditionalFormatting>
  <conditionalFormatting sqref="B75">
    <cfRule type="duplicateValues" dxfId="134" priority="42"/>
  </conditionalFormatting>
  <conditionalFormatting sqref="B75">
    <cfRule type="duplicateValues" dxfId="133" priority="43"/>
  </conditionalFormatting>
  <conditionalFormatting sqref="B75">
    <cfRule type="duplicateValues" dxfId="132" priority="44"/>
  </conditionalFormatting>
  <conditionalFormatting sqref="B75">
    <cfRule type="duplicateValues" dxfId="131" priority="45"/>
  </conditionalFormatting>
  <conditionalFormatting sqref="B76">
    <cfRule type="duplicateValues" dxfId="130" priority="36"/>
  </conditionalFormatting>
  <conditionalFormatting sqref="B76">
    <cfRule type="duplicateValues" dxfId="129" priority="37"/>
  </conditionalFormatting>
  <conditionalFormatting sqref="B76">
    <cfRule type="duplicateValues" dxfId="128" priority="38"/>
  </conditionalFormatting>
  <conditionalFormatting sqref="B76">
    <cfRule type="duplicateValues" dxfId="127" priority="39"/>
  </conditionalFormatting>
  <conditionalFormatting sqref="B76">
    <cfRule type="duplicateValues" dxfId="126" priority="40"/>
  </conditionalFormatting>
  <conditionalFormatting sqref="B77">
    <cfRule type="duplicateValues" dxfId="125" priority="31"/>
  </conditionalFormatting>
  <conditionalFormatting sqref="B77">
    <cfRule type="duplicateValues" dxfId="124" priority="32"/>
  </conditionalFormatting>
  <conditionalFormatting sqref="B77">
    <cfRule type="duplicateValues" dxfId="123" priority="33"/>
  </conditionalFormatting>
  <conditionalFormatting sqref="B77">
    <cfRule type="duplicateValues" dxfId="122" priority="34"/>
  </conditionalFormatting>
  <conditionalFormatting sqref="B77">
    <cfRule type="duplicateValues" dxfId="121" priority="35"/>
  </conditionalFormatting>
  <conditionalFormatting sqref="B78">
    <cfRule type="duplicateValues" dxfId="120" priority="26"/>
  </conditionalFormatting>
  <conditionalFormatting sqref="B78">
    <cfRule type="duplicateValues" dxfId="119" priority="27"/>
  </conditionalFormatting>
  <conditionalFormatting sqref="B78">
    <cfRule type="duplicateValues" dxfId="118" priority="28"/>
  </conditionalFormatting>
  <conditionalFormatting sqref="B78">
    <cfRule type="duplicateValues" dxfId="117" priority="29"/>
  </conditionalFormatting>
  <conditionalFormatting sqref="B78">
    <cfRule type="duplicateValues" dxfId="116" priority="30"/>
  </conditionalFormatting>
  <conditionalFormatting sqref="B93">
    <cfRule type="duplicateValues" dxfId="115" priority="21"/>
  </conditionalFormatting>
  <conditionalFormatting sqref="B93">
    <cfRule type="duplicateValues" dxfId="114" priority="22"/>
  </conditionalFormatting>
  <conditionalFormatting sqref="B93">
    <cfRule type="duplicateValues" dxfId="113" priority="23"/>
  </conditionalFormatting>
  <conditionalFormatting sqref="B93">
    <cfRule type="duplicateValues" dxfId="112" priority="24"/>
  </conditionalFormatting>
  <conditionalFormatting sqref="B93">
    <cfRule type="duplicateValues" dxfId="111" priority="25"/>
  </conditionalFormatting>
  <conditionalFormatting sqref="B94">
    <cfRule type="duplicateValues" dxfId="110" priority="16"/>
  </conditionalFormatting>
  <conditionalFormatting sqref="B94">
    <cfRule type="duplicateValues" dxfId="109" priority="17"/>
  </conditionalFormatting>
  <conditionalFormatting sqref="B94">
    <cfRule type="duplicateValues" dxfId="108" priority="18"/>
  </conditionalFormatting>
  <conditionalFormatting sqref="B94">
    <cfRule type="duplicateValues" dxfId="107" priority="19"/>
  </conditionalFormatting>
  <conditionalFormatting sqref="B94">
    <cfRule type="duplicateValues" dxfId="106" priority="20"/>
  </conditionalFormatting>
  <conditionalFormatting sqref="B95">
    <cfRule type="duplicateValues" dxfId="105" priority="11"/>
  </conditionalFormatting>
  <conditionalFormatting sqref="B95">
    <cfRule type="duplicateValues" dxfId="104" priority="12"/>
  </conditionalFormatting>
  <conditionalFormatting sqref="B95">
    <cfRule type="duplicateValues" dxfId="103" priority="13"/>
  </conditionalFormatting>
  <conditionalFormatting sqref="B95">
    <cfRule type="duplicateValues" dxfId="102" priority="14"/>
  </conditionalFormatting>
  <conditionalFormatting sqref="B95">
    <cfRule type="duplicateValues" dxfId="101" priority="15"/>
  </conditionalFormatting>
  <conditionalFormatting sqref="B103">
    <cfRule type="duplicateValues" dxfId="100" priority="6"/>
  </conditionalFormatting>
  <conditionalFormatting sqref="B103">
    <cfRule type="duplicateValues" dxfId="99" priority="7"/>
  </conditionalFormatting>
  <conditionalFormatting sqref="B103">
    <cfRule type="duplicateValues" dxfId="98" priority="8"/>
  </conditionalFormatting>
  <conditionalFormatting sqref="B103">
    <cfRule type="duplicateValues" dxfId="97" priority="9"/>
  </conditionalFormatting>
  <conditionalFormatting sqref="B103">
    <cfRule type="duplicateValues" dxfId="96" priority="10"/>
  </conditionalFormatting>
  <conditionalFormatting sqref="B108">
    <cfRule type="duplicateValues" dxfId="95" priority="1"/>
  </conditionalFormatting>
  <conditionalFormatting sqref="B108">
    <cfRule type="duplicateValues" dxfId="94" priority="2"/>
  </conditionalFormatting>
  <conditionalFormatting sqref="B108">
    <cfRule type="duplicateValues" dxfId="93" priority="3"/>
  </conditionalFormatting>
  <conditionalFormatting sqref="B108">
    <cfRule type="duplicateValues" dxfId="92" priority="4"/>
  </conditionalFormatting>
  <conditionalFormatting sqref="B108">
    <cfRule type="duplicateValues" dxfId="91" priority="5"/>
  </conditionalFormatting>
  <dataValidations count="1">
    <dataValidation type="list" allowBlank="1" showInputMessage="1" showErrorMessage="1" sqref="B109:B112 B115:B118 B120:B123 B125:B128 B130:B132">
      <formula1>#REF!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'[6]Catálogo de productos'!#REF!</xm:f>
          </x14:formula1>
          <xm:sqref>B3:B36 B104:B106 B96:B100 B79:B88 B50:B69</xm:sqref>
        </x14:dataValidation>
        <x14:dataValidation type="list" allowBlank="1" showInputMessage="1" showErrorMessage="1">
          <x14:formula1>
            <xm:f>'[4]Catálogo de productos'!#REF!</xm:f>
          </x14:formula1>
          <xm:sqref>B37:B40 B107 B101 B89:B91 B70:B72</xm:sqref>
        </x14:dataValidation>
        <x14:dataValidation type="list" allowBlank="1" showInputMessage="1" showErrorMessage="1">
          <x14:formula1>
            <xm:f>'[1]Catálogo de productos'!#REF!</xm:f>
          </x14:formula1>
          <xm:sqref>B113:B114 B133 B129 B124 B119 B102 B92 B73 B41</xm:sqref>
        </x14:dataValidation>
        <x14:dataValidation type="list" allowBlank="1" showInputMessage="1" showErrorMessage="1">
          <x14:formula1>
            <xm:f>'[2]Catálogo de productos'!#REF!</xm:f>
          </x14:formula1>
          <xm:sqref>B42:B49 B103 B108 B93:B95 B74:B78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80"/>
  <sheetViews>
    <sheetView topLeftCell="A62" workbookViewId="0">
      <selection activeCell="A3" sqref="A3:B80"/>
    </sheetView>
  </sheetViews>
  <sheetFormatPr baseColWidth="10" defaultRowHeight="14.4" x14ac:dyDescent="0.3"/>
  <cols>
    <col min="5" max="5" width="16.5546875" bestFit="1" customWidth="1"/>
    <col min="6" max="6" width="37.77734375" bestFit="1" customWidth="1"/>
  </cols>
  <sheetData>
    <row r="2" spans="1:10" ht="30.6" x14ac:dyDescent="0.3">
      <c r="A2" s="4" t="s">
        <v>40</v>
      </c>
      <c r="B2" s="4" t="s">
        <v>41</v>
      </c>
    </row>
    <row r="3" spans="1:10" x14ac:dyDescent="0.3">
      <c r="A3" s="5" t="s">
        <v>1418</v>
      </c>
      <c r="B3" s="5" t="s">
        <v>2177</v>
      </c>
      <c r="E3" s="9" t="s">
        <v>6963</v>
      </c>
      <c r="F3" t="s">
        <v>7077</v>
      </c>
      <c r="H3" t="s">
        <v>6963</v>
      </c>
      <c r="J3" t="s">
        <v>7077</v>
      </c>
    </row>
    <row r="4" spans="1:10" x14ac:dyDescent="0.3">
      <c r="A4" s="5" t="s">
        <v>2434</v>
      </c>
      <c r="B4" s="5" t="s">
        <v>2435</v>
      </c>
      <c r="E4" s="10" t="s">
        <v>2517</v>
      </c>
      <c r="F4" s="2">
        <v>2</v>
      </c>
      <c r="H4" t="s">
        <v>2506</v>
      </c>
      <c r="I4" t="str">
        <f t="shared" ref="I4:I35" si="0">+VLOOKUP(H4,$A$3:$B$80,2,FALSE)</f>
        <v>CUERO DIVIDIDO</v>
      </c>
      <c r="J4">
        <v>8</v>
      </c>
    </row>
    <row r="5" spans="1:10" x14ac:dyDescent="0.3">
      <c r="A5" s="5" t="s">
        <v>2444</v>
      </c>
      <c r="B5" s="5" t="s">
        <v>2445</v>
      </c>
      <c r="E5" s="10" t="s">
        <v>2738</v>
      </c>
      <c r="F5" s="2">
        <v>2</v>
      </c>
      <c r="H5" t="s">
        <v>575</v>
      </c>
      <c r="I5" t="str">
        <f t="shared" si="0"/>
        <v>TOALLAS DE BAÑO DE ALGODÓN</v>
      </c>
      <c r="J5">
        <v>4</v>
      </c>
    </row>
    <row r="6" spans="1:10" x14ac:dyDescent="0.3">
      <c r="A6" s="5" t="s">
        <v>2469</v>
      </c>
      <c r="B6" s="5" t="s">
        <v>2470</v>
      </c>
      <c r="E6" s="10" t="s">
        <v>2422</v>
      </c>
      <c r="F6" s="2">
        <v>2</v>
      </c>
      <c r="H6" t="s">
        <v>1418</v>
      </c>
      <c r="I6" t="str">
        <f t="shared" si="0"/>
        <v>PULPA DE FRUTAS</v>
      </c>
      <c r="J6">
        <v>3</v>
      </c>
    </row>
    <row r="7" spans="1:10" x14ac:dyDescent="0.3">
      <c r="A7" s="5" t="s">
        <v>2506</v>
      </c>
      <c r="B7" s="5" t="s">
        <v>2507</v>
      </c>
      <c r="E7" s="10" t="s">
        <v>2175</v>
      </c>
      <c r="F7" s="2">
        <v>2</v>
      </c>
      <c r="H7" t="s">
        <v>2517</v>
      </c>
      <c r="I7" t="str">
        <f t="shared" si="0"/>
        <v>CARNAZA</v>
      </c>
      <c r="J7">
        <v>2</v>
      </c>
    </row>
    <row r="8" spans="1:10" x14ac:dyDescent="0.3">
      <c r="A8" s="5" t="s">
        <v>2517</v>
      </c>
      <c r="B8" s="5" t="s">
        <v>2518</v>
      </c>
      <c r="E8" s="10" t="s">
        <v>1418</v>
      </c>
      <c r="F8" s="2">
        <v>3</v>
      </c>
      <c r="H8" t="s">
        <v>2738</v>
      </c>
      <c r="I8" t="str">
        <f t="shared" si="0"/>
        <v>SNACK A BASE DE CUERO DE CERDO (CRONQUIS)</v>
      </c>
      <c r="J8">
        <v>2</v>
      </c>
    </row>
    <row r="9" spans="1:10" x14ac:dyDescent="0.3">
      <c r="A9" s="5" t="s">
        <v>674</v>
      </c>
      <c r="B9" s="5" t="s">
        <v>2533</v>
      </c>
      <c r="E9" s="10" t="s">
        <v>2434</v>
      </c>
      <c r="F9" s="2">
        <v>2</v>
      </c>
      <c r="H9" t="s">
        <v>2422</v>
      </c>
      <c r="I9" t="str">
        <f t="shared" si="0"/>
        <v>MERMELADA DE PIÑA</v>
      </c>
      <c r="J9">
        <v>2</v>
      </c>
    </row>
    <row r="10" spans="1:10" x14ac:dyDescent="0.3">
      <c r="A10" s="5" t="s">
        <v>2572</v>
      </c>
      <c r="B10" s="5" t="s">
        <v>2573</v>
      </c>
      <c r="E10" s="10" t="s">
        <v>2723</v>
      </c>
      <c r="F10" s="2">
        <v>1</v>
      </c>
      <c r="H10" t="s">
        <v>2175</v>
      </c>
      <c r="I10" t="str">
        <f t="shared" si="0"/>
        <v>PULPA DE FRUTILLA</v>
      </c>
      <c r="J10">
        <v>2</v>
      </c>
    </row>
    <row r="11" spans="1:10" x14ac:dyDescent="0.3">
      <c r="A11" s="5" t="s">
        <v>2584</v>
      </c>
      <c r="B11" s="5" t="s">
        <v>2585</v>
      </c>
      <c r="E11" s="10" t="s">
        <v>2725</v>
      </c>
      <c r="F11" s="2">
        <v>1</v>
      </c>
      <c r="H11" t="s">
        <v>2434</v>
      </c>
      <c r="I11" t="str">
        <f t="shared" si="0"/>
        <v>HARINA DE TRIGO</v>
      </c>
      <c r="J11">
        <v>2</v>
      </c>
    </row>
    <row r="12" spans="1:10" x14ac:dyDescent="0.3">
      <c r="A12" s="5" t="s">
        <v>1960</v>
      </c>
      <c r="B12" s="5" t="s">
        <v>1961</v>
      </c>
      <c r="E12" s="10" t="s">
        <v>2727</v>
      </c>
      <c r="F12" s="2">
        <v>1</v>
      </c>
      <c r="H12" t="s">
        <v>564</v>
      </c>
      <c r="I12" t="str">
        <f t="shared" si="0"/>
        <v>TELA POLIESTER</v>
      </c>
      <c r="J12">
        <v>2</v>
      </c>
    </row>
    <row r="13" spans="1:10" x14ac:dyDescent="0.3">
      <c r="A13" s="5" t="s">
        <v>1418</v>
      </c>
      <c r="B13" s="5" t="s">
        <v>2177</v>
      </c>
      <c r="E13" s="10" t="s">
        <v>2194</v>
      </c>
      <c r="F13" s="2">
        <v>1</v>
      </c>
      <c r="H13" t="s">
        <v>1074</v>
      </c>
      <c r="I13" t="str">
        <f t="shared" si="0"/>
        <v>CABOS SINTÉTICOS</v>
      </c>
      <c r="J13">
        <v>2</v>
      </c>
    </row>
    <row r="14" spans="1:10" x14ac:dyDescent="0.3">
      <c r="A14" s="5" t="s">
        <v>2615</v>
      </c>
      <c r="B14" s="5" t="s">
        <v>2616</v>
      </c>
      <c r="E14" s="10" t="s">
        <v>2444</v>
      </c>
      <c r="F14" s="2">
        <v>1</v>
      </c>
      <c r="H14" t="s">
        <v>182</v>
      </c>
      <c r="I14" t="str">
        <f t="shared" si="0"/>
        <v>MEDIAS PARA ADULTOS</v>
      </c>
      <c r="J14">
        <v>2</v>
      </c>
    </row>
    <row r="15" spans="1:10" x14ac:dyDescent="0.3">
      <c r="A15" s="5" t="s">
        <v>564</v>
      </c>
      <c r="B15" s="5" t="s">
        <v>2655</v>
      </c>
      <c r="E15" s="10" t="s">
        <v>1438</v>
      </c>
      <c r="F15" s="2">
        <v>1</v>
      </c>
      <c r="H15" t="s">
        <v>2483</v>
      </c>
      <c r="I15" t="str">
        <f t="shared" si="0"/>
        <v>CALZONCILLO PARA HOMBRE ALGODÓN</v>
      </c>
      <c r="J15">
        <v>2</v>
      </c>
    </row>
    <row r="16" spans="1:10" x14ac:dyDescent="0.3">
      <c r="A16" s="5" t="s">
        <v>2517</v>
      </c>
      <c r="B16" s="5" t="s">
        <v>2518</v>
      </c>
      <c r="E16" s="10" t="s">
        <v>2420</v>
      </c>
      <c r="F16" s="2">
        <v>1</v>
      </c>
      <c r="H16" t="s">
        <v>1720</v>
      </c>
      <c r="I16" t="str">
        <f t="shared" si="0"/>
        <v>CALZONARIA PARA MUJER ALGODÓN</v>
      </c>
      <c r="J16">
        <v>2</v>
      </c>
    </row>
    <row r="17" spans="1:10" x14ac:dyDescent="0.3">
      <c r="A17" s="5" t="s">
        <v>2506</v>
      </c>
      <c r="B17" s="5" t="s">
        <v>2507</v>
      </c>
      <c r="E17" s="10" t="s">
        <v>2615</v>
      </c>
      <c r="F17" s="2">
        <v>1</v>
      </c>
      <c r="H17" t="s">
        <v>2469</v>
      </c>
      <c r="I17" t="str">
        <f t="shared" si="0"/>
        <v>BIVIDÍ</v>
      </c>
      <c r="J17">
        <v>2</v>
      </c>
    </row>
    <row r="18" spans="1:10" x14ac:dyDescent="0.3">
      <c r="A18" s="5" t="s">
        <v>615</v>
      </c>
      <c r="B18" s="5" t="s">
        <v>2702</v>
      </c>
      <c r="E18" s="10" t="s">
        <v>1304</v>
      </c>
      <c r="F18" s="2">
        <v>1</v>
      </c>
      <c r="H18" t="s">
        <v>2714</v>
      </c>
      <c r="I18" t="str">
        <f t="shared" si="0"/>
        <v>MULTIVITAMINICO</v>
      </c>
      <c r="J18">
        <v>2</v>
      </c>
    </row>
    <row r="19" spans="1:10" x14ac:dyDescent="0.3">
      <c r="A19" s="5" t="s">
        <v>564</v>
      </c>
      <c r="B19" s="5" t="s">
        <v>2655</v>
      </c>
      <c r="E19" s="10" t="s">
        <v>564</v>
      </c>
      <c r="F19" s="2">
        <v>2</v>
      </c>
      <c r="H19" t="s">
        <v>2576</v>
      </c>
      <c r="I19" t="str">
        <f t="shared" si="0"/>
        <v>PILOTES DE HORMIGÓN</v>
      </c>
      <c r="J19">
        <v>2</v>
      </c>
    </row>
    <row r="20" spans="1:10" x14ac:dyDescent="0.3">
      <c r="A20" s="5" t="s">
        <v>2469</v>
      </c>
      <c r="B20" s="5" t="s">
        <v>2470</v>
      </c>
      <c r="E20" s="10" t="s">
        <v>540</v>
      </c>
      <c r="F20" s="2">
        <v>1</v>
      </c>
      <c r="H20" t="s">
        <v>2723</v>
      </c>
      <c r="I20" t="str">
        <f t="shared" si="0"/>
        <v>HARINA DE MAIZ</v>
      </c>
      <c r="J20">
        <v>1</v>
      </c>
    </row>
    <row r="21" spans="1:10" x14ac:dyDescent="0.3">
      <c r="A21" s="5" t="s">
        <v>1720</v>
      </c>
      <c r="B21" s="5" t="s">
        <v>1721</v>
      </c>
      <c r="E21" s="10" t="s">
        <v>575</v>
      </c>
      <c r="F21" s="2">
        <v>4</v>
      </c>
      <c r="H21" t="s">
        <v>2725</v>
      </c>
      <c r="I21" t="str">
        <f t="shared" si="0"/>
        <v>HARINA DE CEBADA</v>
      </c>
      <c r="J21">
        <v>1</v>
      </c>
    </row>
    <row r="22" spans="1:10" x14ac:dyDescent="0.3">
      <c r="A22" s="5" t="s">
        <v>182</v>
      </c>
      <c r="B22" s="5" t="s">
        <v>1680</v>
      </c>
      <c r="E22" s="10" t="s">
        <v>1074</v>
      </c>
      <c r="F22" s="2">
        <v>2</v>
      </c>
      <c r="H22" t="s">
        <v>2727</v>
      </c>
      <c r="I22" t="str">
        <f t="shared" si="0"/>
        <v>HARINA DE PLÁTANO</v>
      </c>
      <c r="J22">
        <v>1</v>
      </c>
    </row>
    <row r="23" spans="1:10" x14ac:dyDescent="0.3">
      <c r="A23" s="5" t="s">
        <v>2786</v>
      </c>
      <c r="B23" s="5" t="s">
        <v>2787</v>
      </c>
      <c r="E23" s="10" t="s">
        <v>181</v>
      </c>
      <c r="F23" s="2">
        <v>1</v>
      </c>
      <c r="H23" t="s">
        <v>2194</v>
      </c>
      <c r="I23" t="str">
        <f t="shared" si="0"/>
        <v>SALSA DE AJÍ</v>
      </c>
      <c r="J23">
        <v>1</v>
      </c>
    </row>
    <row r="24" spans="1:10" x14ac:dyDescent="0.3">
      <c r="A24" s="5" t="s">
        <v>2420</v>
      </c>
      <c r="B24" s="5" t="s">
        <v>2421</v>
      </c>
      <c r="E24" s="10" t="s">
        <v>929</v>
      </c>
      <c r="F24" s="2">
        <v>1</v>
      </c>
      <c r="H24" t="s">
        <v>2444</v>
      </c>
      <c r="I24" t="str">
        <f t="shared" si="0"/>
        <v>WHISKY</v>
      </c>
      <c r="J24">
        <v>1</v>
      </c>
    </row>
    <row r="25" spans="1:10" x14ac:dyDescent="0.3">
      <c r="A25" s="5" t="s">
        <v>1438</v>
      </c>
      <c r="B25" s="5" t="s">
        <v>1439</v>
      </c>
      <c r="E25" s="10" t="s">
        <v>182</v>
      </c>
      <c r="F25" s="2">
        <v>2</v>
      </c>
      <c r="H25" t="s">
        <v>1438</v>
      </c>
      <c r="I25" t="str">
        <f t="shared" si="0"/>
        <v>VINO ESPUMANTE</v>
      </c>
      <c r="J25">
        <v>1</v>
      </c>
    </row>
    <row r="26" spans="1:10" x14ac:dyDescent="0.3">
      <c r="A26" s="5" t="s">
        <v>2471</v>
      </c>
      <c r="B26" s="5" t="s">
        <v>2472</v>
      </c>
      <c r="E26" s="10" t="s">
        <v>2453</v>
      </c>
      <c r="F26" s="2">
        <v>1</v>
      </c>
      <c r="H26" t="s">
        <v>2420</v>
      </c>
      <c r="I26" t="str">
        <f t="shared" si="0"/>
        <v>AGUA NATURAL</v>
      </c>
      <c r="J26">
        <v>1</v>
      </c>
    </row>
    <row r="27" spans="1:10" x14ac:dyDescent="0.3">
      <c r="A27" s="5" t="s">
        <v>2506</v>
      </c>
      <c r="B27" s="5" t="s">
        <v>2507</v>
      </c>
      <c r="E27" s="10" t="s">
        <v>2473</v>
      </c>
      <c r="F27" s="2">
        <v>1</v>
      </c>
      <c r="H27" t="s">
        <v>2615</v>
      </c>
      <c r="I27" t="str">
        <f t="shared" si="0"/>
        <v>GASEOSA</v>
      </c>
      <c r="J27">
        <v>1</v>
      </c>
    </row>
    <row r="28" spans="1:10" x14ac:dyDescent="0.3">
      <c r="A28" s="5" t="s">
        <v>2506</v>
      </c>
      <c r="B28" s="5" t="s">
        <v>2507</v>
      </c>
      <c r="E28" s="10" t="s">
        <v>2483</v>
      </c>
      <c r="F28" s="2">
        <v>2</v>
      </c>
      <c r="H28" t="s">
        <v>1304</v>
      </c>
      <c r="I28" t="str">
        <f t="shared" si="0"/>
        <v>HILO DE POLIÉSTER PARA TELA</v>
      </c>
      <c r="J28">
        <v>1</v>
      </c>
    </row>
    <row r="29" spans="1:10" x14ac:dyDescent="0.3">
      <c r="A29" s="5" t="s">
        <v>661</v>
      </c>
      <c r="B29" s="5" t="s">
        <v>1761</v>
      </c>
      <c r="E29" s="10" t="s">
        <v>2457</v>
      </c>
      <c r="F29" s="2">
        <v>1</v>
      </c>
      <c r="H29" t="s">
        <v>540</v>
      </c>
      <c r="I29" t="str">
        <f t="shared" si="0"/>
        <v>TELA DE PUNTO POLIESTER</v>
      </c>
      <c r="J29">
        <v>1</v>
      </c>
    </row>
    <row r="30" spans="1:10" x14ac:dyDescent="0.3">
      <c r="A30" s="5" t="s">
        <v>2574</v>
      </c>
      <c r="B30" s="5" t="s">
        <v>2575</v>
      </c>
      <c r="E30" s="10" t="s">
        <v>1720</v>
      </c>
      <c r="F30" s="2">
        <v>2</v>
      </c>
      <c r="H30" t="s">
        <v>181</v>
      </c>
      <c r="I30" t="str">
        <f t="shared" si="0"/>
        <v>MEDIAS DE NIÑO</v>
      </c>
      <c r="J30">
        <v>1</v>
      </c>
    </row>
    <row r="31" spans="1:10" x14ac:dyDescent="0.3">
      <c r="A31" s="5" t="s">
        <v>1962</v>
      </c>
      <c r="B31" s="5" t="s">
        <v>1963</v>
      </c>
      <c r="E31" s="10" t="s">
        <v>2475</v>
      </c>
      <c r="F31" s="2">
        <v>1</v>
      </c>
      <c r="H31" t="s">
        <v>929</v>
      </c>
      <c r="I31" t="str">
        <f t="shared" si="0"/>
        <v>MEDIAS DE FÚTBOL</v>
      </c>
      <c r="J31">
        <v>1</v>
      </c>
    </row>
    <row r="32" spans="1:10" x14ac:dyDescent="0.3">
      <c r="A32" s="5" t="s">
        <v>2194</v>
      </c>
      <c r="B32" s="5" t="s">
        <v>2195</v>
      </c>
      <c r="E32" s="10" t="s">
        <v>2469</v>
      </c>
      <c r="F32" s="2">
        <v>2</v>
      </c>
      <c r="H32" t="s">
        <v>2453</v>
      </c>
      <c r="I32" t="str">
        <f t="shared" si="0"/>
        <v>CONJUNTO PARA HOMBRE</v>
      </c>
      <c r="J32">
        <v>1</v>
      </c>
    </row>
    <row r="33" spans="1:10" x14ac:dyDescent="0.3">
      <c r="A33" s="5" t="s">
        <v>575</v>
      </c>
      <c r="B33" s="5" t="s">
        <v>2635</v>
      </c>
      <c r="E33" s="10" t="s">
        <v>2455</v>
      </c>
      <c r="F33" s="2">
        <v>1</v>
      </c>
      <c r="H33" t="s">
        <v>2473</v>
      </c>
      <c r="I33" t="str">
        <f t="shared" si="0"/>
        <v>CAMISETA DEPORTIVA DE HOMBRE</v>
      </c>
      <c r="J33">
        <v>1</v>
      </c>
    </row>
    <row r="34" spans="1:10" x14ac:dyDescent="0.3">
      <c r="A34" s="5" t="s">
        <v>2506</v>
      </c>
      <c r="B34" s="5" t="s">
        <v>2507</v>
      </c>
      <c r="E34" s="10" t="s">
        <v>2471</v>
      </c>
      <c r="F34" s="2">
        <v>1</v>
      </c>
      <c r="H34" t="s">
        <v>2457</v>
      </c>
      <c r="I34" t="str">
        <f t="shared" si="0"/>
        <v>CAMISETA DE  MUJER POLIESTER</v>
      </c>
      <c r="J34">
        <v>1</v>
      </c>
    </row>
    <row r="35" spans="1:10" x14ac:dyDescent="0.3">
      <c r="A35" s="5" t="s">
        <v>540</v>
      </c>
      <c r="B35" s="5" t="s">
        <v>2205</v>
      </c>
      <c r="E35" s="10" t="s">
        <v>2506</v>
      </c>
      <c r="F35" s="2">
        <v>8</v>
      </c>
      <c r="H35" t="s">
        <v>2475</v>
      </c>
      <c r="I35" t="str">
        <f t="shared" si="0"/>
        <v>CAMISETA DE HOMBRE DE ALGODÓN</v>
      </c>
      <c r="J35">
        <v>1</v>
      </c>
    </row>
    <row r="36" spans="1:10" x14ac:dyDescent="0.3">
      <c r="A36" s="5" t="s">
        <v>2483</v>
      </c>
      <c r="B36" s="5" t="s">
        <v>2484</v>
      </c>
      <c r="E36" s="10" t="s">
        <v>2786</v>
      </c>
      <c r="F36" s="2">
        <v>1</v>
      </c>
      <c r="H36" t="s">
        <v>2455</v>
      </c>
      <c r="I36" t="str">
        <f t="shared" ref="I36:I56" si="1">+VLOOKUP(H36,$A$3:$B$80,2,FALSE)</f>
        <v>CONJUNTO PARA MUJER SINTETICO(CPC 28233.02.06.01 )</v>
      </c>
      <c r="J36">
        <v>1</v>
      </c>
    </row>
    <row r="37" spans="1:10" x14ac:dyDescent="0.3">
      <c r="A37" s="5" t="s">
        <v>181</v>
      </c>
      <c r="B37" s="5" t="s">
        <v>2776</v>
      </c>
      <c r="E37" s="10" t="s">
        <v>2693</v>
      </c>
      <c r="F37" s="2">
        <v>1</v>
      </c>
      <c r="H37" t="s">
        <v>2471</v>
      </c>
      <c r="I37" t="str">
        <f t="shared" si="1"/>
        <v>BLUSA PARA MUJER</v>
      </c>
      <c r="J37">
        <v>1</v>
      </c>
    </row>
    <row r="38" spans="1:10" x14ac:dyDescent="0.3">
      <c r="A38" s="5" t="s">
        <v>2175</v>
      </c>
      <c r="B38" s="5" t="s">
        <v>1420</v>
      </c>
      <c r="E38" s="10" t="s">
        <v>615</v>
      </c>
      <c r="F38" s="2">
        <v>1</v>
      </c>
      <c r="H38" t="s">
        <v>2786</v>
      </c>
      <c r="I38" t="str">
        <f t="shared" si="1"/>
        <v>CALZADO CON PUNTA METALIZADA</v>
      </c>
      <c r="J38">
        <v>1</v>
      </c>
    </row>
    <row r="39" spans="1:10" x14ac:dyDescent="0.3">
      <c r="A39" s="5" t="s">
        <v>2473</v>
      </c>
      <c r="B39" s="5" t="s">
        <v>2474</v>
      </c>
      <c r="E39" s="10" t="s">
        <v>1336</v>
      </c>
      <c r="F39" s="2">
        <v>1</v>
      </c>
      <c r="H39" t="s">
        <v>2693</v>
      </c>
      <c r="I39" t="str">
        <f t="shared" si="1"/>
        <v>SANDALIA PARA MUJER</v>
      </c>
      <c r="J39">
        <v>1</v>
      </c>
    </row>
    <row r="40" spans="1:10" x14ac:dyDescent="0.3">
      <c r="A40" s="5" t="s">
        <v>671</v>
      </c>
      <c r="B40" s="5" t="s">
        <v>2251</v>
      </c>
      <c r="E40" s="10" t="s">
        <v>2712</v>
      </c>
      <c r="F40" s="2">
        <v>1</v>
      </c>
      <c r="H40" t="s">
        <v>615</v>
      </c>
      <c r="I40" t="str">
        <f t="shared" si="1"/>
        <v>CALZADO DE LONA</v>
      </c>
      <c r="J40">
        <v>1</v>
      </c>
    </row>
    <row r="41" spans="1:10" x14ac:dyDescent="0.3">
      <c r="A41" s="5" t="s">
        <v>2576</v>
      </c>
      <c r="B41" s="5" t="s">
        <v>2577</v>
      </c>
      <c r="E41" s="10" t="s">
        <v>2714</v>
      </c>
      <c r="F41" s="2">
        <v>2</v>
      </c>
      <c r="H41" t="s">
        <v>1336</v>
      </c>
      <c r="I41" t="str">
        <f t="shared" si="1"/>
        <v>ABONO COMPUESTO</v>
      </c>
      <c r="J41">
        <v>1</v>
      </c>
    </row>
    <row r="42" spans="1:10" x14ac:dyDescent="0.3">
      <c r="A42" s="5" t="s">
        <v>2175</v>
      </c>
      <c r="B42" s="5" t="s">
        <v>1420</v>
      </c>
      <c r="E42" s="10" t="s">
        <v>674</v>
      </c>
      <c r="F42" s="2">
        <v>1</v>
      </c>
      <c r="H42" t="s">
        <v>2712</v>
      </c>
      <c r="I42" t="str">
        <f t="shared" si="1"/>
        <v>ÁCIDO FOLICO</v>
      </c>
      <c r="J42">
        <v>1</v>
      </c>
    </row>
    <row r="43" spans="1:10" x14ac:dyDescent="0.3">
      <c r="A43" s="5" t="s">
        <v>575</v>
      </c>
      <c r="B43" s="5" t="s">
        <v>2635</v>
      </c>
      <c r="E43" s="10" t="s">
        <v>661</v>
      </c>
      <c r="F43" s="2">
        <v>1</v>
      </c>
      <c r="H43" t="s">
        <v>674</v>
      </c>
      <c r="I43" t="str">
        <f t="shared" si="1"/>
        <v>JABÓN LÍQUIDO</v>
      </c>
      <c r="J43">
        <v>1</v>
      </c>
    </row>
    <row r="44" spans="1:10" x14ac:dyDescent="0.3">
      <c r="A44" s="5" t="s">
        <v>929</v>
      </c>
      <c r="B44" s="5" t="s">
        <v>1681</v>
      </c>
      <c r="E44" s="10" t="s">
        <v>671</v>
      </c>
      <c r="F44" s="2">
        <v>1</v>
      </c>
      <c r="H44" t="s">
        <v>661</v>
      </c>
      <c r="I44" t="str">
        <f t="shared" si="1"/>
        <v>DESGRASANTES</v>
      </c>
      <c r="J44">
        <v>1</v>
      </c>
    </row>
    <row r="45" spans="1:10" x14ac:dyDescent="0.3">
      <c r="A45" s="5" t="s">
        <v>1418</v>
      </c>
      <c r="B45" s="5" t="s">
        <v>2177</v>
      </c>
      <c r="E45" s="10" t="s">
        <v>672</v>
      </c>
      <c r="F45" s="2">
        <v>1</v>
      </c>
      <c r="H45" t="s">
        <v>671</v>
      </c>
      <c r="I45" t="str">
        <f t="shared" si="1"/>
        <v>DETERGENTE DE ROPA</v>
      </c>
      <c r="J45">
        <v>1</v>
      </c>
    </row>
    <row r="46" spans="1:10" x14ac:dyDescent="0.3">
      <c r="A46" s="5" t="s">
        <v>1720</v>
      </c>
      <c r="B46" s="5" t="s">
        <v>1721</v>
      </c>
      <c r="E46" s="10" t="s">
        <v>1521</v>
      </c>
      <c r="F46" s="2">
        <v>1</v>
      </c>
      <c r="H46" t="s">
        <v>672</v>
      </c>
      <c r="I46" t="str">
        <f t="shared" si="1"/>
        <v>SUAVIZANTE DE ROPA</v>
      </c>
      <c r="J46">
        <v>1</v>
      </c>
    </row>
    <row r="47" spans="1:10" x14ac:dyDescent="0.3">
      <c r="A47" s="5" t="s">
        <v>672</v>
      </c>
      <c r="B47" s="5" t="s">
        <v>2534</v>
      </c>
      <c r="E47" s="10" t="s">
        <v>712</v>
      </c>
      <c r="F47" s="2">
        <v>1</v>
      </c>
      <c r="H47" t="s">
        <v>1521</v>
      </c>
      <c r="I47" t="str">
        <f t="shared" si="1"/>
        <v>VASELINA</v>
      </c>
      <c r="J47">
        <v>1</v>
      </c>
    </row>
    <row r="48" spans="1:10" x14ac:dyDescent="0.3">
      <c r="A48" s="5" t="s">
        <v>2422</v>
      </c>
      <c r="B48" s="5" t="s">
        <v>2423</v>
      </c>
      <c r="E48" s="10" t="s">
        <v>2551</v>
      </c>
      <c r="F48" s="2">
        <v>1</v>
      </c>
      <c r="H48" t="s">
        <v>712</v>
      </c>
      <c r="I48" t="str">
        <f t="shared" si="1"/>
        <v>GEL ANTIBACTERIAL</v>
      </c>
      <c r="J48">
        <v>1</v>
      </c>
    </row>
    <row r="49" spans="1:10" x14ac:dyDescent="0.3">
      <c r="A49" s="5" t="s">
        <v>2422</v>
      </c>
      <c r="B49" s="5" t="s">
        <v>2423</v>
      </c>
      <c r="E49" s="10" t="s">
        <v>2540</v>
      </c>
      <c r="F49" s="2">
        <v>1</v>
      </c>
      <c r="H49" t="s">
        <v>2551</v>
      </c>
      <c r="I49" t="str">
        <f t="shared" si="1"/>
        <v>TUBO DE ALCANTARILLADO</v>
      </c>
      <c r="J49">
        <v>1</v>
      </c>
    </row>
    <row r="50" spans="1:10" x14ac:dyDescent="0.3">
      <c r="A50" s="5" t="s">
        <v>2475</v>
      </c>
      <c r="B50" s="5" t="s">
        <v>2476</v>
      </c>
      <c r="E50" s="10" t="s">
        <v>2563</v>
      </c>
      <c r="F50" s="2">
        <v>1</v>
      </c>
      <c r="H50" t="s">
        <v>2540</v>
      </c>
      <c r="I50" t="str">
        <f t="shared" si="1"/>
        <v>TAPAS PLÁSTICAS</v>
      </c>
      <c r="J50">
        <v>1</v>
      </c>
    </row>
    <row r="51" spans="1:10" x14ac:dyDescent="0.3">
      <c r="A51" s="5" t="s">
        <v>2453</v>
      </c>
      <c r="B51" s="5" t="s">
        <v>2454</v>
      </c>
      <c r="E51" s="10" t="s">
        <v>2576</v>
      </c>
      <c r="F51" s="2">
        <v>2</v>
      </c>
      <c r="H51" t="s">
        <v>2563</v>
      </c>
      <c r="I51" t="str">
        <f t="shared" si="1"/>
        <v>VIDRIO LAMINADO</v>
      </c>
      <c r="J51">
        <v>1</v>
      </c>
    </row>
    <row r="52" spans="1:10" x14ac:dyDescent="0.3">
      <c r="A52" s="5" t="s">
        <v>2483</v>
      </c>
      <c r="B52" s="5" t="s">
        <v>2484</v>
      </c>
      <c r="E52" s="10" t="s">
        <v>2574</v>
      </c>
      <c r="F52" s="2">
        <v>1</v>
      </c>
      <c r="H52" t="s">
        <v>2574</v>
      </c>
      <c r="I52" t="str">
        <f t="shared" si="1"/>
        <v>TUBOS DE HORMIGÓN</v>
      </c>
      <c r="J52">
        <v>1</v>
      </c>
    </row>
    <row r="53" spans="1:10" x14ac:dyDescent="0.3">
      <c r="A53" s="5" t="s">
        <v>182</v>
      </c>
      <c r="B53" s="5" t="s">
        <v>1680</v>
      </c>
      <c r="E53" s="10" t="s">
        <v>2572</v>
      </c>
      <c r="F53" s="2">
        <v>1</v>
      </c>
      <c r="H53" t="s">
        <v>2572</v>
      </c>
      <c r="I53" t="str">
        <f t="shared" si="1"/>
        <v>ADOQUINES</v>
      </c>
      <c r="J53">
        <v>1</v>
      </c>
    </row>
    <row r="54" spans="1:10" x14ac:dyDescent="0.3">
      <c r="A54" s="5" t="s">
        <v>1336</v>
      </c>
      <c r="B54" s="5" t="s">
        <v>1381</v>
      </c>
      <c r="E54" s="10" t="s">
        <v>2584</v>
      </c>
      <c r="F54" s="2">
        <v>1</v>
      </c>
      <c r="H54" t="s">
        <v>2584</v>
      </c>
      <c r="I54" t="str">
        <f t="shared" si="1"/>
        <v>PASAMANOS DE ACERO</v>
      </c>
      <c r="J54">
        <v>1</v>
      </c>
    </row>
    <row r="55" spans="1:10" x14ac:dyDescent="0.3">
      <c r="A55" s="5" t="s">
        <v>2540</v>
      </c>
      <c r="B55" s="5" t="s">
        <v>2541</v>
      </c>
      <c r="E55" s="10" t="s">
        <v>1960</v>
      </c>
      <c r="F55" s="2">
        <v>1</v>
      </c>
      <c r="H55" t="s">
        <v>1960</v>
      </c>
      <c r="I55" t="str">
        <f t="shared" si="1"/>
        <v>COCINA DE GAS</v>
      </c>
      <c r="J55">
        <v>1</v>
      </c>
    </row>
    <row r="56" spans="1:10" x14ac:dyDescent="0.3">
      <c r="A56" s="5" t="s">
        <v>1074</v>
      </c>
      <c r="B56" s="5" t="s">
        <v>2550</v>
      </c>
      <c r="E56" s="10" t="s">
        <v>1962</v>
      </c>
      <c r="F56" s="2">
        <v>1</v>
      </c>
      <c r="H56" t="s">
        <v>1962</v>
      </c>
      <c r="I56" t="str">
        <f t="shared" si="1"/>
        <v>HORNOS A GAS</v>
      </c>
      <c r="J56">
        <v>1</v>
      </c>
    </row>
    <row r="57" spans="1:10" x14ac:dyDescent="0.3">
      <c r="A57" s="5" t="s">
        <v>2563</v>
      </c>
      <c r="B57" s="5" t="s">
        <v>2564</v>
      </c>
      <c r="E57" s="10" t="s">
        <v>6964</v>
      </c>
      <c r="F57" s="2">
        <v>78</v>
      </c>
    </row>
    <row r="58" spans="1:10" x14ac:dyDescent="0.3">
      <c r="A58" s="5" t="s">
        <v>1304</v>
      </c>
      <c r="B58" s="5" t="s">
        <v>2626</v>
      </c>
    </row>
    <row r="59" spans="1:10" x14ac:dyDescent="0.3">
      <c r="A59" s="5" t="s">
        <v>575</v>
      </c>
      <c r="B59" s="5" t="s">
        <v>2635</v>
      </c>
    </row>
    <row r="60" spans="1:10" x14ac:dyDescent="0.3">
      <c r="A60" s="5" t="s">
        <v>2506</v>
      </c>
      <c r="B60" s="5" t="s">
        <v>2507</v>
      </c>
    </row>
    <row r="61" spans="1:10" x14ac:dyDescent="0.3">
      <c r="A61" s="5" t="s">
        <v>2693</v>
      </c>
      <c r="B61" s="5" t="s">
        <v>2694</v>
      </c>
    </row>
    <row r="62" spans="1:10" x14ac:dyDescent="0.3">
      <c r="A62" s="5" t="s">
        <v>2712</v>
      </c>
      <c r="B62" s="5" t="s">
        <v>2713</v>
      </c>
    </row>
    <row r="63" spans="1:10" x14ac:dyDescent="0.3">
      <c r="A63" s="5" t="s">
        <v>2723</v>
      </c>
      <c r="B63" s="5" t="s">
        <v>2724</v>
      </c>
    </row>
    <row r="64" spans="1:10" x14ac:dyDescent="0.3">
      <c r="A64" s="5" t="s">
        <v>2738</v>
      </c>
      <c r="B64" s="5" t="s">
        <v>2739</v>
      </c>
    </row>
    <row r="65" spans="1:2" x14ac:dyDescent="0.3">
      <c r="A65" s="5" t="s">
        <v>2576</v>
      </c>
      <c r="B65" s="5" t="s">
        <v>2577</v>
      </c>
    </row>
    <row r="66" spans="1:2" x14ac:dyDescent="0.3">
      <c r="A66" s="5" t="s">
        <v>2455</v>
      </c>
      <c r="B66" s="5" t="s">
        <v>2456</v>
      </c>
    </row>
    <row r="67" spans="1:2" x14ac:dyDescent="0.3">
      <c r="A67" s="5" t="s">
        <v>1074</v>
      </c>
      <c r="B67" s="5" t="s">
        <v>2550</v>
      </c>
    </row>
    <row r="68" spans="1:2" x14ac:dyDescent="0.3">
      <c r="A68" s="5" t="s">
        <v>2506</v>
      </c>
      <c r="B68" s="5" t="s">
        <v>2507</v>
      </c>
    </row>
    <row r="69" spans="1:2" x14ac:dyDescent="0.3">
      <c r="A69" s="5" t="s">
        <v>2714</v>
      </c>
      <c r="B69" s="5" t="s">
        <v>2715</v>
      </c>
    </row>
    <row r="70" spans="1:2" x14ac:dyDescent="0.3">
      <c r="A70" s="5" t="s">
        <v>2434</v>
      </c>
      <c r="B70" s="5" t="s">
        <v>2435</v>
      </c>
    </row>
    <row r="71" spans="1:2" x14ac:dyDescent="0.3">
      <c r="A71" s="5" t="s">
        <v>2738</v>
      </c>
      <c r="B71" s="5" t="s">
        <v>2739</v>
      </c>
    </row>
    <row r="72" spans="1:2" x14ac:dyDescent="0.3">
      <c r="A72" s="5" t="s">
        <v>2457</v>
      </c>
      <c r="B72" s="5" t="s">
        <v>2458</v>
      </c>
    </row>
    <row r="73" spans="1:2" x14ac:dyDescent="0.3">
      <c r="A73" s="5" t="s">
        <v>2551</v>
      </c>
      <c r="B73" s="5" t="s">
        <v>2552</v>
      </c>
    </row>
    <row r="74" spans="1:2" x14ac:dyDescent="0.3">
      <c r="A74" s="5" t="s">
        <v>575</v>
      </c>
      <c r="B74" s="5" t="s">
        <v>2635</v>
      </c>
    </row>
    <row r="75" spans="1:2" x14ac:dyDescent="0.3">
      <c r="A75" s="5" t="s">
        <v>2506</v>
      </c>
      <c r="B75" s="5" t="s">
        <v>2507</v>
      </c>
    </row>
    <row r="76" spans="1:2" x14ac:dyDescent="0.3">
      <c r="A76" s="5" t="s">
        <v>2714</v>
      </c>
      <c r="B76" s="5" t="s">
        <v>2715</v>
      </c>
    </row>
    <row r="77" spans="1:2" x14ac:dyDescent="0.3">
      <c r="A77" s="5" t="s">
        <v>2725</v>
      </c>
      <c r="B77" s="5" t="s">
        <v>2726</v>
      </c>
    </row>
    <row r="78" spans="1:2" x14ac:dyDescent="0.3">
      <c r="A78" s="5" t="s">
        <v>1521</v>
      </c>
      <c r="B78" s="5" t="s">
        <v>1522</v>
      </c>
    </row>
    <row r="79" spans="1:2" x14ac:dyDescent="0.3">
      <c r="A79" s="5" t="s">
        <v>2727</v>
      </c>
      <c r="B79" s="5" t="s">
        <v>2728</v>
      </c>
    </row>
    <row r="80" spans="1:2" x14ac:dyDescent="0.3">
      <c r="A80" s="5" t="s">
        <v>712</v>
      </c>
      <c r="B80" s="5" t="s">
        <v>2716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A2" sqref="A2:B18"/>
    </sheetView>
  </sheetViews>
  <sheetFormatPr baseColWidth="10" defaultRowHeight="14.4" x14ac:dyDescent="0.3"/>
  <cols>
    <col min="7" max="7" width="16.5546875" bestFit="1" customWidth="1"/>
    <col min="8" max="8" width="37.77734375" bestFit="1" customWidth="1"/>
  </cols>
  <sheetData>
    <row r="1" spans="1:12" ht="30.6" x14ac:dyDescent="0.3">
      <c r="A1" s="4" t="s">
        <v>40</v>
      </c>
      <c r="B1" s="4" t="s">
        <v>41</v>
      </c>
    </row>
    <row r="2" spans="1:12" ht="14.55" customHeight="1" x14ac:dyDescent="0.3">
      <c r="A2" s="5" t="s">
        <v>6773</v>
      </c>
      <c r="B2" s="5" t="s">
        <v>6774</v>
      </c>
    </row>
    <row r="3" spans="1:12" ht="14.55" customHeight="1" x14ac:dyDescent="0.3">
      <c r="A3" s="5" t="s">
        <v>731</v>
      </c>
      <c r="B3" s="5" t="s">
        <v>6725</v>
      </c>
      <c r="G3" s="9" t="s">
        <v>6963</v>
      </c>
      <c r="H3" t="s">
        <v>7077</v>
      </c>
      <c r="J3" s="11" t="s">
        <v>6963</v>
      </c>
      <c r="K3" s="11"/>
      <c r="L3" s="11" t="s">
        <v>7077</v>
      </c>
    </row>
    <row r="4" spans="1:12" ht="14.55" customHeight="1" x14ac:dyDescent="0.3">
      <c r="A4" s="5" t="s">
        <v>6773</v>
      </c>
      <c r="B4" s="5" t="s">
        <v>6774</v>
      </c>
      <c r="G4" s="10" t="s">
        <v>4315</v>
      </c>
      <c r="H4" s="2">
        <v>2</v>
      </c>
      <c r="J4" s="10" t="s">
        <v>2248</v>
      </c>
      <c r="K4" s="10" t="str">
        <f t="shared" ref="K4:K14" si="0">+VLOOKUP(J4,$A$2:$B$18,2,FALSE)</f>
        <v>DESODORANTE AMBIENTAL</v>
      </c>
      <c r="L4" s="2">
        <v>3</v>
      </c>
    </row>
    <row r="5" spans="1:12" ht="14.55" customHeight="1" x14ac:dyDescent="0.3">
      <c r="A5" s="5" t="s">
        <v>6781</v>
      </c>
      <c r="B5" s="5" t="s">
        <v>6782</v>
      </c>
      <c r="G5" s="10" t="s">
        <v>386</v>
      </c>
      <c r="H5" s="2">
        <v>1</v>
      </c>
      <c r="J5" s="10" t="s">
        <v>1326</v>
      </c>
      <c r="K5" s="10" t="str">
        <f t="shared" si="0"/>
        <v>TANQUE DE ACERO INOXIDABLE</v>
      </c>
      <c r="L5" s="2">
        <v>3</v>
      </c>
    </row>
    <row r="6" spans="1:12" ht="14.55" customHeight="1" x14ac:dyDescent="0.3">
      <c r="A6" s="5" t="s">
        <v>4315</v>
      </c>
      <c r="B6" s="5" t="s">
        <v>4316</v>
      </c>
      <c r="G6" s="10" t="s">
        <v>4828</v>
      </c>
      <c r="H6" s="2">
        <v>1</v>
      </c>
      <c r="J6" s="10" t="s">
        <v>4315</v>
      </c>
      <c r="K6" s="10" t="str">
        <f t="shared" si="0"/>
        <v>HARINA DE PESCADO</v>
      </c>
      <c r="L6" s="2">
        <v>2</v>
      </c>
    </row>
    <row r="7" spans="1:12" ht="14.55" customHeight="1" x14ac:dyDescent="0.3">
      <c r="A7" s="5" t="s">
        <v>1326</v>
      </c>
      <c r="B7" s="5" t="s">
        <v>4661</v>
      </c>
      <c r="G7" s="10" t="s">
        <v>4868</v>
      </c>
      <c r="H7" s="2">
        <v>1</v>
      </c>
      <c r="J7" s="10" t="s">
        <v>6773</v>
      </c>
      <c r="K7" s="10" t="str">
        <f t="shared" si="0"/>
        <v>ACETONA</v>
      </c>
      <c r="L7" s="2">
        <v>2</v>
      </c>
    </row>
    <row r="8" spans="1:12" ht="14.55" customHeight="1" x14ac:dyDescent="0.3">
      <c r="A8" s="5" t="s">
        <v>4828</v>
      </c>
      <c r="B8" s="5" t="s">
        <v>4829</v>
      </c>
      <c r="G8" s="10" t="s">
        <v>856</v>
      </c>
      <c r="H8" s="2">
        <v>1</v>
      </c>
      <c r="J8" s="10" t="s">
        <v>386</v>
      </c>
      <c r="K8" s="10" t="str">
        <f t="shared" si="0"/>
        <v>ACEITE CRUDO DE PALMA AFRICANA</v>
      </c>
      <c r="L8" s="2">
        <v>1</v>
      </c>
    </row>
    <row r="9" spans="1:12" ht="14.55" customHeight="1" x14ac:dyDescent="0.3">
      <c r="A9" s="5" t="s">
        <v>4868</v>
      </c>
      <c r="B9" s="5" t="s">
        <v>4869</v>
      </c>
      <c r="G9" s="10" t="s">
        <v>6773</v>
      </c>
      <c r="H9" s="2">
        <v>2</v>
      </c>
      <c r="J9" s="10" t="s">
        <v>4828</v>
      </c>
      <c r="K9" s="10" t="str">
        <f t="shared" si="0"/>
        <v>SAL REFINADA</v>
      </c>
      <c r="L9" s="2">
        <v>1</v>
      </c>
    </row>
    <row r="10" spans="1:12" ht="14.55" customHeight="1" x14ac:dyDescent="0.3">
      <c r="A10" s="5" t="s">
        <v>2248</v>
      </c>
      <c r="B10" s="5" t="s">
        <v>2249</v>
      </c>
      <c r="G10" s="10" t="s">
        <v>2248</v>
      </c>
      <c r="H10" s="2">
        <v>3</v>
      </c>
      <c r="J10" s="10" t="s">
        <v>4868</v>
      </c>
      <c r="K10" s="10" t="str">
        <f t="shared" si="0"/>
        <v>BLOQUE DE BALSA CERRADA</v>
      </c>
      <c r="L10" s="2">
        <v>1</v>
      </c>
    </row>
    <row r="11" spans="1:12" ht="14.55" customHeight="1" x14ac:dyDescent="0.3">
      <c r="A11" s="5" t="s">
        <v>300</v>
      </c>
      <c r="B11" s="5" t="s">
        <v>2263</v>
      </c>
      <c r="G11" s="10" t="s">
        <v>300</v>
      </c>
      <c r="H11" s="2">
        <v>1</v>
      </c>
      <c r="J11" s="10" t="s">
        <v>856</v>
      </c>
      <c r="K11" s="10" t="str">
        <f t="shared" si="0"/>
        <v>TINTA DE COLORES</v>
      </c>
      <c r="L11" s="2">
        <v>1</v>
      </c>
    </row>
    <row r="12" spans="1:12" ht="14.55" customHeight="1" x14ac:dyDescent="0.3">
      <c r="A12" s="5" t="s">
        <v>4315</v>
      </c>
      <c r="B12" s="5" t="s">
        <v>4316</v>
      </c>
      <c r="G12" s="10" t="s">
        <v>731</v>
      </c>
      <c r="H12" s="2">
        <v>1</v>
      </c>
      <c r="J12" s="10" t="s">
        <v>300</v>
      </c>
      <c r="K12" s="10" t="str">
        <f t="shared" si="0"/>
        <v>HORMIGÓN PRÉ-MEZCLADO</v>
      </c>
      <c r="L12" s="2">
        <v>1</v>
      </c>
    </row>
    <row r="13" spans="1:12" ht="14.55" customHeight="1" x14ac:dyDescent="0.3">
      <c r="A13" s="5" t="s">
        <v>386</v>
      </c>
      <c r="B13" s="5" t="s">
        <v>5215</v>
      </c>
      <c r="G13" s="10" t="s">
        <v>1326</v>
      </c>
      <c r="H13" s="2">
        <v>3</v>
      </c>
      <c r="J13" s="10" t="s">
        <v>731</v>
      </c>
      <c r="K13" s="10" t="str">
        <f t="shared" si="0"/>
        <v>BÍTUMEN/BETÚN (PARA CARRETERAS)</v>
      </c>
      <c r="L13" s="2">
        <v>1</v>
      </c>
    </row>
    <row r="14" spans="1:12" ht="14.55" customHeight="1" x14ac:dyDescent="0.3">
      <c r="A14" s="5" t="s">
        <v>856</v>
      </c>
      <c r="B14" s="5" t="s">
        <v>5374</v>
      </c>
      <c r="G14" s="10" t="s">
        <v>6781</v>
      </c>
      <c r="H14" s="2">
        <v>1</v>
      </c>
      <c r="J14" s="10" t="s">
        <v>6781</v>
      </c>
      <c r="K14" s="10" t="str">
        <f t="shared" si="0"/>
        <v>TAMBORES DE ACERO</v>
      </c>
      <c r="L14" s="2">
        <v>1</v>
      </c>
    </row>
    <row r="15" spans="1:12" ht="14.55" customHeight="1" x14ac:dyDescent="0.3">
      <c r="A15" s="5" t="s">
        <v>1326</v>
      </c>
      <c r="B15" s="5" t="s">
        <v>4661</v>
      </c>
      <c r="G15" s="10" t="s">
        <v>6964</v>
      </c>
      <c r="H15" s="2">
        <v>17</v>
      </c>
    </row>
    <row r="16" spans="1:12" ht="14.55" customHeight="1" x14ac:dyDescent="0.3">
      <c r="A16" s="5" t="s">
        <v>2248</v>
      </c>
      <c r="B16" s="5" t="s">
        <v>2249</v>
      </c>
    </row>
    <row r="17" spans="1:2" ht="14.55" customHeight="1" x14ac:dyDescent="0.3">
      <c r="A17" s="5" t="s">
        <v>1326</v>
      </c>
      <c r="B17" s="5" t="s">
        <v>4661</v>
      </c>
    </row>
    <row r="18" spans="1:2" ht="14.55" customHeight="1" x14ac:dyDescent="0.3">
      <c r="A18" s="5" t="s">
        <v>2248</v>
      </c>
      <c r="B18" s="5" t="s">
        <v>2249</v>
      </c>
    </row>
  </sheetData>
  <autoFilter ref="J3:L14">
    <sortState ref="J4:L14">
      <sortCondition descending="1" ref="L3:L14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7"/>
  <sheetViews>
    <sheetView workbookViewId="0">
      <selection activeCell="A2" sqref="A2:B2"/>
    </sheetView>
  </sheetViews>
  <sheetFormatPr baseColWidth="10" defaultRowHeight="14.4" x14ac:dyDescent="0.3"/>
  <cols>
    <col min="5" max="5" width="16.5546875" bestFit="1" customWidth="1"/>
    <col min="6" max="6" width="37.77734375" bestFit="1" customWidth="1"/>
  </cols>
  <sheetData>
    <row r="2" spans="1:10" ht="30.6" x14ac:dyDescent="0.3">
      <c r="A2" s="4" t="s">
        <v>40</v>
      </c>
      <c r="B2" s="4" t="s">
        <v>41</v>
      </c>
    </row>
    <row r="3" spans="1:10" x14ac:dyDescent="0.3">
      <c r="A3" s="5" t="s">
        <v>3300</v>
      </c>
      <c r="B3" s="5" t="s">
        <v>3341</v>
      </c>
    </row>
    <row r="4" spans="1:10" x14ac:dyDescent="0.3">
      <c r="A4" s="5" t="s">
        <v>3300</v>
      </c>
      <c r="B4" s="5" t="s">
        <v>3341</v>
      </c>
      <c r="E4" s="9" t="s">
        <v>6963</v>
      </c>
      <c r="F4" t="s">
        <v>7077</v>
      </c>
      <c r="H4" t="s">
        <v>6963</v>
      </c>
      <c r="I4" t="s">
        <v>7084</v>
      </c>
      <c r="J4" t="s">
        <v>7077</v>
      </c>
    </row>
    <row r="5" spans="1:10" x14ac:dyDescent="0.3">
      <c r="A5" s="5" t="s">
        <v>673</v>
      </c>
      <c r="B5" s="5" t="s">
        <v>2250</v>
      </c>
      <c r="E5" s="10" t="s">
        <v>2723</v>
      </c>
      <c r="F5" s="2">
        <v>1</v>
      </c>
      <c r="H5" t="s">
        <v>2945</v>
      </c>
      <c r="I5" t="str">
        <f t="shared" ref="I5:I25" si="0">+VLOOKUP(H5,$A$3:$B$37,2,FALSE)</f>
        <v>ENVASE DE VIDRIO PEQUEÑO</v>
      </c>
      <c r="J5">
        <v>4</v>
      </c>
    </row>
    <row r="6" spans="1:10" x14ac:dyDescent="0.3">
      <c r="A6" s="5" t="s">
        <v>2945</v>
      </c>
      <c r="B6" s="5" t="s">
        <v>3345</v>
      </c>
      <c r="E6" s="10" t="s">
        <v>2989</v>
      </c>
      <c r="F6" s="2">
        <v>2</v>
      </c>
      <c r="H6" t="s">
        <v>3066</v>
      </c>
      <c r="I6" t="str">
        <f t="shared" si="0"/>
        <v>MORTERO</v>
      </c>
      <c r="J6">
        <v>3</v>
      </c>
    </row>
    <row r="7" spans="1:10" x14ac:dyDescent="0.3">
      <c r="A7" s="5" t="s">
        <v>2727</v>
      </c>
      <c r="B7" s="5" t="s">
        <v>2728</v>
      </c>
      <c r="E7" s="10" t="s">
        <v>2727</v>
      </c>
      <c r="F7" s="2">
        <v>1</v>
      </c>
      <c r="H7" t="s">
        <v>1960</v>
      </c>
      <c r="I7" t="str">
        <f t="shared" si="0"/>
        <v>COCINA DE GAS</v>
      </c>
      <c r="J7">
        <v>3</v>
      </c>
    </row>
    <row r="8" spans="1:10" x14ac:dyDescent="0.3">
      <c r="A8" s="5" t="s">
        <v>2989</v>
      </c>
      <c r="B8" s="5" t="s">
        <v>3346</v>
      </c>
      <c r="E8" s="10" t="s">
        <v>119</v>
      </c>
      <c r="F8" s="2">
        <v>2</v>
      </c>
      <c r="H8" t="s">
        <v>2989</v>
      </c>
      <c r="I8" t="str">
        <f t="shared" si="0"/>
        <v>GRANOLA</v>
      </c>
      <c r="J8">
        <v>2</v>
      </c>
    </row>
    <row r="9" spans="1:10" x14ac:dyDescent="0.3">
      <c r="A9" s="5" t="s">
        <v>575</v>
      </c>
      <c r="B9" s="5" t="s">
        <v>2635</v>
      </c>
      <c r="E9" s="10" t="s">
        <v>3300</v>
      </c>
      <c r="F9" s="2">
        <v>2</v>
      </c>
      <c r="H9" t="s">
        <v>119</v>
      </c>
      <c r="I9" t="str">
        <f t="shared" si="0"/>
        <v>COMINO EN POLVO</v>
      </c>
      <c r="J9">
        <v>2</v>
      </c>
    </row>
    <row r="10" spans="1:10" x14ac:dyDescent="0.3">
      <c r="A10" s="5" t="s">
        <v>2574</v>
      </c>
      <c r="B10" s="5" t="s">
        <v>3021</v>
      </c>
      <c r="E10" s="10" t="s">
        <v>121</v>
      </c>
      <c r="F10" s="2">
        <v>1</v>
      </c>
      <c r="H10" t="s">
        <v>3300</v>
      </c>
      <c r="I10" t="str">
        <f t="shared" si="0"/>
        <v>CANELA</v>
      </c>
      <c r="J10">
        <v>2</v>
      </c>
    </row>
    <row r="11" spans="1:10" x14ac:dyDescent="0.3">
      <c r="A11" s="5" t="s">
        <v>1960</v>
      </c>
      <c r="B11" s="5" t="s">
        <v>1961</v>
      </c>
      <c r="E11" s="10" t="s">
        <v>575</v>
      </c>
      <c r="F11" s="2">
        <v>1</v>
      </c>
      <c r="H11" t="s">
        <v>673</v>
      </c>
      <c r="I11" t="str">
        <f t="shared" si="0"/>
        <v>CLORO LIQUIDO</v>
      </c>
      <c r="J11">
        <v>2</v>
      </c>
    </row>
    <row r="12" spans="1:10" x14ac:dyDescent="0.3">
      <c r="A12" s="5" t="s">
        <v>1779</v>
      </c>
      <c r="B12" s="5" t="s">
        <v>1780</v>
      </c>
      <c r="E12" s="10" t="s">
        <v>1779</v>
      </c>
      <c r="F12" s="2">
        <v>1</v>
      </c>
      <c r="H12" t="s">
        <v>1211</v>
      </c>
      <c r="I12" t="str">
        <f t="shared" si="0"/>
        <v>SELLANTE</v>
      </c>
      <c r="J12">
        <v>2</v>
      </c>
    </row>
    <row r="13" spans="1:10" x14ac:dyDescent="0.3">
      <c r="A13" s="5" t="s">
        <v>3102</v>
      </c>
      <c r="B13" s="5" t="s">
        <v>3350</v>
      </c>
      <c r="E13" s="10" t="s">
        <v>673</v>
      </c>
      <c r="F13" s="2">
        <v>2</v>
      </c>
      <c r="H13" t="s">
        <v>3067</v>
      </c>
      <c r="I13" t="str">
        <f t="shared" si="0"/>
        <v>EMPASTE</v>
      </c>
      <c r="J13">
        <v>2</v>
      </c>
    </row>
    <row r="14" spans="1:10" x14ac:dyDescent="0.3">
      <c r="A14" s="5" t="s">
        <v>121</v>
      </c>
      <c r="B14" s="5" t="s">
        <v>3342</v>
      </c>
      <c r="E14" s="10" t="s">
        <v>1211</v>
      </c>
      <c r="F14" s="2">
        <v>2</v>
      </c>
      <c r="H14" t="s">
        <v>300</v>
      </c>
      <c r="I14" t="str">
        <f t="shared" si="0"/>
        <v>HORMIGÓN PRÉ-MEZCLADO</v>
      </c>
      <c r="J14">
        <v>2</v>
      </c>
    </row>
    <row r="15" spans="1:10" x14ac:dyDescent="0.3">
      <c r="A15" s="5" t="s">
        <v>2723</v>
      </c>
      <c r="B15" s="5" t="s">
        <v>2724</v>
      </c>
      <c r="E15" s="10" t="s">
        <v>674</v>
      </c>
      <c r="F15" s="2">
        <v>1</v>
      </c>
      <c r="H15" t="s">
        <v>2723</v>
      </c>
      <c r="I15" t="str">
        <f t="shared" si="0"/>
        <v>HARINA DE MAIZ</v>
      </c>
      <c r="J15">
        <v>1</v>
      </c>
    </row>
    <row r="16" spans="1:10" x14ac:dyDescent="0.3">
      <c r="A16" s="5" t="s">
        <v>673</v>
      </c>
      <c r="B16" s="5" t="s">
        <v>2250</v>
      </c>
      <c r="E16" s="10" t="s">
        <v>661</v>
      </c>
      <c r="F16" s="2">
        <v>1</v>
      </c>
      <c r="H16" t="s">
        <v>2727</v>
      </c>
      <c r="I16" t="str">
        <f t="shared" si="0"/>
        <v>HARINA DE PLÁTANO</v>
      </c>
      <c r="J16">
        <v>1</v>
      </c>
    </row>
    <row r="17" spans="1:10" x14ac:dyDescent="0.3">
      <c r="A17" s="5" t="s">
        <v>2945</v>
      </c>
      <c r="B17" s="5" t="s">
        <v>3345</v>
      </c>
      <c r="E17" s="10" t="s">
        <v>3066</v>
      </c>
      <c r="F17" s="2">
        <v>3</v>
      </c>
      <c r="H17" t="s">
        <v>121</v>
      </c>
      <c r="I17" t="str">
        <f t="shared" si="0"/>
        <v>ALIÑOS PREPARADOS</v>
      </c>
      <c r="J17">
        <v>1</v>
      </c>
    </row>
    <row r="18" spans="1:10" x14ac:dyDescent="0.3">
      <c r="A18" s="5" t="s">
        <v>2989</v>
      </c>
      <c r="B18" s="5" t="s">
        <v>3346</v>
      </c>
      <c r="E18" s="10" t="s">
        <v>3067</v>
      </c>
      <c r="F18" s="2">
        <v>2</v>
      </c>
      <c r="H18" t="s">
        <v>575</v>
      </c>
      <c r="I18" t="str">
        <f t="shared" si="0"/>
        <v>TOALLAS DE BAÑO DE ALGODÓN</v>
      </c>
      <c r="J18">
        <v>1</v>
      </c>
    </row>
    <row r="19" spans="1:10" x14ac:dyDescent="0.3">
      <c r="A19" s="5" t="s">
        <v>1960</v>
      </c>
      <c r="B19" s="5" t="s">
        <v>1961</v>
      </c>
      <c r="E19" s="10" t="s">
        <v>3079</v>
      </c>
      <c r="F19" s="2">
        <v>1</v>
      </c>
      <c r="H19" t="s">
        <v>1779</v>
      </c>
      <c r="I19" t="str">
        <f t="shared" si="0"/>
        <v>EDREDON</v>
      </c>
      <c r="J19">
        <v>1</v>
      </c>
    </row>
    <row r="20" spans="1:10" x14ac:dyDescent="0.3">
      <c r="A20" s="5" t="s">
        <v>119</v>
      </c>
      <c r="B20" s="5" t="s">
        <v>3343</v>
      </c>
      <c r="E20" s="10" t="s">
        <v>2945</v>
      </c>
      <c r="F20" s="2">
        <v>4</v>
      </c>
      <c r="H20" t="s">
        <v>674</v>
      </c>
      <c r="I20" t="str">
        <f t="shared" si="0"/>
        <v>JABÓN LÍQUIDO</v>
      </c>
      <c r="J20">
        <v>1</v>
      </c>
    </row>
    <row r="21" spans="1:10" x14ac:dyDescent="0.3">
      <c r="A21" s="5" t="s">
        <v>119</v>
      </c>
      <c r="B21" s="5" t="s">
        <v>3343</v>
      </c>
      <c r="E21" s="10" t="s">
        <v>300</v>
      </c>
      <c r="F21" s="2">
        <v>2</v>
      </c>
      <c r="H21" t="s">
        <v>661</v>
      </c>
      <c r="I21" t="str">
        <f t="shared" si="0"/>
        <v>DESGRASANTES</v>
      </c>
      <c r="J21">
        <v>1</v>
      </c>
    </row>
    <row r="22" spans="1:10" x14ac:dyDescent="0.3">
      <c r="A22" s="5" t="s">
        <v>674</v>
      </c>
      <c r="B22" s="5" t="s">
        <v>2533</v>
      </c>
      <c r="E22" s="10" t="s">
        <v>2574</v>
      </c>
      <c r="F22" s="2">
        <v>1</v>
      </c>
      <c r="H22" t="s">
        <v>3079</v>
      </c>
      <c r="I22" t="str">
        <f t="shared" si="0"/>
        <v>ESQUINEROS (ANGULOS PLASTICOS)</v>
      </c>
      <c r="J22">
        <v>1</v>
      </c>
    </row>
    <row r="23" spans="1:10" x14ac:dyDescent="0.3">
      <c r="A23" s="5" t="s">
        <v>1211</v>
      </c>
      <c r="B23" s="5" t="s">
        <v>3344</v>
      </c>
      <c r="E23" s="10" t="s">
        <v>3102</v>
      </c>
      <c r="F23" s="2">
        <v>1</v>
      </c>
      <c r="H23" t="s">
        <v>2574</v>
      </c>
      <c r="I23" t="str">
        <f t="shared" si="0"/>
        <v xml:space="preserve">Tubos de Hormigón </v>
      </c>
      <c r="J23">
        <v>1</v>
      </c>
    </row>
    <row r="24" spans="1:10" x14ac:dyDescent="0.3">
      <c r="A24" s="5" t="s">
        <v>2945</v>
      </c>
      <c r="B24" s="5" t="s">
        <v>3345</v>
      </c>
      <c r="E24" s="10" t="s">
        <v>1960</v>
      </c>
      <c r="F24" s="2">
        <v>3</v>
      </c>
      <c r="H24" t="s">
        <v>3102</v>
      </c>
      <c r="I24" t="str">
        <f t="shared" si="0"/>
        <v>ESTRUCTURAS METÁLICAS</v>
      </c>
      <c r="J24">
        <v>1</v>
      </c>
    </row>
    <row r="25" spans="1:10" x14ac:dyDescent="0.3">
      <c r="A25" s="5" t="s">
        <v>1960</v>
      </c>
      <c r="B25" s="5" t="s">
        <v>1961</v>
      </c>
      <c r="E25" s="10" t="s">
        <v>1962</v>
      </c>
      <c r="F25" s="2">
        <v>1</v>
      </c>
      <c r="H25" t="s">
        <v>1962</v>
      </c>
      <c r="I25" t="str">
        <f t="shared" si="0"/>
        <v>HORNOS A GAS</v>
      </c>
      <c r="J25">
        <v>1</v>
      </c>
    </row>
    <row r="26" spans="1:10" x14ac:dyDescent="0.3">
      <c r="A26" s="5" t="s">
        <v>3066</v>
      </c>
      <c r="B26" s="5" t="s">
        <v>3347</v>
      </c>
      <c r="E26" s="10" t="s">
        <v>6964</v>
      </c>
      <c r="F26" s="2">
        <v>35</v>
      </c>
    </row>
    <row r="27" spans="1:10" x14ac:dyDescent="0.3">
      <c r="A27" s="5" t="s">
        <v>3079</v>
      </c>
      <c r="B27" s="5" t="s">
        <v>3349</v>
      </c>
    </row>
    <row r="28" spans="1:10" x14ac:dyDescent="0.3">
      <c r="A28" s="5" t="s">
        <v>300</v>
      </c>
      <c r="B28" s="5" t="s">
        <v>2263</v>
      </c>
    </row>
    <row r="29" spans="1:10" x14ac:dyDescent="0.3">
      <c r="A29" s="5" t="s">
        <v>1211</v>
      </c>
      <c r="B29" s="5" t="s">
        <v>3344</v>
      </c>
    </row>
    <row r="30" spans="1:10" x14ac:dyDescent="0.3">
      <c r="A30" s="5" t="s">
        <v>2945</v>
      </c>
      <c r="B30" s="5" t="s">
        <v>3345</v>
      </c>
    </row>
    <row r="31" spans="1:10" x14ac:dyDescent="0.3">
      <c r="A31" s="5" t="s">
        <v>1962</v>
      </c>
      <c r="B31" s="5" t="s">
        <v>1963</v>
      </c>
    </row>
    <row r="32" spans="1:10" x14ac:dyDescent="0.3">
      <c r="A32" s="5" t="s">
        <v>3066</v>
      </c>
      <c r="B32" s="5" t="s">
        <v>3347</v>
      </c>
    </row>
    <row r="33" spans="1:2" x14ac:dyDescent="0.3">
      <c r="A33" s="5" t="s">
        <v>300</v>
      </c>
      <c r="B33" s="5" t="s">
        <v>2263</v>
      </c>
    </row>
    <row r="34" spans="1:2" x14ac:dyDescent="0.3">
      <c r="A34" s="5" t="s">
        <v>661</v>
      </c>
      <c r="B34" s="5" t="s">
        <v>1761</v>
      </c>
    </row>
    <row r="35" spans="1:2" x14ac:dyDescent="0.3">
      <c r="A35" s="5" t="s">
        <v>3066</v>
      </c>
      <c r="B35" s="5" t="s">
        <v>3347</v>
      </c>
    </row>
    <row r="36" spans="1:2" x14ac:dyDescent="0.3">
      <c r="A36" s="5" t="s">
        <v>3067</v>
      </c>
      <c r="B36" s="5" t="s">
        <v>3348</v>
      </c>
    </row>
    <row r="37" spans="1:2" x14ac:dyDescent="0.3">
      <c r="A37" s="5" t="s">
        <v>3067</v>
      </c>
      <c r="B37" s="5" t="s">
        <v>3348</v>
      </c>
    </row>
  </sheetData>
  <autoFilter ref="H4:J25">
    <sortState ref="H5:J25">
      <sortCondition descending="1" ref="J4:J25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7"/>
  <sheetViews>
    <sheetView topLeftCell="A218" workbookViewId="0">
      <selection activeCell="L19" sqref="L19:L236"/>
    </sheetView>
  </sheetViews>
  <sheetFormatPr baseColWidth="10" defaultRowHeight="14.4" x14ac:dyDescent="0.3"/>
  <cols>
    <col min="7" max="7" width="16.5546875" bestFit="1" customWidth="1"/>
    <col min="8" max="8" width="37.77734375" bestFit="1" customWidth="1"/>
  </cols>
  <sheetData>
    <row r="1" spans="1:12" ht="30.6" x14ac:dyDescent="0.3">
      <c r="A1" s="4" t="s">
        <v>40</v>
      </c>
      <c r="B1" s="4" t="s">
        <v>41</v>
      </c>
    </row>
    <row r="2" spans="1:12" x14ac:dyDescent="0.3">
      <c r="A2" s="7" t="s">
        <v>616</v>
      </c>
      <c r="B2" s="6" t="s">
        <v>2815</v>
      </c>
      <c r="G2" s="9" t="s">
        <v>6963</v>
      </c>
      <c r="H2" t="s">
        <v>7077</v>
      </c>
      <c r="J2" t="s">
        <v>6963</v>
      </c>
      <c r="L2" t="s">
        <v>7077</v>
      </c>
    </row>
    <row r="3" spans="1:12" x14ac:dyDescent="0.3">
      <c r="A3" s="7" t="s">
        <v>671</v>
      </c>
      <c r="B3" s="6" t="s">
        <v>2251</v>
      </c>
      <c r="G3" s="10" t="s">
        <v>1063</v>
      </c>
      <c r="H3" s="2">
        <v>1</v>
      </c>
      <c r="J3" t="s">
        <v>540</v>
      </c>
      <c r="K3" t="str">
        <f t="shared" ref="K3:K66" si="0">+VLOOKUP(J3,$A$2:$B$617,2,FALSE)</f>
        <v>TELA DE PUNTO POLIESTER</v>
      </c>
      <c r="L3">
        <v>13</v>
      </c>
    </row>
    <row r="4" spans="1:12" x14ac:dyDescent="0.3">
      <c r="A4" s="7" t="s">
        <v>805</v>
      </c>
      <c r="B4" s="6" t="s">
        <v>6695</v>
      </c>
      <c r="G4" s="10" t="s">
        <v>3201</v>
      </c>
      <c r="H4" s="2">
        <v>2</v>
      </c>
      <c r="J4" t="s">
        <v>1418</v>
      </c>
      <c r="K4" t="str">
        <f t="shared" si="0"/>
        <v>PULPA DE FRUTAS</v>
      </c>
      <c r="L4">
        <v>12</v>
      </c>
    </row>
    <row r="5" spans="1:12" x14ac:dyDescent="0.3">
      <c r="A5" s="7" t="s">
        <v>386</v>
      </c>
      <c r="B5" s="6" t="s">
        <v>5215</v>
      </c>
      <c r="G5" s="10" t="s">
        <v>1138</v>
      </c>
      <c r="H5" s="2">
        <v>1</v>
      </c>
      <c r="J5" t="s">
        <v>575</v>
      </c>
      <c r="K5" t="str">
        <f t="shared" si="0"/>
        <v>TOALLAS DE BAÑO DE ALGODÓN</v>
      </c>
      <c r="L5">
        <v>11</v>
      </c>
    </row>
    <row r="6" spans="1:12" x14ac:dyDescent="0.3">
      <c r="A6" s="7" t="s">
        <v>833</v>
      </c>
      <c r="B6" s="6" t="s">
        <v>6697</v>
      </c>
      <c r="G6" s="10" t="s">
        <v>6833</v>
      </c>
      <c r="H6" s="2">
        <v>1</v>
      </c>
      <c r="J6" t="s">
        <v>889</v>
      </c>
      <c r="K6" t="str">
        <f t="shared" si="0"/>
        <v>TELA DE ALGODÓN CON FIBRA SINTÉTICA</v>
      </c>
      <c r="L6">
        <v>10</v>
      </c>
    </row>
    <row r="7" spans="1:12" x14ac:dyDescent="0.3">
      <c r="A7" s="7" t="s">
        <v>844</v>
      </c>
      <c r="B7" s="6" t="s">
        <v>6698</v>
      </c>
      <c r="G7" s="10" t="s">
        <v>2517</v>
      </c>
      <c r="H7" s="2">
        <v>2</v>
      </c>
      <c r="J7" t="s">
        <v>1336</v>
      </c>
      <c r="K7" t="str">
        <f t="shared" si="0"/>
        <v>ABONO COMPUESTO</v>
      </c>
      <c r="L7">
        <v>10</v>
      </c>
    </row>
    <row r="8" spans="1:12" x14ac:dyDescent="0.3">
      <c r="A8" s="7" t="s">
        <v>636</v>
      </c>
      <c r="B8" s="6" t="s">
        <v>3354</v>
      </c>
      <c r="G8" s="10" t="s">
        <v>2738</v>
      </c>
      <c r="H8" s="2">
        <v>2</v>
      </c>
      <c r="J8" t="s">
        <v>661</v>
      </c>
      <c r="K8" t="str">
        <f t="shared" si="0"/>
        <v>DESGRASANTES</v>
      </c>
      <c r="L8">
        <v>10</v>
      </c>
    </row>
    <row r="9" spans="1:12" x14ac:dyDescent="0.3">
      <c r="A9" s="7" t="s">
        <v>104</v>
      </c>
      <c r="B9" s="6" t="s">
        <v>6700</v>
      </c>
      <c r="G9" s="10" t="s">
        <v>6752</v>
      </c>
      <c r="H9" s="2">
        <v>1</v>
      </c>
      <c r="J9" t="s">
        <v>4315</v>
      </c>
      <c r="K9" t="str">
        <f t="shared" si="0"/>
        <v xml:space="preserve">HARINA DE PESCADO </v>
      </c>
      <c r="L9">
        <v>9</v>
      </c>
    </row>
    <row r="10" spans="1:12" x14ac:dyDescent="0.3">
      <c r="A10" s="7" t="s">
        <v>879</v>
      </c>
      <c r="B10" s="6" t="s">
        <v>6702</v>
      </c>
      <c r="G10" s="10" t="s">
        <v>6754</v>
      </c>
      <c r="H10" s="2">
        <v>2</v>
      </c>
      <c r="J10" t="s">
        <v>386</v>
      </c>
      <c r="K10" t="str">
        <f t="shared" si="0"/>
        <v>ACEITE CRUDO DE PALMA AFRICANA</v>
      </c>
      <c r="L10">
        <v>9</v>
      </c>
    </row>
    <row r="11" spans="1:12" x14ac:dyDescent="0.3">
      <c r="A11" s="7" t="s">
        <v>540</v>
      </c>
      <c r="B11" s="6" t="s">
        <v>2205</v>
      </c>
      <c r="G11" s="10" t="s">
        <v>6986</v>
      </c>
      <c r="H11" s="2">
        <v>2</v>
      </c>
      <c r="J11" t="s">
        <v>2506</v>
      </c>
      <c r="K11" t="str">
        <f t="shared" si="0"/>
        <v>CUERO DIVIDIDO</v>
      </c>
      <c r="L11">
        <v>9</v>
      </c>
    </row>
    <row r="12" spans="1:12" x14ac:dyDescent="0.3">
      <c r="A12" s="7" t="s">
        <v>889</v>
      </c>
      <c r="B12" s="6" t="s">
        <v>2902</v>
      </c>
      <c r="G12" s="10" t="s">
        <v>7051</v>
      </c>
      <c r="H12" s="2">
        <v>1</v>
      </c>
      <c r="J12" t="s">
        <v>636</v>
      </c>
      <c r="K12" t="str">
        <f t="shared" si="0"/>
        <v>PINTURA</v>
      </c>
      <c r="L12">
        <v>9</v>
      </c>
    </row>
    <row r="13" spans="1:12" x14ac:dyDescent="0.3">
      <c r="A13" s="7" t="s">
        <v>672</v>
      </c>
      <c r="B13" s="6" t="s">
        <v>2534</v>
      </c>
      <c r="G13" s="10" t="s">
        <v>6991</v>
      </c>
      <c r="H13" s="2">
        <v>2</v>
      </c>
      <c r="J13" t="s">
        <v>300</v>
      </c>
      <c r="K13" t="str">
        <f t="shared" si="0"/>
        <v>HORMIGÓN PRÉ-MEZCLADO</v>
      </c>
      <c r="L13">
        <v>9</v>
      </c>
    </row>
    <row r="14" spans="1:12" x14ac:dyDescent="0.3">
      <c r="A14" s="7" t="s">
        <v>181</v>
      </c>
      <c r="B14" s="6" t="s">
        <v>2776</v>
      </c>
      <c r="G14" s="10" t="s">
        <v>6988</v>
      </c>
      <c r="H14" s="2">
        <v>2</v>
      </c>
      <c r="J14" t="s">
        <v>553</v>
      </c>
      <c r="K14" t="str">
        <f t="shared" si="0"/>
        <v>HILO ACRILICO</v>
      </c>
      <c r="L14">
        <v>8</v>
      </c>
    </row>
    <row r="15" spans="1:12" x14ac:dyDescent="0.3">
      <c r="A15" s="7" t="s">
        <v>948</v>
      </c>
      <c r="B15" s="6" t="s">
        <v>6706</v>
      </c>
      <c r="G15" s="10" t="s">
        <v>3242</v>
      </c>
      <c r="H15" s="2">
        <v>4</v>
      </c>
      <c r="J15" t="s">
        <v>564</v>
      </c>
      <c r="K15" t="str">
        <f t="shared" si="0"/>
        <v>TELA POLIESTER</v>
      </c>
      <c r="L15">
        <v>7</v>
      </c>
    </row>
    <row r="16" spans="1:12" x14ac:dyDescent="0.3">
      <c r="A16" s="7" t="s">
        <v>968</v>
      </c>
      <c r="B16" s="6" t="s">
        <v>2214</v>
      </c>
      <c r="G16" s="10" t="s">
        <v>3241</v>
      </c>
      <c r="H16" s="2">
        <v>5</v>
      </c>
      <c r="J16" t="s">
        <v>673</v>
      </c>
      <c r="K16" t="str">
        <f t="shared" si="0"/>
        <v>CLORO LIQUIDO</v>
      </c>
      <c r="L16">
        <v>7</v>
      </c>
    </row>
    <row r="17" spans="1:12" x14ac:dyDescent="0.3">
      <c r="A17" s="7" t="s">
        <v>985</v>
      </c>
      <c r="B17" s="6" t="s">
        <v>6708</v>
      </c>
      <c r="G17" s="10" t="s">
        <v>7076</v>
      </c>
      <c r="H17" s="2">
        <v>1</v>
      </c>
      <c r="J17" t="s">
        <v>637</v>
      </c>
      <c r="K17" t="str">
        <f t="shared" si="0"/>
        <v>DILUYENTE</v>
      </c>
      <c r="L17">
        <v>7</v>
      </c>
    </row>
    <row r="18" spans="1:12" x14ac:dyDescent="0.3">
      <c r="A18" s="7" t="s">
        <v>995</v>
      </c>
      <c r="B18" s="6" t="s">
        <v>6710</v>
      </c>
      <c r="G18" s="10" t="s">
        <v>7065</v>
      </c>
      <c r="H18" s="2">
        <v>2</v>
      </c>
      <c r="J18" t="s">
        <v>671</v>
      </c>
      <c r="K18" t="str">
        <f t="shared" si="0"/>
        <v>DETERGENTE DE ROPA</v>
      </c>
      <c r="L18">
        <v>7</v>
      </c>
    </row>
    <row r="19" spans="1:12" x14ac:dyDescent="0.3">
      <c r="A19" s="7" t="s">
        <v>1006</v>
      </c>
      <c r="B19" s="6" t="s">
        <v>1798</v>
      </c>
      <c r="G19" s="10" t="s">
        <v>7032</v>
      </c>
      <c r="H19" s="2">
        <v>1</v>
      </c>
      <c r="J19" t="s">
        <v>844</v>
      </c>
      <c r="K19" t="str">
        <f t="shared" si="0"/>
        <v>ACEITE VEGETAL</v>
      </c>
      <c r="L19">
        <v>6</v>
      </c>
    </row>
    <row r="20" spans="1:12" x14ac:dyDescent="0.3">
      <c r="A20" s="7" t="s">
        <v>889</v>
      </c>
      <c r="B20" s="6" t="s">
        <v>2902</v>
      </c>
      <c r="G20" s="10" t="s">
        <v>6998</v>
      </c>
      <c r="H20" s="2">
        <v>1</v>
      </c>
      <c r="J20" t="s">
        <v>1720</v>
      </c>
      <c r="K20" t="str">
        <f t="shared" si="0"/>
        <v>CALZONARIA PARA MUJER ALGODÓN</v>
      </c>
      <c r="L20">
        <v>6</v>
      </c>
    </row>
    <row r="21" spans="1:12" x14ac:dyDescent="0.3">
      <c r="A21" s="7" t="s">
        <v>1025</v>
      </c>
      <c r="B21" s="6" t="s">
        <v>6711</v>
      </c>
      <c r="G21" s="10" t="s">
        <v>4315</v>
      </c>
      <c r="H21" s="2">
        <v>9</v>
      </c>
      <c r="J21" t="s">
        <v>602</v>
      </c>
      <c r="K21" t="str">
        <f t="shared" si="0"/>
        <v>BOTINES DE CUERO</v>
      </c>
      <c r="L21">
        <v>6</v>
      </c>
    </row>
    <row r="22" spans="1:12" x14ac:dyDescent="0.3">
      <c r="A22" s="7" t="s">
        <v>1037</v>
      </c>
      <c r="B22" s="6" t="s">
        <v>1959</v>
      </c>
      <c r="G22" s="10" t="s">
        <v>6996</v>
      </c>
      <c r="H22" s="2">
        <v>2</v>
      </c>
      <c r="J22" t="s">
        <v>879</v>
      </c>
      <c r="K22" t="str">
        <f t="shared" si="0"/>
        <v>PAPEL HIGIÉNICO</v>
      </c>
      <c r="L22">
        <v>6</v>
      </c>
    </row>
    <row r="23" spans="1:12" x14ac:dyDescent="0.3">
      <c r="A23" s="7" t="s">
        <v>553</v>
      </c>
      <c r="B23" s="6" t="s">
        <v>6712</v>
      </c>
      <c r="G23" s="10" t="s">
        <v>2422</v>
      </c>
      <c r="H23" s="2">
        <v>2</v>
      </c>
      <c r="J23" t="s">
        <v>217</v>
      </c>
      <c r="K23" t="str">
        <f t="shared" si="0"/>
        <v>SERVILLETAS</v>
      </c>
      <c r="L23">
        <v>6</v>
      </c>
    </row>
    <row r="24" spans="1:12" x14ac:dyDescent="0.3">
      <c r="A24" s="7" t="s">
        <v>386</v>
      </c>
      <c r="B24" s="6" t="s">
        <v>5215</v>
      </c>
      <c r="G24" s="10" t="s">
        <v>397</v>
      </c>
      <c r="H24" s="2">
        <v>3</v>
      </c>
      <c r="J24" t="s">
        <v>1211</v>
      </c>
      <c r="K24" t="str">
        <f t="shared" si="0"/>
        <v>SELLANTE</v>
      </c>
      <c r="L24">
        <v>6</v>
      </c>
    </row>
    <row r="25" spans="1:12" x14ac:dyDescent="0.3">
      <c r="A25" s="7" t="s">
        <v>1074</v>
      </c>
      <c r="B25" s="6" t="s">
        <v>2550</v>
      </c>
      <c r="G25" s="10" t="s">
        <v>2175</v>
      </c>
      <c r="H25" s="2">
        <v>3</v>
      </c>
      <c r="J25" t="s">
        <v>2248</v>
      </c>
      <c r="K25" t="str">
        <f t="shared" si="0"/>
        <v>DESODORANTE AMBIENTAL</v>
      </c>
      <c r="L25">
        <v>6</v>
      </c>
    </row>
    <row r="26" spans="1:12" x14ac:dyDescent="0.3">
      <c r="A26" s="7" t="s">
        <v>1087</v>
      </c>
      <c r="B26" s="6" t="s">
        <v>1523</v>
      </c>
      <c r="G26" s="10" t="s">
        <v>1418</v>
      </c>
      <c r="H26" s="2">
        <v>12</v>
      </c>
      <c r="J26" t="s">
        <v>1326</v>
      </c>
      <c r="K26" t="str">
        <f t="shared" si="0"/>
        <v>TANQUES DE ACERO INOXIDABLE</v>
      </c>
      <c r="L26">
        <v>6</v>
      </c>
    </row>
    <row r="27" spans="1:12" x14ac:dyDescent="0.3">
      <c r="A27" s="7" t="s">
        <v>1099</v>
      </c>
      <c r="B27" s="6" t="s">
        <v>6715</v>
      </c>
      <c r="G27" s="10" t="s">
        <v>6132</v>
      </c>
      <c r="H27" s="2">
        <v>4</v>
      </c>
      <c r="J27" t="s">
        <v>743</v>
      </c>
      <c r="K27" t="str">
        <f t="shared" si="0"/>
        <v>ENVASES DE HOJALATA</v>
      </c>
      <c r="L27">
        <v>6</v>
      </c>
    </row>
    <row r="28" spans="1:12" x14ac:dyDescent="0.3">
      <c r="A28" s="7" t="s">
        <v>1111</v>
      </c>
      <c r="B28" s="6" t="s">
        <v>6717</v>
      </c>
      <c r="G28" s="10" t="s">
        <v>6984</v>
      </c>
      <c r="H28" s="2">
        <v>1</v>
      </c>
      <c r="J28" t="s">
        <v>3241</v>
      </c>
      <c r="K28" t="str">
        <f t="shared" si="0"/>
        <v>CAMARÓN CONGELADO DE EXPORTACIÓN</v>
      </c>
      <c r="L28">
        <v>5</v>
      </c>
    </row>
    <row r="29" spans="1:12" x14ac:dyDescent="0.3">
      <c r="A29" s="7" t="s">
        <v>1122</v>
      </c>
      <c r="B29" s="6" t="s">
        <v>6719</v>
      </c>
      <c r="G29" s="10" t="s">
        <v>386</v>
      </c>
      <c r="H29" s="2">
        <v>9</v>
      </c>
      <c r="J29" t="s">
        <v>1074</v>
      </c>
      <c r="K29" t="str">
        <f t="shared" si="0"/>
        <v>CABOS SINTÉTICOS</v>
      </c>
      <c r="L29">
        <v>5</v>
      </c>
    </row>
    <row r="30" spans="1:12" x14ac:dyDescent="0.3">
      <c r="A30" s="7" t="s">
        <v>1137</v>
      </c>
      <c r="B30" s="6" t="s">
        <v>6724</v>
      </c>
      <c r="G30" s="10" t="s">
        <v>6414</v>
      </c>
      <c r="H30" s="2">
        <v>3</v>
      </c>
      <c r="J30" t="s">
        <v>180</v>
      </c>
      <c r="K30" t="str">
        <f t="shared" si="0"/>
        <v>MEDIAS ENTERAS PARA MUJER</v>
      </c>
      <c r="L30">
        <v>5</v>
      </c>
    </row>
    <row r="31" spans="1:12" x14ac:dyDescent="0.3">
      <c r="A31" s="7" t="s">
        <v>1149</v>
      </c>
      <c r="B31" s="6" t="s">
        <v>6727</v>
      </c>
      <c r="G31" s="10" t="s">
        <v>845</v>
      </c>
      <c r="H31" s="2">
        <v>1</v>
      </c>
      <c r="J31" t="s">
        <v>616</v>
      </c>
      <c r="K31" t="str">
        <f t="shared" si="0"/>
        <v>ZAPATOS DE CUERO PARA HOMBRE Y MUJER</v>
      </c>
      <c r="L31">
        <v>5</v>
      </c>
    </row>
    <row r="32" spans="1:12" x14ac:dyDescent="0.3">
      <c r="A32" s="7" t="s">
        <v>540</v>
      </c>
      <c r="B32" s="6" t="s">
        <v>2205</v>
      </c>
      <c r="G32" s="10" t="s">
        <v>844</v>
      </c>
      <c r="H32" s="2">
        <v>6</v>
      </c>
      <c r="J32" t="s">
        <v>699</v>
      </c>
      <c r="K32" t="str">
        <f t="shared" si="0"/>
        <v>COMPLEJO B</v>
      </c>
      <c r="L32">
        <v>5</v>
      </c>
    </row>
    <row r="33" spans="1:12" x14ac:dyDescent="0.3">
      <c r="A33" s="7" t="s">
        <v>564</v>
      </c>
      <c r="B33" s="6" t="s">
        <v>2655</v>
      </c>
      <c r="G33" s="10" t="s">
        <v>985</v>
      </c>
      <c r="H33" s="2">
        <v>2</v>
      </c>
      <c r="J33" t="s">
        <v>1088</v>
      </c>
      <c r="K33" t="str">
        <f t="shared" si="0"/>
        <v>DESODORANTE</v>
      </c>
      <c r="L33">
        <v>5</v>
      </c>
    </row>
    <row r="34" spans="1:12" x14ac:dyDescent="0.3">
      <c r="A34" s="7" t="s">
        <v>575</v>
      </c>
      <c r="B34" s="6" t="s">
        <v>2635</v>
      </c>
      <c r="G34" s="10" t="s">
        <v>7030</v>
      </c>
      <c r="H34" s="2">
        <v>1</v>
      </c>
      <c r="J34" t="s">
        <v>3066</v>
      </c>
      <c r="K34" t="str">
        <f t="shared" si="0"/>
        <v>MORTERO</v>
      </c>
      <c r="L34">
        <v>5</v>
      </c>
    </row>
    <row r="35" spans="1:12" x14ac:dyDescent="0.3">
      <c r="A35" s="7" t="s">
        <v>528</v>
      </c>
      <c r="B35" s="6" t="s">
        <v>3363</v>
      </c>
      <c r="G35" s="10" t="s">
        <v>7031</v>
      </c>
      <c r="H35" s="2">
        <v>1</v>
      </c>
      <c r="J35" t="s">
        <v>2945</v>
      </c>
      <c r="K35" t="str">
        <f t="shared" si="0"/>
        <v>ENVASE DE VIDRIO PEQUEÑO</v>
      </c>
      <c r="L35">
        <v>5</v>
      </c>
    </row>
    <row r="36" spans="1:12" x14ac:dyDescent="0.3">
      <c r="A36" s="7" t="s">
        <v>1211</v>
      </c>
      <c r="B36" s="6" t="s">
        <v>3344</v>
      </c>
      <c r="G36" s="10" t="s">
        <v>2434</v>
      </c>
      <c r="H36" s="2">
        <v>2</v>
      </c>
      <c r="J36" t="s">
        <v>2574</v>
      </c>
      <c r="K36" t="str">
        <f t="shared" si="0"/>
        <v>TUBOS DE HORMIGÓN</v>
      </c>
      <c r="L36">
        <v>5</v>
      </c>
    </row>
    <row r="37" spans="1:12" x14ac:dyDescent="0.3">
      <c r="A37" s="7" t="s">
        <v>879</v>
      </c>
      <c r="B37" s="6" t="s">
        <v>6702</v>
      </c>
      <c r="G37" s="10" t="s">
        <v>2723</v>
      </c>
      <c r="H37" s="2">
        <v>2</v>
      </c>
      <c r="J37" t="s">
        <v>1960</v>
      </c>
      <c r="K37" t="str">
        <f t="shared" si="0"/>
        <v>COCINA DE GAS</v>
      </c>
      <c r="L37">
        <v>5</v>
      </c>
    </row>
    <row r="38" spans="1:12" x14ac:dyDescent="0.3">
      <c r="A38" s="7" t="s">
        <v>699</v>
      </c>
      <c r="B38" s="6" t="s">
        <v>6730</v>
      </c>
      <c r="G38" s="10" t="s">
        <v>2725</v>
      </c>
      <c r="H38" s="2">
        <v>1</v>
      </c>
      <c r="J38" t="s">
        <v>3242</v>
      </c>
      <c r="K38" t="str">
        <f t="shared" si="0"/>
        <v>CAMARÓN CONGELADO</v>
      </c>
      <c r="L38">
        <v>4</v>
      </c>
    </row>
    <row r="39" spans="1:12" x14ac:dyDescent="0.3">
      <c r="A39" s="7" t="s">
        <v>1252</v>
      </c>
      <c r="B39" s="6" t="s">
        <v>6731</v>
      </c>
      <c r="G39" s="10" t="s">
        <v>2989</v>
      </c>
      <c r="H39" s="2">
        <v>2</v>
      </c>
      <c r="J39" t="s">
        <v>6132</v>
      </c>
      <c r="K39" t="str">
        <f t="shared" si="0"/>
        <v>ACEITE DE PESCADO</v>
      </c>
      <c r="L39">
        <v>4</v>
      </c>
    </row>
    <row r="40" spans="1:12" x14ac:dyDescent="0.3">
      <c r="A40" s="7" t="s">
        <v>1276</v>
      </c>
      <c r="B40" s="6" t="s">
        <v>6735</v>
      </c>
      <c r="G40" s="10" t="s">
        <v>2727</v>
      </c>
      <c r="H40" s="2">
        <v>2</v>
      </c>
      <c r="J40" t="s">
        <v>104</v>
      </c>
      <c r="K40" t="str">
        <f t="shared" si="0"/>
        <v>CARAMELOS</v>
      </c>
      <c r="L40">
        <v>4</v>
      </c>
    </row>
    <row r="41" spans="1:12" x14ac:dyDescent="0.3">
      <c r="A41" s="7" t="s">
        <v>540</v>
      </c>
      <c r="B41" s="6" t="s">
        <v>2205</v>
      </c>
      <c r="G41" s="10" t="s">
        <v>1122</v>
      </c>
      <c r="H41" s="2">
        <v>1</v>
      </c>
      <c r="J41" t="s">
        <v>121</v>
      </c>
      <c r="K41" t="str">
        <f t="shared" si="0"/>
        <v>ALIÑOS PREPARADOS</v>
      </c>
      <c r="L41">
        <v>4</v>
      </c>
    </row>
    <row r="42" spans="1:12" x14ac:dyDescent="0.3">
      <c r="A42" s="7" t="s">
        <v>985</v>
      </c>
      <c r="B42" s="6" t="s">
        <v>6708</v>
      </c>
      <c r="G42" s="10" t="s">
        <v>711</v>
      </c>
      <c r="H42" s="2">
        <v>1</v>
      </c>
      <c r="J42" t="s">
        <v>1438</v>
      </c>
      <c r="K42" t="str">
        <f t="shared" si="0"/>
        <v>VINO ESPUMANTE</v>
      </c>
      <c r="L42">
        <v>4</v>
      </c>
    </row>
    <row r="43" spans="1:12" x14ac:dyDescent="0.3">
      <c r="A43" s="7" t="s">
        <v>1304</v>
      </c>
      <c r="B43" s="6" t="s">
        <v>2626</v>
      </c>
      <c r="G43" s="10" t="s">
        <v>869</v>
      </c>
      <c r="H43" s="2">
        <v>3</v>
      </c>
      <c r="J43" t="s">
        <v>181</v>
      </c>
      <c r="K43" t="str">
        <f t="shared" si="0"/>
        <v>MEDIAS DE NIÑO</v>
      </c>
      <c r="L43">
        <v>4</v>
      </c>
    </row>
    <row r="44" spans="1:12" x14ac:dyDescent="0.3">
      <c r="A44" s="7" t="s">
        <v>1211</v>
      </c>
      <c r="B44" s="6" t="s">
        <v>3344</v>
      </c>
      <c r="G44" s="10" t="s">
        <v>104</v>
      </c>
      <c r="H44" s="2">
        <v>4</v>
      </c>
      <c r="J44" t="s">
        <v>182</v>
      </c>
      <c r="K44" t="str">
        <f t="shared" si="0"/>
        <v>MEDIAS PARA ADULTOS</v>
      </c>
      <c r="L44">
        <v>4</v>
      </c>
    </row>
    <row r="45" spans="1:12" x14ac:dyDescent="0.3">
      <c r="A45" s="7" t="s">
        <v>1326</v>
      </c>
      <c r="B45" s="6" t="s">
        <v>6738</v>
      </c>
      <c r="G45" s="10" t="s">
        <v>120</v>
      </c>
      <c r="H45" s="2">
        <v>1</v>
      </c>
      <c r="J45" t="s">
        <v>2469</v>
      </c>
      <c r="K45" t="str">
        <f t="shared" si="0"/>
        <v>BIVIDÍ</v>
      </c>
      <c r="L45">
        <v>4</v>
      </c>
    </row>
    <row r="46" spans="1:12" x14ac:dyDescent="0.3">
      <c r="A46" s="7" t="s">
        <v>1336</v>
      </c>
      <c r="B46" s="6" t="s">
        <v>1381</v>
      </c>
      <c r="G46" s="10" t="s">
        <v>3178</v>
      </c>
      <c r="H46" s="2">
        <v>1</v>
      </c>
      <c r="J46" t="s">
        <v>615</v>
      </c>
      <c r="K46" t="str">
        <f t="shared" si="0"/>
        <v>CALZADO DE LONA</v>
      </c>
      <c r="L46">
        <v>4</v>
      </c>
    </row>
    <row r="47" spans="1:12" x14ac:dyDescent="0.3">
      <c r="A47" s="7" t="s">
        <v>1347</v>
      </c>
      <c r="B47" s="6" t="s">
        <v>6739</v>
      </c>
      <c r="G47" s="10" t="s">
        <v>119</v>
      </c>
      <c r="H47" s="2">
        <v>3</v>
      </c>
      <c r="J47" t="s">
        <v>6766</v>
      </c>
      <c r="K47" t="str">
        <f t="shared" si="0"/>
        <v>ANTIGRIPALES</v>
      </c>
      <c r="L47">
        <v>4</v>
      </c>
    </row>
    <row r="48" spans="1:12" x14ac:dyDescent="0.3">
      <c r="A48" s="7" t="s">
        <v>1212</v>
      </c>
      <c r="B48" s="6" t="s">
        <v>1853</v>
      </c>
      <c r="G48" s="10" t="s">
        <v>3300</v>
      </c>
      <c r="H48" s="2">
        <v>2</v>
      </c>
      <c r="J48" t="s">
        <v>792</v>
      </c>
      <c r="K48" t="str">
        <f t="shared" si="0"/>
        <v>JABÓN PARA LAVAR ROPA</v>
      </c>
      <c r="L48">
        <v>4</v>
      </c>
    </row>
    <row r="49" spans="1:12" x14ac:dyDescent="0.3">
      <c r="A49" s="7" t="s">
        <v>6767</v>
      </c>
      <c r="B49" s="6" t="s">
        <v>6771</v>
      </c>
      <c r="G49" s="10" t="s">
        <v>1201</v>
      </c>
      <c r="H49" s="2">
        <v>2</v>
      </c>
      <c r="J49" t="s">
        <v>674</v>
      </c>
      <c r="K49" t="str">
        <f t="shared" si="0"/>
        <v>JABÓN LÍQUIDO</v>
      </c>
      <c r="L49">
        <v>4</v>
      </c>
    </row>
    <row r="50" spans="1:12" x14ac:dyDescent="0.3">
      <c r="A50" s="7" t="s">
        <v>615</v>
      </c>
      <c r="B50" s="6" t="s">
        <v>2702</v>
      </c>
      <c r="G50" s="10" t="s">
        <v>528</v>
      </c>
      <c r="H50" s="2">
        <v>3</v>
      </c>
      <c r="J50" t="s">
        <v>672</v>
      </c>
      <c r="K50" t="str">
        <f t="shared" si="0"/>
        <v>SUAVIZANTE DE ROPA</v>
      </c>
      <c r="L50">
        <v>4</v>
      </c>
    </row>
    <row r="51" spans="1:12" x14ac:dyDescent="0.3">
      <c r="A51" s="7" t="s">
        <v>673</v>
      </c>
      <c r="B51" s="6" t="s">
        <v>2250</v>
      </c>
      <c r="G51" s="10" t="s">
        <v>2194</v>
      </c>
      <c r="H51" s="2">
        <v>2</v>
      </c>
      <c r="J51" t="s">
        <v>1100</v>
      </c>
      <c r="K51" t="str">
        <f t="shared" si="0"/>
        <v>ENJUAGUES BUCALES</v>
      </c>
      <c r="L51">
        <v>4</v>
      </c>
    </row>
    <row r="52" spans="1:12" x14ac:dyDescent="0.3">
      <c r="A52" s="7" t="s">
        <v>806</v>
      </c>
      <c r="B52" s="6" t="s">
        <v>6696</v>
      </c>
      <c r="G52" s="10" t="s">
        <v>1199</v>
      </c>
      <c r="H52" s="2">
        <v>2</v>
      </c>
      <c r="J52" t="s">
        <v>2576</v>
      </c>
      <c r="K52" t="str">
        <f t="shared" si="0"/>
        <v>PILOTES DE HORMIGÓN</v>
      </c>
      <c r="L52">
        <v>4</v>
      </c>
    </row>
    <row r="53" spans="1:12" x14ac:dyDescent="0.3">
      <c r="A53" s="7" t="s">
        <v>844</v>
      </c>
      <c r="B53" s="6" t="s">
        <v>6698</v>
      </c>
      <c r="G53" s="10" t="s">
        <v>3250</v>
      </c>
      <c r="H53" s="2">
        <v>1</v>
      </c>
      <c r="J53" t="s">
        <v>2572</v>
      </c>
      <c r="K53" t="str">
        <f t="shared" si="0"/>
        <v>ADOQUINES</v>
      </c>
      <c r="L53">
        <v>4</v>
      </c>
    </row>
    <row r="54" spans="1:12" x14ac:dyDescent="0.3">
      <c r="A54" s="7" t="s">
        <v>636</v>
      </c>
      <c r="B54" s="6" t="s">
        <v>3354</v>
      </c>
      <c r="G54" s="10" t="s">
        <v>121</v>
      </c>
      <c r="H54" s="2">
        <v>4</v>
      </c>
      <c r="J54" t="s">
        <v>449</v>
      </c>
      <c r="K54" t="str">
        <f t="shared" si="0"/>
        <v>ESCOBA</v>
      </c>
      <c r="L54">
        <v>4</v>
      </c>
    </row>
    <row r="55" spans="1:12" x14ac:dyDescent="0.3">
      <c r="A55" s="7" t="s">
        <v>869</v>
      </c>
      <c r="B55" s="6" t="s">
        <v>6701</v>
      </c>
      <c r="G55" s="10" t="s">
        <v>122</v>
      </c>
      <c r="H55" s="2">
        <v>1</v>
      </c>
      <c r="J55" t="s">
        <v>397</v>
      </c>
      <c r="K55" t="str">
        <f t="shared" si="0"/>
        <v>MANÍ  DE SAL (SNACK)</v>
      </c>
      <c r="L55">
        <v>3</v>
      </c>
    </row>
    <row r="56" spans="1:12" x14ac:dyDescent="0.3">
      <c r="A56" s="7" t="s">
        <v>217</v>
      </c>
      <c r="B56" s="6" t="s">
        <v>6703</v>
      </c>
      <c r="G56" s="10" t="s">
        <v>1200</v>
      </c>
      <c r="H56" s="2">
        <v>2</v>
      </c>
      <c r="J56" t="s">
        <v>2175</v>
      </c>
      <c r="K56" t="str">
        <f t="shared" si="0"/>
        <v>PULPA DE FRUTILLA</v>
      </c>
      <c r="L56">
        <v>3</v>
      </c>
    </row>
    <row r="57" spans="1:12" x14ac:dyDescent="0.3">
      <c r="A57" s="7" t="s">
        <v>889</v>
      </c>
      <c r="B57" s="6" t="s">
        <v>2902</v>
      </c>
      <c r="G57" s="10" t="s">
        <v>1123</v>
      </c>
      <c r="H57" s="2">
        <v>1</v>
      </c>
      <c r="J57" t="s">
        <v>6414</v>
      </c>
      <c r="K57" t="str">
        <f t="shared" si="0"/>
        <v>ACEITE DE PALMISTE</v>
      </c>
      <c r="L57">
        <v>3</v>
      </c>
    </row>
    <row r="58" spans="1:12" x14ac:dyDescent="0.3">
      <c r="A58" s="7" t="s">
        <v>889</v>
      </c>
      <c r="B58" s="6" t="s">
        <v>2902</v>
      </c>
      <c r="G58" s="10" t="s">
        <v>1124</v>
      </c>
      <c r="H58" s="2">
        <v>1</v>
      </c>
      <c r="J58" t="s">
        <v>869</v>
      </c>
      <c r="K58" t="str">
        <f t="shared" si="0"/>
        <v>CHICLES</v>
      </c>
      <c r="L58">
        <v>3</v>
      </c>
    </row>
    <row r="59" spans="1:12" x14ac:dyDescent="0.3">
      <c r="A59" s="7" t="s">
        <v>920</v>
      </c>
      <c r="B59" s="6" t="s">
        <v>6704</v>
      </c>
      <c r="G59" s="10" t="s">
        <v>1125</v>
      </c>
      <c r="H59" s="2">
        <v>1</v>
      </c>
      <c r="J59" t="s">
        <v>119</v>
      </c>
      <c r="K59" t="str">
        <f t="shared" si="0"/>
        <v>COMINO EN POLVO</v>
      </c>
      <c r="L59">
        <v>3</v>
      </c>
    </row>
    <row r="60" spans="1:12" x14ac:dyDescent="0.3">
      <c r="A60" s="7" t="s">
        <v>180</v>
      </c>
      <c r="B60" s="6" t="s">
        <v>6705</v>
      </c>
      <c r="G60" s="10" t="s">
        <v>1126</v>
      </c>
      <c r="H60" s="2">
        <v>1</v>
      </c>
      <c r="J60" t="s">
        <v>528</v>
      </c>
      <c r="K60" t="str">
        <f t="shared" si="0"/>
        <v>SALSA DE TOMATE</v>
      </c>
      <c r="L60">
        <v>3</v>
      </c>
    </row>
    <row r="61" spans="1:12" x14ac:dyDescent="0.3">
      <c r="A61" s="7" t="s">
        <v>948</v>
      </c>
      <c r="B61" s="6" t="s">
        <v>6706</v>
      </c>
      <c r="G61" s="10" t="s">
        <v>3175</v>
      </c>
      <c r="H61" s="2">
        <v>1</v>
      </c>
      <c r="J61" t="s">
        <v>4828</v>
      </c>
      <c r="K61" t="str">
        <f t="shared" si="0"/>
        <v>SAL REFINADA</v>
      </c>
      <c r="L61">
        <v>3</v>
      </c>
    </row>
    <row r="62" spans="1:12" x14ac:dyDescent="0.3">
      <c r="A62" s="7" t="s">
        <v>968</v>
      </c>
      <c r="B62" s="6" t="s">
        <v>2214</v>
      </c>
      <c r="G62" s="10" t="s">
        <v>3177</v>
      </c>
      <c r="H62" s="2">
        <v>1</v>
      </c>
      <c r="J62" t="s">
        <v>2444</v>
      </c>
      <c r="K62" t="str">
        <f t="shared" si="0"/>
        <v>WHISKY</v>
      </c>
      <c r="L62">
        <v>3</v>
      </c>
    </row>
    <row r="63" spans="1:12" x14ac:dyDescent="0.3">
      <c r="A63" s="7" t="s">
        <v>986</v>
      </c>
      <c r="B63" s="6" t="s">
        <v>6709</v>
      </c>
      <c r="G63" s="10" t="s">
        <v>3176</v>
      </c>
      <c r="H63" s="2">
        <v>1</v>
      </c>
      <c r="J63" t="s">
        <v>1434</v>
      </c>
      <c r="K63" t="str">
        <f t="shared" si="0"/>
        <v>RON</v>
      </c>
      <c r="L63">
        <v>3</v>
      </c>
    </row>
    <row r="64" spans="1:12" x14ac:dyDescent="0.3">
      <c r="A64" s="7" t="s">
        <v>995</v>
      </c>
      <c r="B64" s="6" t="s">
        <v>6710</v>
      </c>
      <c r="G64" s="10" t="s">
        <v>4828</v>
      </c>
      <c r="H64" s="2">
        <v>3</v>
      </c>
      <c r="J64" t="s">
        <v>1436</v>
      </c>
      <c r="K64" t="str">
        <f t="shared" si="0"/>
        <v>VODKA</v>
      </c>
      <c r="L64">
        <v>3</v>
      </c>
    </row>
    <row r="65" spans="1:12" x14ac:dyDescent="0.3">
      <c r="A65" s="7" t="s">
        <v>1006</v>
      </c>
      <c r="B65" s="6" t="s">
        <v>1798</v>
      </c>
      <c r="G65" s="10" t="s">
        <v>1432</v>
      </c>
      <c r="H65" s="2">
        <v>1</v>
      </c>
      <c r="J65" t="s">
        <v>968</v>
      </c>
      <c r="K65" t="str">
        <f t="shared" si="0"/>
        <v>COBIJA DE POLIESTER</v>
      </c>
      <c r="L65">
        <v>3</v>
      </c>
    </row>
    <row r="66" spans="1:12" x14ac:dyDescent="0.3">
      <c r="A66" s="7" t="s">
        <v>889</v>
      </c>
      <c r="B66" s="6" t="s">
        <v>2902</v>
      </c>
      <c r="G66" s="10" t="s">
        <v>2444</v>
      </c>
      <c r="H66" s="2">
        <v>3</v>
      </c>
      <c r="J66" t="s">
        <v>1779</v>
      </c>
      <c r="K66" t="str">
        <f t="shared" si="0"/>
        <v>EDREDON</v>
      </c>
      <c r="L66">
        <v>3</v>
      </c>
    </row>
    <row r="67" spans="1:12" x14ac:dyDescent="0.3">
      <c r="A67" s="7" t="s">
        <v>949</v>
      </c>
      <c r="B67" s="6" t="s">
        <v>6707</v>
      </c>
      <c r="G67" s="10" t="s">
        <v>1434</v>
      </c>
      <c r="H67" s="2">
        <v>3</v>
      </c>
      <c r="J67" t="s">
        <v>2483</v>
      </c>
      <c r="K67" t="str">
        <f t="shared" ref="K67:K130" si="1">+VLOOKUP(J67,$A$2:$B$617,2,FALSE)</f>
        <v>CALZONCILLO PARA HOMBRE ALGODÓN</v>
      </c>
      <c r="L67">
        <v>3</v>
      </c>
    </row>
    <row r="68" spans="1:12" x14ac:dyDescent="0.3">
      <c r="A68" s="7" t="s">
        <v>1038</v>
      </c>
      <c r="B68" s="6" t="s">
        <v>3351</v>
      </c>
      <c r="G68" s="10" t="s">
        <v>1436</v>
      </c>
      <c r="H68" s="2">
        <v>3</v>
      </c>
      <c r="J68" t="s">
        <v>1276</v>
      </c>
      <c r="K68" t="str">
        <f t="shared" si="1"/>
        <v>PAÑALES DESECHABLES</v>
      </c>
      <c r="L68">
        <v>3</v>
      </c>
    </row>
    <row r="69" spans="1:12" x14ac:dyDescent="0.3">
      <c r="A69" s="7" t="s">
        <v>1063</v>
      </c>
      <c r="B69" s="6" t="s">
        <v>6713</v>
      </c>
      <c r="G69" s="10" t="s">
        <v>7044</v>
      </c>
      <c r="H69" s="2">
        <v>1</v>
      </c>
      <c r="J69" t="s">
        <v>1277</v>
      </c>
      <c r="K69" t="str">
        <f t="shared" si="1"/>
        <v>PAÑOS HÚMEDOS</v>
      </c>
      <c r="L69">
        <v>3</v>
      </c>
    </row>
    <row r="70" spans="1:12" x14ac:dyDescent="0.3">
      <c r="A70" s="7" t="s">
        <v>1074</v>
      </c>
      <c r="B70" s="6" t="s">
        <v>2550</v>
      </c>
      <c r="G70" s="10" t="s">
        <v>2826</v>
      </c>
      <c r="H70" s="2">
        <v>2</v>
      </c>
      <c r="J70" t="s">
        <v>1212</v>
      </c>
      <c r="K70" t="str">
        <f t="shared" si="1"/>
        <v>RESINA</v>
      </c>
      <c r="L70">
        <v>3</v>
      </c>
    </row>
    <row r="71" spans="1:12" x14ac:dyDescent="0.3">
      <c r="A71" s="7" t="s">
        <v>1087</v>
      </c>
      <c r="B71" s="6" t="s">
        <v>1523</v>
      </c>
      <c r="G71" s="10" t="s">
        <v>1438</v>
      </c>
      <c r="H71" s="2">
        <v>4</v>
      </c>
      <c r="J71" t="s">
        <v>2712</v>
      </c>
      <c r="K71" t="str">
        <f t="shared" si="1"/>
        <v>ÁCIDO FÓLICO</v>
      </c>
      <c r="L71">
        <v>3</v>
      </c>
    </row>
    <row r="72" spans="1:12" x14ac:dyDescent="0.3">
      <c r="A72" s="7" t="s">
        <v>1099</v>
      </c>
      <c r="B72" s="6" t="s">
        <v>6715</v>
      </c>
      <c r="G72" s="10" t="s">
        <v>2420</v>
      </c>
      <c r="H72" s="2">
        <v>1</v>
      </c>
      <c r="J72" t="s">
        <v>6877</v>
      </c>
      <c r="K72" t="str">
        <f t="shared" si="1"/>
        <v>AMOXICILINA</v>
      </c>
      <c r="L72">
        <v>3</v>
      </c>
    </row>
    <row r="73" spans="1:12" x14ac:dyDescent="0.3">
      <c r="A73" s="7" t="s">
        <v>1112</v>
      </c>
      <c r="B73" s="6" t="s">
        <v>6718</v>
      </c>
      <c r="G73" s="10" t="s">
        <v>2615</v>
      </c>
      <c r="H73" s="2">
        <v>1</v>
      </c>
      <c r="J73" t="s">
        <v>793</v>
      </c>
      <c r="K73" t="str">
        <f t="shared" si="1"/>
        <v>JABÓN/CREMA PARA LAVAR VAJILLA</v>
      </c>
      <c r="L73">
        <v>3</v>
      </c>
    </row>
    <row r="74" spans="1:12" x14ac:dyDescent="0.3">
      <c r="A74" s="7" t="s">
        <v>1123</v>
      </c>
      <c r="B74" s="6" t="s">
        <v>6720</v>
      </c>
      <c r="G74" s="10" t="s">
        <v>1304</v>
      </c>
      <c r="H74" s="2">
        <v>2</v>
      </c>
      <c r="J74" t="s">
        <v>1087</v>
      </c>
      <c r="K74" t="str">
        <f t="shared" si="1"/>
        <v>COLONIA</v>
      </c>
      <c r="L74">
        <v>3</v>
      </c>
    </row>
    <row r="75" spans="1:12" x14ac:dyDescent="0.3">
      <c r="A75" s="7" t="s">
        <v>731</v>
      </c>
      <c r="B75" s="6" t="s">
        <v>6725</v>
      </c>
      <c r="G75" s="10" t="s">
        <v>553</v>
      </c>
      <c r="H75" s="2">
        <v>8</v>
      </c>
      <c r="J75" t="s">
        <v>1521</v>
      </c>
      <c r="K75" t="str">
        <f t="shared" si="1"/>
        <v>VASELINA</v>
      </c>
      <c r="L75">
        <v>3</v>
      </c>
    </row>
    <row r="76" spans="1:12" x14ac:dyDescent="0.3">
      <c r="A76" s="7" t="s">
        <v>1150</v>
      </c>
      <c r="B76" s="6" t="s">
        <v>6728</v>
      </c>
      <c r="G76" s="10" t="s">
        <v>1305</v>
      </c>
      <c r="H76" s="2">
        <v>1</v>
      </c>
      <c r="J76" t="s">
        <v>1099</v>
      </c>
      <c r="K76" t="str">
        <f t="shared" si="1"/>
        <v>PASTA DENTAL</v>
      </c>
      <c r="L76">
        <v>3</v>
      </c>
    </row>
    <row r="77" spans="1:12" x14ac:dyDescent="0.3">
      <c r="A77" s="7" t="s">
        <v>1199</v>
      </c>
      <c r="B77" s="6" t="s">
        <v>3364</v>
      </c>
      <c r="G77" s="10" t="s">
        <v>889</v>
      </c>
      <c r="H77" s="2">
        <v>10</v>
      </c>
      <c r="J77" t="s">
        <v>3067</v>
      </c>
      <c r="K77" t="str">
        <f t="shared" si="1"/>
        <v>EMPASTE</v>
      </c>
      <c r="L77">
        <v>3</v>
      </c>
    </row>
    <row r="78" spans="1:12" x14ac:dyDescent="0.3">
      <c r="A78" s="7" t="s">
        <v>637</v>
      </c>
      <c r="B78" s="6" t="s">
        <v>6729</v>
      </c>
      <c r="G78" s="10" t="s">
        <v>564</v>
      </c>
      <c r="H78" s="2">
        <v>7</v>
      </c>
      <c r="J78" t="s">
        <v>1006</v>
      </c>
      <c r="K78" t="str">
        <f t="shared" si="1"/>
        <v>NEUMÁTICOS REENCAUCHADOS</v>
      </c>
      <c r="L78">
        <v>3</v>
      </c>
    </row>
    <row r="79" spans="1:12" x14ac:dyDescent="0.3">
      <c r="A79" s="7" t="s">
        <v>879</v>
      </c>
      <c r="B79" s="6" t="s">
        <v>6702</v>
      </c>
      <c r="G79" s="10" t="s">
        <v>540</v>
      </c>
      <c r="H79" s="2">
        <v>13</v>
      </c>
      <c r="J79" t="s">
        <v>731</v>
      </c>
      <c r="K79" t="str">
        <f t="shared" si="1"/>
        <v>BÍTUMEN/BETÚN (PARA CARRETERAS)</v>
      </c>
      <c r="L79">
        <v>3</v>
      </c>
    </row>
    <row r="80" spans="1:12" x14ac:dyDescent="0.3">
      <c r="A80" s="7" t="s">
        <v>1100</v>
      </c>
      <c r="B80" s="6" t="s">
        <v>6716</v>
      </c>
      <c r="G80" s="10" t="s">
        <v>968</v>
      </c>
      <c r="H80" s="2">
        <v>3</v>
      </c>
      <c r="J80" t="s">
        <v>995</v>
      </c>
      <c r="K80" t="str">
        <f t="shared" si="1"/>
        <v>CAJA DE FÓSFOROS</v>
      </c>
      <c r="L80">
        <v>3</v>
      </c>
    </row>
    <row r="81" spans="1:12" x14ac:dyDescent="0.3">
      <c r="A81" s="7" t="s">
        <v>699</v>
      </c>
      <c r="B81" s="6" t="s">
        <v>6730</v>
      </c>
      <c r="G81" s="10" t="s">
        <v>575</v>
      </c>
      <c r="H81" s="2">
        <v>11</v>
      </c>
      <c r="J81" t="s">
        <v>3285</v>
      </c>
      <c r="K81" t="str">
        <f t="shared" si="1"/>
        <v>OLLA DE METAL</v>
      </c>
      <c r="L81">
        <v>3</v>
      </c>
    </row>
    <row r="82" spans="1:12" x14ac:dyDescent="0.3">
      <c r="A82" s="7" t="s">
        <v>1277</v>
      </c>
      <c r="B82" s="6" t="s">
        <v>6736</v>
      </c>
      <c r="G82" s="10" t="s">
        <v>541</v>
      </c>
      <c r="H82" s="2">
        <v>1</v>
      </c>
      <c r="J82" t="s">
        <v>1112</v>
      </c>
      <c r="K82" t="str">
        <f t="shared" si="1"/>
        <v>ALAMBRE DE ALUMINIO SIN RECUBRIMIENTO</v>
      </c>
      <c r="L82">
        <v>3</v>
      </c>
    </row>
    <row r="83" spans="1:12" x14ac:dyDescent="0.3">
      <c r="A83" s="7" t="s">
        <v>540</v>
      </c>
      <c r="B83" s="6" t="s">
        <v>2205</v>
      </c>
      <c r="G83" s="10" t="s">
        <v>1779</v>
      </c>
      <c r="H83" s="2">
        <v>3</v>
      </c>
      <c r="J83" t="s">
        <v>1957</v>
      </c>
      <c r="K83" t="str">
        <f t="shared" si="1"/>
        <v>REFRIGERADORA DOS PUERTAS</v>
      </c>
      <c r="L83">
        <v>3</v>
      </c>
    </row>
    <row r="84" spans="1:12" x14ac:dyDescent="0.3">
      <c r="A84" s="7" t="s">
        <v>844</v>
      </c>
      <c r="B84" s="6" t="s">
        <v>6698</v>
      </c>
      <c r="G84" s="10" t="s">
        <v>1074</v>
      </c>
      <c r="H84" s="2">
        <v>5</v>
      </c>
      <c r="J84" t="s">
        <v>1037</v>
      </c>
      <c r="K84" t="str">
        <f t="shared" si="1"/>
        <v>COCINETA DE GAS</v>
      </c>
      <c r="L84">
        <v>3</v>
      </c>
    </row>
    <row r="85" spans="1:12" x14ac:dyDescent="0.3">
      <c r="A85" s="7" t="s">
        <v>1305</v>
      </c>
      <c r="B85" s="6" t="s">
        <v>6737</v>
      </c>
      <c r="G85" s="10" t="s">
        <v>180</v>
      </c>
      <c r="H85" s="2">
        <v>5</v>
      </c>
      <c r="J85" t="s">
        <v>1962</v>
      </c>
      <c r="K85" t="str">
        <f t="shared" si="1"/>
        <v>HORNOS A GAS</v>
      </c>
      <c r="L85">
        <v>3</v>
      </c>
    </row>
    <row r="86" spans="1:12" x14ac:dyDescent="0.3">
      <c r="A86" s="7" t="s">
        <v>637</v>
      </c>
      <c r="B86" s="6" t="s">
        <v>6729</v>
      </c>
      <c r="G86" s="10" t="s">
        <v>181</v>
      </c>
      <c r="H86" s="2">
        <v>4</v>
      </c>
      <c r="J86" t="s">
        <v>1111</v>
      </c>
      <c r="K86" t="str">
        <f t="shared" si="1"/>
        <v>CABLE DE COBRE</v>
      </c>
      <c r="L86">
        <v>3</v>
      </c>
    </row>
    <row r="87" spans="1:12" x14ac:dyDescent="0.3">
      <c r="A87" s="7" t="s">
        <v>1326</v>
      </c>
      <c r="B87" s="6" t="s">
        <v>6738</v>
      </c>
      <c r="G87" s="10" t="s">
        <v>929</v>
      </c>
      <c r="H87" s="2">
        <v>2</v>
      </c>
      <c r="J87" t="s">
        <v>3201</v>
      </c>
      <c r="K87" t="str">
        <f t="shared" si="1"/>
        <v>CAMARÓN FRESCO</v>
      </c>
      <c r="L87">
        <v>2</v>
      </c>
    </row>
    <row r="88" spans="1:12" x14ac:dyDescent="0.3">
      <c r="A88" s="7" t="s">
        <v>1347</v>
      </c>
      <c r="B88" s="6" t="s">
        <v>6739</v>
      </c>
      <c r="G88" s="10" t="s">
        <v>182</v>
      </c>
      <c r="H88" s="2">
        <v>4</v>
      </c>
      <c r="J88" t="s">
        <v>2517</v>
      </c>
      <c r="K88" t="str">
        <f t="shared" si="1"/>
        <v>CARNAZA</v>
      </c>
      <c r="L88">
        <v>2</v>
      </c>
    </row>
    <row r="89" spans="1:12" x14ac:dyDescent="0.3">
      <c r="A89" s="7" t="s">
        <v>1025</v>
      </c>
      <c r="B89" s="6" t="s">
        <v>6711</v>
      </c>
      <c r="G89" s="10" t="s">
        <v>2453</v>
      </c>
      <c r="H89" s="2">
        <v>1</v>
      </c>
      <c r="J89" t="s">
        <v>2738</v>
      </c>
      <c r="K89" t="str">
        <f t="shared" si="1"/>
        <v>SNACK A BASE DE CUERO DE CERDO (CRONQUIS)</v>
      </c>
      <c r="L89">
        <v>2</v>
      </c>
    </row>
    <row r="90" spans="1:12" x14ac:dyDescent="0.3">
      <c r="A90" s="7" t="s">
        <v>673</v>
      </c>
      <c r="B90" s="6" t="s">
        <v>2250</v>
      </c>
      <c r="G90" s="10" t="s">
        <v>2473</v>
      </c>
      <c r="H90" s="2">
        <v>2</v>
      </c>
      <c r="J90" t="s">
        <v>6754</v>
      </c>
      <c r="K90" t="str">
        <f t="shared" si="1"/>
        <v>PESCADO ENTERO CONGELADO DE EXPORTACIÓN</v>
      </c>
      <c r="L90">
        <v>2</v>
      </c>
    </row>
    <row r="91" spans="1:12" x14ac:dyDescent="0.3">
      <c r="A91" s="7" t="s">
        <v>845</v>
      </c>
      <c r="B91" s="6" t="s">
        <v>6699</v>
      </c>
      <c r="G91" s="10" t="s">
        <v>2483</v>
      </c>
      <c r="H91" s="2">
        <v>3</v>
      </c>
      <c r="J91" t="s">
        <v>6986</v>
      </c>
      <c r="K91" t="str">
        <f t="shared" si="1"/>
        <v>ATÚN ENTERO CONGELADO</v>
      </c>
      <c r="L91">
        <v>2</v>
      </c>
    </row>
    <row r="92" spans="1:12" x14ac:dyDescent="0.3">
      <c r="A92" s="7" t="s">
        <v>856</v>
      </c>
      <c r="B92" s="6" t="s">
        <v>5374</v>
      </c>
      <c r="G92" s="10" t="s">
        <v>2457</v>
      </c>
      <c r="H92" s="2">
        <v>1</v>
      </c>
      <c r="J92" t="s">
        <v>6991</v>
      </c>
      <c r="K92" t="str">
        <f t="shared" si="1"/>
        <v xml:space="preserve">ATUN FILETE CONGELADO </v>
      </c>
      <c r="L92">
        <v>2</v>
      </c>
    </row>
    <row r="93" spans="1:12" x14ac:dyDescent="0.3">
      <c r="A93" s="7" t="s">
        <v>869</v>
      </c>
      <c r="B93" s="6" t="s">
        <v>6701</v>
      </c>
      <c r="G93" s="10" t="s">
        <v>1720</v>
      </c>
      <c r="H93" s="2">
        <v>6</v>
      </c>
      <c r="J93" t="s">
        <v>6988</v>
      </c>
      <c r="K93" t="str">
        <f t="shared" si="1"/>
        <v>FILETE DE PESCADO DORADO CONGELADO</v>
      </c>
      <c r="L93">
        <v>2</v>
      </c>
    </row>
    <row r="94" spans="1:12" x14ac:dyDescent="0.3">
      <c r="A94" s="7" t="s">
        <v>889</v>
      </c>
      <c r="B94" s="6" t="s">
        <v>2902</v>
      </c>
      <c r="G94" s="10" t="s">
        <v>1722</v>
      </c>
      <c r="H94" s="2">
        <v>1</v>
      </c>
      <c r="J94" t="s">
        <v>7065</v>
      </c>
      <c r="K94" t="str">
        <f t="shared" si="1"/>
        <v xml:space="preserve">CAMARÓN CONGELADO </v>
      </c>
      <c r="L94">
        <v>2</v>
      </c>
    </row>
    <row r="95" spans="1:12" x14ac:dyDescent="0.3">
      <c r="A95" s="7" t="s">
        <v>929</v>
      </c>
      <c r="B95" s="6" t="s">
        <v>1681</v>
      </c>
      <c r="G95" s="10" t="s">
        <v>2475</v>
      </c>
      <c r="H95" s="2">
        <v>2</v>
      </c>
      <c r="J95" t="s">
        <v>6996</v>
      </c>
      <c r="K95" t="str">
        <f t="shared" si="1"/>
        <v>HARINA DE CAMARÓN</v>
      </c>
      <c r="L95">
        <v>2</v>
      </c>
    </row>
    <row r="96" spans="1:12" x14ac:dyDescent="0.3">
      <c r="A96" s="7" t="s">
        <v>949</v>
      </c>
      <c r="B96" s="6" t="s">
        <v>6707</v>
      </c>
      <c r="G96" s="10" t="s">
        <v>2469</v>
      </c>
      <c r="H96" s="2">
        <v>4</v>
      </c>
      <c r="J96" t="s">
        <v>2422</v>
      </c>
      <c r="K96" t="str">
        <f t="shared" si="1"/>
        <v>MERMELADA DE PIÑA</v>
      </c>
      <c r="L96">
        <v>2</v>
      </c>
    </row>
    <row r="97" spans="1:12" x14ac:dyDescent="0.3">
      <c r="A97" s="7" t="s">
        <v>844</v>
      </c>
      <c r="B97" s="6" t="s">
        <v>6698</v>
      </c>
      <c r="G97" s="10" t="s">
        <v>2455</v>
      </c>
      <c r="H97" s="2">
        <v>1</v>
      </c>
      <c r="J97" t="s">
        <v>985</v>
      </c>
      <c r="K97" t="str">
        <f t="shared" si="1"/>
        <v>MARGARINA</v>
      </c>
      <c r="L97">
        <v>2</v>
      </c>
    </row>
    <row r="98" spans="1:12" x14ac:dyDescent="0.3">
      <c r="A98" s="7" t="s">
        <v>995</v>
      </c>
      <c r="B98" s="6" t="s">
        <v>6710</v>
      </c>
      <c r="G98" s="10" t="s">
        <v>2471</v>
      </c>
      <c r="H98" s="2">
        <v>2</v>
      </c>
      <c r="J98" t="s">
        <v>2434</v>
      </c>
      <c r="K98" t="str">
        <f t="shared" si="1"/>
        <v>HARINA DE TRIGO</v>
      </c>
      <c r="L98">
        <v>2</v>
      </c>
    </row>
    <row r="99" spans="1:12" x14ac:dyDescent="0.3">
      <c r="A99" s="7" t="s">
        <v>1006</v>
      </c>
      <c r="B99" s="6" t="s">
        <v>1798</v>
      </c>
      <c r="G99" s="10" t="s">
        <v>2506</v>
      </c>
      <c r="H99" s="2">
        <v>9</v>
      </c>
      <c r="J99" t="s">
        <v>2723</v>
      </c>
      <c r="K99" t="str">
        <f t="shared" si="1"/>
        <v>HARINA DE MAIZ</v>
      </c>
      <c r="L99">
        <v>2</v>
      </c>
    </row>
    <row r="100" spans="1:12" x14ac:dyDescent="0.3">
      <c r="A100" s="7" t="s">
        <v>889</v>
      </c>
      <c r="B100" s="6" t="s">
        <v>2902</v>
      </c>
      <c r="G100" s="10" t="s">
        <v>2890</v>
      </c>
      <c r="H100" s="2">
        <v>1</v>
      </c>
      <c r="J100" t="s">
        <v>2989</v>
      </c>
      <c r="K100" t="str">
        <f t="shared" si="1"/>
        <v>GRANOLA</v>
      </c>
      <c r="L100">
        <v>2</v>
      </c>
    </row>
    <row r="101" spans="1:12" x14ac:dyDescent="0.3">
      <c r="A101" s="7" t="s">
        <v>1074</v>
      </c>
      <c r="B101" s="6" t="s">
        <v>2550</v>
      </c>
      <c r="G101" s="10" t="s">
        <v>2786</v>
      </c>
      <c r="H101" s="2">
        <v>1</v>
      </c>
      <c r="J101" t="s">
        <v>2727</v>
      </c>
      <c r="K101" t="str">
        <f t="shared" si="1"/>
        <v>HARINA DE PLÁTANO</v>
      </c>
      <c r="L101">
        <v>2</v>
      </c>
    </row>
    <row r="102" spans="1:12" x14ac:dyDescent="0.3">
      <c r="A102" s="7" t="s">
        <v>1088</v>
      </c>
      <c r="B102" s="6" t="s">
        <v>6714</v>
      </c>
      <c r="G102" s="10" t="s">
        <v>2888</v>
      </c>
      <c r="H102" s="2">
        <v>1</v>
      </c>
      <c r="J102" t="s">
        <v>3300</v>
      </c>
      <c r="K102" t="str">
        <f t="shared" si="1"/>
        <v>CANELA</v>
      </c>
      <c r="L102">
        <v>2</v>
      </c>
    </row>
    <row r="103" spans="1:12" x14ac:dyDescent="0.3">
      <c r="A103" s="7" t="s">
        <v>1100</v>
      </c>
      <c r="B103" s="6" t="s">
        <v>6716</v>
      </c>
      <c r="G103" s="10" t="s">
        <v>602</v>
      </c>
      <c r="H103" s="2">
        <v>6</v>
      </c>
      <c r="J103" t="s">
        <v>1201</v>
      </c>
      <c r="K103" t="str">
        <f t="shared" si="1"/>
        <v>SALSA DE SOYA</v>
      </c>
      <c r="L103">
        <v>2</v>
      </c>
    </row>
    <row r="104" spans="1:12" x14ac:dyDescent="0.3">
      <c r="A104" s="7" t="s">
        <v>1112</v>
      </c>
      <c r="B104" s="6" t="s">
        <v>6718</v>
      </c>
      <c r="G104" s="10" t="s">
        <v>616</v>
      </c>
      <c r="H104" s="2">
        <v>5</v>
      </c>
      <c r="J104" t="s">
        <v>2194</v>
      </c>
      <c r="K104" t="str">
        <f t="shared" si="1"/>
        <v>SALSA DE AJÍ</v>
      </c>
      <c r="L104">
        <v>2</v>
      </c>
    </row>
    <row r="105" spans="1:12" x14ac:dyDescent="0.3">
      <c r="A105" s="7" t="s">
        <v>1124</v>
      </c>
      <c r="B105" s="6" t="s">
        <v>6721</v>
      </c>
      <c r="G105" s="10" t="s">
        <v>2693</v>
      </c>
      <c r="H105" s="2">
        <v>1</v>
      </c>
      <c r="J105" t="s">
        <v>1199</v>
      </c>
      <c r="K105" t="str">
        <f t="shared" si="1"/>
        <v>MAYONESA</v>
      </c>
      <c r="L105">
        <v>2</v>
      </c>
    </row>
    <row r="106" spans="1:12" x14ac:dyDescent="0.3">
      <c r="A106" s="7" t="s">
        <v>1138</v>
      </c>
      <c r="B106" s="6" t="s">
        <v>6726</v>
      </c>
      <c r="G106" s="10" t="s">
        <v>615</v>
      </c>
      <c r="H106" s="2">
        <v>4</v>
      </c>
      <c r="J106" t="s">
        <v>1200</v>
      </c>
      <c r="K106" t="str">
        <f t="shared" si="1"/>
        <v>PASTA DE TOMATE</v>
      </c>
      <c r="L106">
        <v>2</v>
      </c>
    </row>
    <row r="107" spans="1:12" x14ac:dyDescent="0.3">
      <c r="A107" s="7" t="s">
        <v>1200</v>
      </c>
      <c r="B107" s="6" t="s">
        <v>3365</v>
      </c>
      <c r="G107" s="10" t="s">
        <v>4868</v>
      </c>
      <c r="H107" s="2">
        <v>1</v>
      </c>
      <c r="J107" t="s">
        <v>2826</v>
      </c>
      <c r="K107" t="str">
        <f t="shared" si="1"/>
        <v>LICORES</v>
      </c>
      <c r="L107">
        <v>2</v>
      </c>
    </row>
    <row r="108" spans="1:12" x14ac:dyDescent="0.3">
      <c r="A108" s="7" t="s">
        <v>1212</v>
      </c>
      <c r="B108" s="6" t="s">
        <v>1853</v>
      </c>
      <c r="G108" s="10" t="s">
        <v>7060</v>
      </c>
      <c r="H108" s="2">
        <v>1</v>
      </c>
      <c r="J108" t="s">
        <v>1304</v>
      </c>
      <c r="K108" t="str">
        <f t="shared" si="1"/>
        <v>HILO DE POLIÉSTER PARA TELA</v>
      </c>
      <c r="L108">
        <v>2</v>
      </c>
    </row>
    <row r="109" spans="1:12" x14ac:dyDescent="0.3">
      <c r="A109" s="7" t="s">
        <v>217</v>
      </c>
      <c r="B109" s="6" t="s">
        <v>6703</v>
      </c>
      <c r="G109" s="10" t="s">
        <v>198</v>
      </c>
      <c r="H109" s="2">
        <v>1</v>
      </c>
      <c r="J109" t="s">
        <v>929</v>
      </c>
      <c r="K109" t="str">
        <f t="shared" si="1"/>
        <v>MEDIAS DE FÚTBOL</v>
      </c>
      <c r="L109">
        <v>2</v>
      </c>
    </row>
    <row r="110" spans="1:12" x14ac:dyDescent="0.3">
      <c r="A110" s="7" t="s">
        <v>1099</v>
      </c>
      <c r="B110" s="6" t="s">
        <v>6715</v>
      </c>
      <c r="G110" s="10" t="s">
        <v>197</v>
      </c>
      <c r="H110" s="2">
        <v>1</v>
      </c>
      <c r="J110" t="s">
        <v>2473</v>
      </c>
      <c r="K110" t="str">
        <f t="shared" si="1"/>
        <v>CAMISETA DEPORTIVA DE HOMBRE</v>
      </c>
      <c r="L110">
        <v>2</v>
      </c>
    </row>
    <row r="111" spans="1:12" x14ac:dyDescent="0.3">
      <c r="A111" s="7" t="s">
        <v>1253</v>
      </c>
      <c r="B111" s="6" t="s">
        <v>6732</v>
      </c>
      <c r="G111" s="10" t="s">
        <v>879</v>
      </c>
      <c r="H111" s="2">
        <v>6</v>
      </c>
      <c r="J111" t="s">
        <v>2475</v>
      </c>
      <c r="K111" t="str">
        <f t="shared" si="1"/>
        <v>CAMISETA DE HOMBRE DE ALGODÓN</v>
      </c>
      <c r="L111">
        <v>2</v>
      </c>
    </row>
    <row r="112" spans="1:12" x14ac:dyDescent="0.3">
      <c r="A112" s="7" t="s">
        <v>540</v>
      </c>
      <c r="B112" s="6" t="s">
        <v>2205</v>
      </c>
      <c r="G112" s="10" t="s">
        <v>217</v>
      </c>
      <c r="H112" s="2">
        <v>6</v>
      </c>
      <c r="J112" t="s">
        <v>2471</v>
      </c>
      <c r="K112" t="str">
        <f t="shared" si="1"/>
        <v>BLUSA PARA MUJER</v>
      </c>
      <c r="L112">
        <v>2</v>
      </c>
    </row>
    <row r="113" spans="1:12" x14ac:dyDescent="0.3">
      <c r="A113" s="7" t="s">
        <v>636</v>
      </c>
      <c r="B113" s="6" t="s">
        <v>3354</v>
      </c>
      <c r="G113" s="10" t="s">
        <v>6897</v>
      </c>
      <c r="H113" s="2">
        <v>1</v>
      </c>
      <c r="J113" t="s">
        <v>1740</v>
      </c>
      <c r="K113" t="str">
        <f t="shared" si="1"/>
        <v>INSECTICIDAS AGRICOLAS</v>
      </c>
      <c r="L113">
        <v>2</v>
      </c>
    </row>
    <row r="114" spans="1:12" x14ac:dyDescent="0.3">
      <c r="A114" s="7" t="s">
        <v>1326</v>
      </c>
      <c r="B114" s="6" t="s">
        <v>6738</v>
      </c>
      <c r="G114" s="10" t="s">
        <v>1276</v>
      </c>
      <c r="H114" s="2">
        <v>3</v>
      </c>
      <c r="J114" t="s">
        <v>7034</v>
      </c>
      <c r="K114" t="str">
        <f t="shared" si="1"/>
        <v>HERBICIDA PARA MALEZA</v>
      </c>
      <c r="L114">
        <v>2</v>
      </c>
    </row>
    <row r="115" spans="1:12" x14ac:dyDescent="0.3">
      <c r="A115" s="7" t="s">
        <v>1150</v>
      </c>
      <c r="B115" s="6" t="s">
        <v>6728</v>
      </c>
      <c r="G115" s="10" t="s">
        <v>1277</v>
      </c>
      <c r="H115" s="2">
        <v>3</v>
      </c>
      <c r="J115" t="s">
        <v>7037</v>
      </c>
      <c r="K115" t="str">
        <f t="shared" si="1"/>
        <v xml:space="preserve">MATAGUSANOS </v>
      </c>
      <c r="L115">
        <v>2</v>
      </c>
    </row>
    <row r="116" spans="1:12" x14ac:dyDescent="0.3">
      <c r="A116" s="7" t="s">
        <v>792</v>
      </c>
      <c r="B116" s="6" t="s">
        <v>6693</v>
      </c>
      <c r="G116" s="10" t="s">
        <v>2317</v>
      </c>
      <c r="H116" s="2">
        <v>1</v>
      </c>
      <c r="J116" t="s">
        <v>6788</v>
      </c>
      <c r="K116" t="str">
        <f t="shared" si="1"/>
        <v>PIGMENTOS</v>
      </c>
      <c r="L116">
        <v>2</v>
      </c>
    </row>
    <row r="117" spans="1:12" x14ac:dyDescent="0.3">
      <c r="A117" s="7" t="s">
        <v>792</v>
      </c>
      <c r="B117" s="6" t="s">
        <v>6693</v>
      </c>
      <c r="G117" s="10" t="s">
        <v>3123</v>
      </c>
      <c r="H117" s="2">
        <v>1</v>
      </c>
      <c r="J117" t="s">
        <v>856</v>
      </c>
      <c r="K117" t="str">
        <f t="shared" si="1"/>
        <v>TINTA DE COLORES</v>
      </c>
      <c r="L117">
        <v>2</v>
      </c>
    </row>
    <row r="118" spans="1:12" x14ac:dyDescent="0.3">
      <c r="A118" s="7" t="s">
        <v>869</v>
      </c>
      <c r="B118" s="6" t="s">
        <v>6701</v>
      </c>
      <c r="G118" s="10" t="s">
        <v>673</v>
      </c>
      <c r="H118" s="2">
        <v>7</v>
      </c>
      <c r="J118" t="s">
        <v>2714</v>
      </c>
      <c r="K118" t="str">
        <f t="shared" si="1"/>
        <v>MULTIVITAMINICO</v>
      </c>
      <c r="L118">
        <v>2</v>
      </c>
    </row>
    <row r="119" spans="1:12" x14ac:dyDescent="0.3">
      <c r="A119" s="7" t="s">
        <v>889</v>
      </c>
      <c r="B119" s="6" t="s">
        <v>2902</v>
      </c>
      <c r="G119" s="10" t="s">
        <v>7040</v>
      </c>
      <c r="H119" s="2">
        <v>1</v>
      </c>
      <c r="J119" t="s">
        <v>986</v>
      </c>
      <c r="K119" t="str">
        <f t="shared" si="1"/>
        <v>DESODORANTE PARA BAÑO</v>
      </c>
      <c r="L119">
        <v>2</v>
      </c>
    </row>
    <row r="120" spans="1:12" x14ac:dyDescent="0.3">
      <c r="A120" s="7" t="s">
        <v>180</v>
      </c>
      <c r="B120" s="6" t="s">
        <v>6705</v>
      </c>
      <c r="G120" s="10" t="s">
        <v>1336</v>
      </c>
      <c r="H120" s="2">
        <v>10</v>
      </c>
      <c r="J120" t="s">
        <v>6773</v>
      </c>
      <c r="K120" t="str">
        <f t="shared" si="1"/>
        <v>ACETONA</v>
      </c>
      <c r="L120">
        <v>2</v>
      </c>
    </row>
    <row r="121" spans="1:12" x14ac:dyDescent="0.3">
      <c r="A121" s="7" t="s">
        <v>792</v>
      </c>
      <c r="B121" s="6" t="s">
        <v>6693</v>
      </c>
      <c r="G121" s="10" t="s">
        <v>1740</v>
      </c>
      <c r="H121" s="2">
        <v>2</v>
      </c>
      <c r="J121" t="s">
        <v>712</v>
      </c>
      <c r="K121" t="str">
        <f t="shared" si="1"/>
        <v>GEL ANTIBACTERIAL</v>
      </c>
      <c r="L121">
        <v>2</v>
      </c>
    </row>
    <row r="122" spans="1:12" x14ac:dyDescent="0.3">
      <c r="A122" s="7" t="s">
        <v>889</v>
      </c>
      <c r="B122" s="6" t="s">
        <v>2902</v>
      </c>
      <c r="G122" s="10" t="s">
        <v>6864</v>
      </c>
      <c r="H122" s="2">
        <v>1</v>
      </c>
      <c r="J122" t="s">
        <v>6965</v>
      </c>
      <c r="K122" t="str">
        <f t="shared" si="1"/>
        <v>NEUMÁTICO PARA AUTOMÓVIL</v>
      </c>
      <c r="L122">
        <v>2</v>
      </c>
    </row>
    <row r="123" spans="1:12" x14ac:dyDescent="0.3">
      <c r="A123" s="7" t="s">
        <v>564</v>
      </c>
      <c r="B123" s="6" t="s">
        <v>2655</v>
      </c>
      <c r="G123" s="10" t="s">
        <v>7034</v>
      </c>
      <c r="H123" s="2">
        <v>2</v>
      </c>
      <c r="J123" t="s">
        <v>6969</v>
      </c>
      <c r="K123" t="str">
        <f t="shared" si="1"/>
        <v>NEUMÁTICO PARA CAMIONETA</v>
      </c>
      <c r="L123">
        <v>2</v>
      </c>
    </row>
    <row r="124" spans="1:12" x14ac:dyDescent="0.3">
      <c r="A124" s="7" t="s">
        <v>1088</v>
      </c>
      <c r="B124" s="6" t="s">
        <v>6714</v>
      </c>
      <c r="G124" s="10" t="s">
        <v>7037</v>
      </c>
      <c r="H124" s="2">
        <v>2</v>
      </c>
      <c r="J124" t="s">
        <v>6807</v>
      </c>
      <c r="K124" t="str">
        <f t="shared" si="1"/>
        <v>BOTELLAS PLÁSTICAS</v>
      </c>
      <c r="L124">
        <v>2</v>
      </c>
    </row>
    <row r="125" spans="1:12" x14ac:dyDescent="0.3">
      <c r="A125" s="7" t="s">
        <v>1112</v>
      </c>
      <c r="B125" s="6" t="s">
        <v>6718</v>
      </c>
      <c r="G125" s="10" t="s">
        <v>1212</v>
      </c>
      <c r="H125" s="2">
        <v>3</v>
      </c>
      <c r="J125" t="s">
        <v>2540</v>
      </c>
      <c r="K125" t="str">
        <f t="shared" si="1"/>
        <v>TAPAS PLÁSTICAS</v>
      </c>
      <c r="L125">
        <v>2</v>
      </c>
    </row>
    <row r="126" spans="1:12" x14ac:dyDescent="0.3">
      <c r="A126" s="7" t="s">
        <v>1125</v>
      </c>
      <c r="B126" s="6" t="s">
        <v>6722</v>
      </c>
      <c r="G126" s="10" t="s">
        <v>636</v>
      </c>
      <c r="H126" s="2">
        <v>9</v>
      </c>
      <c r="J126" t="s">
        <v>2314</v>
      </c>
      <c r="K126" t="str">
        <f t="shared" si="1"/>
        <v>CARPETA PLÁSTICA/FORROS PLASTICOS</v>
      </c>
      <c r="L126">
        <v>2</v>
      </c>
    </row>
    <row r="127" spans="1:12" x14ac:dyDescent="0.3">
      <c r="A127" s="7" t="s">
        <v>1201</v>
      </c>
      <c r="B127" s="6" t="s">
        <v>2197</v>
      </c>
      <c r="G127" s="10" t="s">
        <v>1944</v>
      </c>
      <c r="H127" s="2">
        <v>1</v>
      </c>
      <c r="J127" t="s">
        <v>3132</v>
      </c>
      <c r="K127" t="str">
        <f t="shared" si="1"/>
        <v>BLOQUES</v>
      </c>
      <c r="L127">
        <v>2</v>
      </c>
    </row>
    <row r="128" spans="1:12" x14ac:dyDescent="0.3">
      <c r="A128" s="7" t="s">
        <v>217</v>
      </c>
      <c r="B128" s="6" t="s">
        <v>6703</v>
      </c>
      <c r="G128" s="10" t="s">
        <v>7081</v>
      </c>
      <c r="H128" s="2">
        <v>1</v>
      </c>
      <c r="J128" t="s">
        <v>1347</v>
      </c>
      <c r="K128" t="str">
        <f t="shared" si="1"/>
        <v>PLACAS ONDULADAS</v>
      </c>
      <c r="L128">
        <v>2</v>
      </c>
    </row>
    <row r="129" spans="1:12" x14ac:dyDescent="0.3">
      <c r="A129" s="7" t="s">
        <v>1254</v>
      </c>
      <c r="B129" s="6" t="s">
        <v>6733</v>
      </c>
      <c r="G129" s="10" t="s">
        <v>7056</v>
      </c>
      <c r="H129" s="2">
        <v>1</v>
      </c>
      <c r="J129" t="s">
        <v>948</v>
      </c>
      <c r="K129" t="str">
        <f t="shared" si="1"/>
        <v>VARILLAS DE ACERO</v>
      </c>
      <c r="L129">
        <v>2</v>
      </c>
    </row>
    <row r="130" spans="1:12" x14ac:dyDescent="0.3">
      <c r="A130" s="7" t="s">
        <v>6768</v>
      </c>
      <c r="B130" s="6" t="s">
        <v>6772</v>
      </c>
      <c r="G130" s="10" t="s">
        <v>6788</v>
      </c>
      <c r="H130" s="2">
        <v>2</v>
      </c>
      <c r="J130" t="s">
        <v>6767</v>
      </c>
      <c r="K130" t="str">
        <f t="shared" si="1"/>
        <v>PERFIL I</v>
      </c>
      <c r="L130">
        <v>2</v>
      </c>
    </row>
    <row r="131" spans="1:12" x14ac:dyDescent="0.3">
      <c r="A131" s="7" t="s">
        <v>793</v>
      </c>
      <c r="B131" s="6" t="s">
        <v>6694</v>
      </c>
      <c r="G131" s="10" t="s">
        <v>1211</v>
      </c>
      <c r="H131" s="2">
        <v>6</v>
      </c>
      <c r="J131" t="s">
        <v>3102</v>
      </c>
      <c r="K131" t="str">
        <f t="shared" ref="K131:K194" si="2">+VLOOKUP(J131,$A$2:$B$617,2,FALSE)</f>
        <v>ESTRUCTURAS METÁLICAS</v>
      </c>
      <c r="L131">
        <v>2</v>
      </c>
    </row>
    <row r="132" spans="1:12" x14ac:dyDescent="0.3">
      <c r="A132" s="7" t="s">
        <v>793</v>
      </c>
      <c r="B132" s="6" t="s">
        <v>6694</v>
      </c>
      <c r="G132" s="10" t="s">
        <v>637</v>
      </c>
      <c r="H132" s="2">
        <v>7</v>
      </c>
      <c r="J132" t="s">
        <v>1025</v>
      </c>
      <c r="K132" t="str">
        <f t="shared" si="2"/>
        <v>POSTES DE ACERO</v>
      </c>
      <c r="L132">
        <v>2</v>
      </c>
    </row>
    <row r="133" spans="1:12" x14ac:dyDescent="0.3">
      <c r="A133" s="7" t="s">
        <v>564</v>
      </c>
      <c r="B133" s="6" t="s">
        <v>2655</v>
      </c>
      <c r="G133" s="10" t="s">
        <v>856</v>
      </c>
      <c r="H133" s="2">
        <v>2</v>
      </c>
      <c r="J133" t="s">
        <v>1150</v>
      </c>
      <c r="K133" t="str">
        <f t="shared" si="2"/>
        <v>CORREAS DE ACERO</v>
      </c>
      <c r="L133">
        <v>2</v>
      </c>
    </row>
    <row r="134" spans="1:12" x14ac:dyDescent="0.3">
      <c r="A134" s="7" t="s">
        <v>1088</v>
      </c>
      <c r="B134" s="6" t="s">
        <v>6714</v>
      </c>
      <c r="G134" s="10" t="s">
        <v>2712</v>
      </c>
      <c r="H134" s="2">
        <v>3</v>
      </c>
      <c r="J134" t="s">
        <v>6803</v>
      </c>
      <c r="K134" t="str">
        <f t="shared" si="2"/>
        <v>TUBOS ESTRUCTURALES</v>
      </c>
      <c r="L134">
        <v>2</v>
      </c>
    </row>
    <row r="135" spans="1:12" x14ac:dyDescent="0.3">
      <c r="A135" s="7" t="s">
        <v>1126</v>
      </c>
      <c r="B135" s="6" t="s">
        <v>6723</v>
      </c>
      <c r="G135" s="10" t="s">
        <v>699</v>
      </c>
      <c r="H135" s="2">
        <v>5</v>
      </c>
      <c r="J135" t="s">
        <v>949</v>
      </c>
      <c r="K135" t="str">
        <f t="shared" si="2"/>
        <v>MALLA DE CERRAMIENTO</v>
      </c>
      <c r="L135">
        <v>2</v>
      </c>
    </row>
    <row r="136" spans="1:12" x14ac:dyDescent="0.3">
      <c r="A136" s="7" t="s">
        <v>1255</v>
      </c>
      <c r="B136" s="6" t="s">
        <v>6734</v>
      </c>
      <c r="G136" s="10" t="s">
        <v>6765</v>
      </c>
      <c r="H136" s="2">
        <v>1</v>
      </c>
      <c r="J136" t="s">
        <v>1038</v>
      </c>
      <c r="K136" t="str">
        <f t="shared" si="2"/>
        <v>HORNO ELECTRICO</v>
      </c>
      <c r="L136">
        <v>2</v>
      </c>
    </row>
    <row r="137" spans="1:12" x14ac:dyDescent="0.3">
      <c r="A137" s="7" t="s">
        <v>1521</v>
      </c>
      <c r="B137" s="6" t="s">
        <v>1522</v>
      </c>
      <c r="G137" s="10" t="s">
        <v>7010</v>
      </c>
      <c r="H137" s="2">
        <v>1</v>
      </c>
      <c r="J137" t="s">
        <v>6800</v>
      </c>
      <c r="K137" t="str">
        <f t="shared" si="2"/>
        <v>CABLE DE MEDIA TENSIÓN</v>
      </c>
      <c r="L137">
        <v>2</v>
      </c>
    </row>
    <row r="138" spans="1:12" x14ac:dyDescent="0.3">
      <c r="A138" s="7" t="s">
        <v>1087</v>
      </c>
      <c r="B138" s="6" t="s">
        <v>1523</v>
      </c>
      <c r="G138" s="10" t="s">
        <v>6877</v>
      </c>
      <c r="H138" s="2">
        <v>3</v>
      </c>
      <c r="J138" t="s">
        <v>1063</v>
      </c>
      <c r="K138" t="str">
        <f t="shared" si="2"/>
        <v>PALMA AFRICANA</v>
      </c>
      <c r="L138">
        <v>1</v>
      </c>
    </row>
    <row r="139" spans="1:12" x14ac:dyDescent="0.3">
      <c r="A139" s="5" t="s">
        <v>602</v>
      </c>
      <c r="B139" s="5" t="s">
        <v>2814</v>
      </c>
      <c r="G139" s="10" t="s">
        <v>1254</v>
      </c>
      <c r="H139" s="2">
        <v>1</v>
      </c>
      <c r="J139" t="s">
        <v>1138</v>
      </c>
      <c r="K139" t="str">
        <f t="shared" si="2"/>
        <v>CEMENTO ASFALTICO</v>
      </c>
      <c r="L139">
        <v>1</v>
      </c>
    </row>
    <row r="140" spans="1:12" x14ac:dyDescent="0.3">
      <c r="A140" s="5" t="s">
        <v>2444</v>
      </c>
      <c r="B140" s="5" t="s">
        <v>2445</v>
      </c>
      <c r="G140" s="10" t="s">
        <v>1252</v>
      </c>
      <c r="H140" s="2">
        <v>1</v>
      </c>
      <c r="J140" t="s">
        <v>6833</v>
      </c>
      <c r="K140" t="str">
        <f t="shared" si="2"/>
        <v>CARBONATO DE CALCIO MINERÍA</v>
      </c>
      <c r="L140">
        <v>1</v>
      </c>
    </row>
    <row r="141" spans="1:12" x14ac:dyDescent="0.3">
      <c r="A141" s="5" t="s">
        <v>540</v>
      </c>
      <c r="B141" s="5" t="s">
        <v>2205</v>
      </c>
      <c r="G141" s="10" t="s">
        <v>1253</v>
      </c>
      <c r="H141" s="2">
        <v>1</v>
      </c>
      <c r="J141" t="s">
        <v>6752</v>
      </c>
      <c r="K141" t="str">
        <f t="shared" si="2"/>
        <v>ATÚN ENTERO CONGELADO DE EXPORTACIÓN</v>
      </c>
      <c r="L141">
        <v>1</v>
      </c>
    </row>
    <row r="142" spans="1:12" x14ac:dyDescent="0.3">
      <c r="A142" s="5" t="s">
        <v>2506</v>
      </c>
      <c r="B142" s="5" t="s">
        <v>2507</v>
      </c>
      <c r="G142" s="10" t="s">
        <v>2858</v>
      </c>
      <c r="H142" s="2">
        <v>1</v>
      </c>
      <c r="J142" t="s">
        <v>7051</v>
      </c>
      <c r="K142" t="str">
        <f t="shared" si="2"/>
        <v xml:space="preserve">PESCADO ENTERO CONGELADO DE EXPORTACIÓN </v>
      </c>
      <c r="L142">
        <v>1</v>
      </c>
    </row>
    <row r="143" spans="1:12" x14ac:dyDescent="0.3">
      <c r="A143" s="5" t="s">
        <v>2856</v>
      </c>
      <c r="B143" s="5" t="s">
        <v>2857</v>
      </c>
      <c r="G143" s="10" t="s">
        <v>2864</v>
      </c>
      <c r="H143" s="2">
        <v>1</v>
      </c>
      <c r="J143" t="s">
        <v>7076</v>
      </c>
      <c r="K143" t="str">
        <f t="shared" si="2"/>
        <v xml:space="preserve">CAMARÓN CONGELADO </v>
      </c>
      <c r="L143">
        <v>1</v>
      </c>
    </row>
    <row r="144" spans="1:12" x14ac:dyDescent="0.3">
      <c r="A144" s="5" t="s">
        <v>564</v>
      </c>
      <c r="B144" s="5" t="s">
        <v>2655</v>
      </c>
      <c r="G144" s="10" t="s">
        <v>2856</v>
      </c>
      <c r="H144" s="2">
        <v>1</v>
      </c>
      <c r="J144" t="s">
        <v>7032</v>
      </c>
      <c r="K144" t="str">
        <f t="shared" si="2"/>
        <v>CAMARÓN CONGELADO DE EXPORTACIÓN</v>
      </c>
      <c r="L144">
        <v>1</v>
      </c>
    </row>
    <row r="145" spans="1:12" x14ac:dyDescent="0.3">
      <c r="A145" s="5" t="s">
        <v>2888</v>
      </c>
      <c r="B145" s="5" t="s">
        <v>2889</v>
      </c>
      <c r="G145" s="10" t="s">
        <v>2860</v>
      </c>
      <c r="H145" s="2">
        <v>1</v>
      </c>
      <c r="J145" t="s">
        <v>6998</v>
      </c>
      <c r="K145" t="str">
        <f t="shared" si="2"/>
        <v xml:space="preserve">CAMARÓN CONGELADO DE EXPORTACIÓN </v>
      </c>
      <c r="L145">
        <v>1</v>
      </c>
    </row>
    <row r="146" spans="1:12" x14ac:dyDescent="0.3">
      <c r="A146" s="5" t="s">
        <v>2469</v>
      </c>
      <c r="B146" s="5" t="s">
        <v>2470</v>
      </c>
      <c r="G146" s="10" t="s">
        <v>2862</v>
      </c>
      <c r="H146" s="2">
        <v>1</v>
      </c>
      <c r="J146" t="s">
        <v>6984</v>
      </c>
      <c r="K146" t="str">
        <f t="shared" si="2"/>
        <v xml:space="preserve">ACEITE DE PESCADO </v>
      </c>
      <c r="L146">
        <v>1</v>
      </c>
    </row>
    <row r="147" spans="1:12" x14ac:dyDescent="0.3">
      <c r="A147" s="5" t="s">
        <v>889</v>
      </c>
      <c r="B147" s="5" t="s">
        <v>2902</v>
      </c>
      <c r="G147" s="10" t="s">
        <v>1255</v>
      </c>
      <c r="H147" s="2">
        <v>1</v>
      </c>
      <c r="J147" t="s">
        <v>845</v>
      </c>
      <c r="K147" t="str">
        <f t="shared" si="2"/>
        <v>ACEITE DE SOYA</v>
      </c>
      <c r="L147">
        <v>1</v>
      </c>
    </row>
    <row r="148" spans="1:12" x14ac:dyDescent="0.3">
      <c r="A148" s="5" t="s">
        <v>616</v>
      </c>
      <c r="B148" s="5" t="s">
        <v>2815</v>
      </c>
      <c r="G148" s="10" t="s">
        <v>2714</v>
      </c>
      <c r="H148" s="2">
        <v>2</v>
      </c>
      <c r="J148" t="s">
        <v>7030</v>
      </c>
      <c r="K148" t="str">
        <f t="shared" si="2"/>
        <v>ACEITE CRUDO DE PALMA AFRICANA</v>
      </c>
      <c r="L148">
        <v>1</v>
      </c>
    </row>
    <row r="149" spans="1:12" x14ac:dyDescent="0.3">
      <c r="A149" s="5" t="s">
        <v>1434</v>
      </c>
      <c r="B149" s="5" t="s">
        <v>1435</v>
      </c>
      <c r="G149" s="10" t="s">
        <v>7007</v>
      </c>
      <c r="H149" s="2">
        <v>1</v>
      </c>
      <c r="J149" t="s">
        <v>7031</v>
      </c>
      <c r="K149" t="str">
        <f t="shared" si="2"/>
        <v>ACEITE DE PALMISTE</v>
      </c>
      <c r="L149">
        <v>1</v>
      </c>
    </row>
    <row r="150" spans="1:12" x14ac:dyDescent="0.3">
      <c r="A150" s="5" t="s">
        <v>2483</v>
      </c>
      <c r="B150" s="5" t="s">
        <v>2484</v>
      </c>
      <c r="G150" s="10" t="s">
        <v>6766</v>
      </c>
      <c r="H150" s="2">
        <v>4</v>
      </c>
      <c r="J150" t="s">
        <v>2725</v>
      </c>
      <c r="K150" t="str">
        <f t="shared" si="2"/>
        <v>HARINA DE CEBADA</v>
      </c>
      <c r="L150">
        <v>1</v>
      </c>
    </row>
    <row r="151" spans="1:12" x14ac:dyDescent="0.3">
      <c r="A151" s="5" t="s">
        <v>2858</v>
      </c>
      <c r="B151" s="5" t="s">
        <v>2859</v>
      </c>
      <c r="G151" s="10" t="s">
        <v>6761</v>
      </c>
      <c r="H151" s="2">
        <v>1</v>
      </c>
      <c r="J151" t="s">
        <v>1122</v>
      </c>
      <c r="K151" t="str">
        <f t="shared" si="2"/>
        <v>MAICENA</v>
      </c>
      <c r="L151">
        <v>1</v>
      </c>
    </row>
    <row r="152" spans="1:12" x14ac:dyDescent="0.3">
      <c r="A152" s="5" t="s">
        <v>540</v>
      </c>
      <c r="B152" s="5" t="s">
        <v>2205</v>
      </c>
      <c r="G152" s="10" t="s">
        <v>7073</v>
      </c>
      <c r="H152" s="2">
        <v>1</v>
      </c>
      <c r="J152" t="s">
        <v>711</v>
      </c>
      <c r="K152" t="str">
        <f t="shared" si="2"/>
        <v>MANTECA DE CACAO</v>
      </c>
      <c r="L152">
        <v>1</v>
      </c>
    </row>
    <row r="153" spans="1:12" x14ac:dyDescent="0.3">
      <c r="A153" s="5" t="s">
        <v>616</v>
      </c>
      <c r="B153" s="5" t="s">
        <v>2815</v>
      </c>
      <c r="G153" s="10" t="s">
        <v>7025</v>
      </c>
      <c r="H153" s="2">
        <v>1</v>
      </c>
      <c r="J153" t="s">
        <v>120</v>
      </c>
      <c r="K153" t="str">
        <f t="shared" si="2"/>
        <v>ESPAGUETI</v>
      </c>
      <c r="L153">
        <v>1</v>
      </c>
    </row>
    <row r="154" spans="1:12" x14ac:dyDescent="0.3">
      <c r="A154" s="5" t="s">
        <v>2471</v>
      </c>
      <c r="B154" s="5" t="s">
        <v>2472</v>
      </c>
      <c r="G154" s="10" t="s">
        <v>7019</v>
      </c>
      <c r="H154" s="2">
        <v>1</v>
      </c>
      <c r="J154" t="s">
        <v>3178</v>
      </c>
      <c r="K154" t="str">
        <f t="shared" si="2"/>
        <v>TÉ VERDE</v>
      </c>
      <c r="L154">
        <v>1</v>
      </c>
    </row>
    <row r="155" spans="1:12" x14ac:dyDescent="0.3">
      <c r="A155" s="5" t="s">
        <v>1436</v>
      </c>
      <c r="B155" s="5" t="s">
        <v>1437</v>
      </c>
      <c r="G155" s="10" t="s">
        <v>7013</v>
      </c>
      <c r="H155" s="2">
        <v>1</v>
      </c>
      <c r="J155" t="s">
        <v>3250</v>
      </c>
      <c r="K155" t="str">
        <f t="shared" si="2"/>
        <v>MOSTAZA</v>
      </c>
      <c r="L155">
        <v>1</v>
      </c>
    </row>
    <row r="156" spans="1:12" x14ac:dyDescent="0.3">
      <c r="A156" s="5" t="s">
        <v>2469</v>
      </c>
      <c r="B156" s="5" t="s">
        <v>2470</v>
      </c>
      <c r="G156" s="10" t="s">
        <v>6763</v>
      </c>
      <c r="H156" s="2">
        <v>1</v>
      </c>
      <c r="J156" t="s">
        <v>122</v>
      </c>
      <c r="K156" t="str">
        <f t="shared" si="2"/>
        <v>CONDIMENTOS Y SAZONADORES EN POLVO</v>
      </c>
      <c r="L156">
        <v>1</v>
      </c>
    </row>
    <row r="157" spans="1:12" x14ac:dyDescent="0.3">
      <c r="A157" s="5" t="s">
        <v>2860</v>
      </c>
      <c r="B157" s="5" t="s">
        <v>2861</v>
      </c>
      <c r="G157" s="10" t="s">
        <v>7016</v>
      </c>
      <c r="H157" s="2">
        <v>1</v>
      </c>
      <c r="J157" t="s">
        <v>1123</v>
      </c>
      <c r="K157" t="str">
        <f t="shared" si="2"/>
        <v>LEVADURA</v>
      </c>
      <c r="L157">
        <v>1</v>
      </c>
    </row>
    <row r="158" spans="1:12" x14ac:dyDescent="0.3">
      <c r="A158" s="5" t="s">
        <v>540</v>
      </c>
      <c r="B158" s="5" t="s">
        <v>2205</v>
      </c>
      <c r="G158" s="10" t="s">
        <v>792</v>
      </c>
      <c r="H158" s="2">
        <v>4</v>
      </c>
      <c r="J158" t="s">
        <v>1124</v>
      </c>
      <c r="K158" t="str">
        <f t="shared" si="2"/>
        <v>POLVO DE HORNEAR</v>
      </c>
      <c r="L158">
        <v>1</v>
      </c>
    </row>
    <row r="159" spans="1:12" x14ac:dyDescent="0.3">
      <c r="A159" s="5" t="s">
        <v>615</v>
      </c>
      <c r="B159" s="5" t="s">
        <v>2702</v>
      </c>
      <c r="G159" s="10" t="s">
        <v>793</v>
      </c>
      <c r="H159" s="2">
        <v>3</v>
      </c>
      <c r="J159" t="s">
        <v>1125</v>
      </c>
      <c r="K159" t="str">
        <f t="shared" si="2"/>
        <v>GELATINA EN POLVO</v>
      </c>
      <c r="L159">
        <v>1</v>
      </c>
    </row>
    <row r="160" spans="1:12" x14ac:dyDescent="0.3">
      <c r="A160" s="5" t="s">
        <v>2473</v>
      </c>
      <c r="B160" s="5" t="s">
        <v>2474</v>
      </c>
      <c r="G160" s="10" t="s">
        <v>674</v>
      </c>
      <c r="H160" s="2">
        <v>4</v>
      </c>
      <c r="J160" t="s">
        <v>1126</v>
      </c>
      <c r="K160" t="str">
        <f t="shared" si="2"/>
        <v>FLAN EN POLVO</v>
      </c>
      <c r="L160">
        <v>1</v>
      </c>
    </row>
    <row r="161" spans="1:12" x14ac:dyDescent="0.3">
      <c r="A161" s="5" t="s">
        <v>2826</v>
      </c>
      <c r="B161" s="5" t="s">
        <v>2827</v>
      </c>
      <c r="G161" s="10" t="s">
        <v>986</v>
      </c>
      <c r="H161" s="2">
        <v>2</v>
      </c>
      <c r="J161" t="s">
        <v>3175</v>
      </c>
      <c r="K161" t="str">
        <f t="shared" si="2"/>
        <v>TÉ DE CEDRÓN</v>
      </c>
      <c r="L161">
        <v>1</v>
      </c>
    </row>
    <row r="162" spans="1:12" x14ac:dyDescent="0.3">
      <c r="A162" s="5" t="s">
        <v>1720</v>
      </c>
      <c r="B162" s="5" t="s">
        <v>1721</v>
      </c>
      <c r="G162" s="10" t="s">
        <v>1759</v>
      </c>
      <c r="H162" s="2">
        <v>1</v>
      </c>
      <c r="J162" t="s">
        <v>3177</v>
      </c>
      <c r="K162" t="str">
        <f t="shared" si="2"/>
        <v>TÉ DE MANZANILLA</v>
      </c>
      <c r="L162">
        <v>1</v>
      </c>
    </row>
    <row r="163" spans="1:12" x14ac:dyDescent="0.3">
      <c r="A163" s="5" t="s">
        <v>2862</v>
      </c>
      <c r="B163" s="5" t="s">
        <v>2863</v>
      </c>
      <c r="G163" s="10" t="s">
        <v>661</v>
      </c>
      <c r="H163" s="2">
        <v>10</v>
      </c>
      <c r="J163" t="s">
        <v>3176</v>
      </c>
      <c r="K163" t="str">
        <f t="shared" si="2"/>
        <v>TÉ DE HIERBA LUISA</v>
      </c>
      <c r="L163">
        <v>1</v>
      </c>
    </row>
    <row r="164" spans="1:12" x14ac:dyDescent="0.3">
      <c r="A164" s="5" t="s">
        <v>2890</v>
      </c>
      <c r="B164" s="5" t="s">
        <v>2891</v>
      </c>
      <c r="G164" s="10" t="s">
        <v>671</v>
      </c>
      <c r="H164" s="2">
        <v>7</v>
      </c>
      <c r="J164" t="s">
        <v>1432</v>
      </c>
      <c r="K164" t="str">
        <f t="shared" si="2"/>
        <v>AGUARDIENTE DE CAÑA</v>
      </c>
      <c r="L164">
        <v>1</v>
      </c>
    </row>
    <row r="165" spans="1:12" x14ac:dyDescent="0.3">
      <c r="A165" s="5" t="s">
        <v>1720</v>
      </c>
      <c r="B165" s="5" t="s">
        <v>1721</v>
      </c>
      <c r="G165" s="10" t="s">
        <v>672</v>
      </c>
      <c r="H165" s="2">
        <v>4</v>
      </c>
      <c r="J165" t="s">
        <v>7044</v>
      </c>
      <c r="K165" t="str">
        <f t="shared" si="2"/>
        <v>CREMA DE LICOR CACAO</v>
      </c>
      <c r="L165">
        <v>1</v>
      </c>
    </row>
    <row r="166" spans="1:12" x14ac:dyDescent="0.3">
      <c r="A166" s="5" t="s">
        <v>2864</v>
      </c>
      <c r="B166" s="5" t="s">
        <v>2865</v>
      </c>
      <c r="G166" s="10" t="s">
        <v>1087</v>
      </c>
      <c r="H166" s="2">
        <v>3</v>
      </c>
      <c r="J166" t="s">
        <v>2420</v>
      </c>
      <c r="K166" t="str">
        <f t="shared" si="2"/>
        <v>AGUA NATURAL</v>
      </c>
      <c r="L166">
        <v>1</v>
      </c>
    </row>
    <row r="167" spans="1:12" x14ac:dyDescent="0.3">
      <c r="A167" s="5" t="s">
        <v>2475</v>
      </c>
      <c r="B167" s="5" t="s">
        <v>2476</v>
      </c>
      <c r="G167" s="10" t="s">
        <v>6773</v>
      </c>
      <c r="H167" s="2">
        <v>2</v>
      </c>
      <c r="J167" t="s">
        <v>2615</v>
      </c>
      <c r="K167" t="str">
        <f t="shared" si="2"/>
        <v>GASEOSA</v>
      </c>
      <c r="L167">
        <v>1</v>
      </c>
    </row>
    <row r="168" spans="1:12" x14ac:dyDescent="0.3">
      <c r="A168" s="5" t="s">
        <v>699</v>
      </c>
      <c r="B168" s="5" t="s">
        <v>6730</v>
      </c>
      <c r="G168" s="10" t="s">
        <v>1521</v>
      </c>
      <c r="H168" s="2">
        <v>3</v>
      </c>
      <c r="J168" t="s">
        <v>1305</v>
      </c>
      <c r="K168" t="str">
        <f t="shared" si="2"/>
        <v>HILO DE POLIÉSTER PARA COSER</v>
      </c>
      <c r="L168">
        <v>1</v>
      </c>
    </row>
    <row r="169" spans="1:12" x14ac:dyDescent="0.3">
      <c r="A169" s="5" t="s">
        <v>6788</v>
      </c>
      <c r="B169" s="5" t="s">
        <v>6789</v>
      </c>
      <c r="G169" s="10" t="s">
        <v>712</v>
      </c>
      <c r="H169" s="2">
        <v>2</v>
      </c>
      <c r="J169" t="s">
        <v>541</v>
      </c>
      <c r="K169" t="str">
        <f t="shared" si="2"/>
        <v>ALMOHADA</v>
      </c>
      <c r="L169">
        <v>1</v>
      </c>
    </row>
    <row r="170" spans="1:12" x14ac:dyDescent="0.3">
      <c r="A170" s="3" t="s">
        <v>2712</v>
      </c>
      <c r="B170" s="3" t="s">
        <v>7070</v>
      </c>
      <c r="G170" s="10" t="s">
        <v>1099</v>
      </c>
      <c r="H170" s="2">
        <v>3</v>
      </c>
      <c r="J170" t="s">
        <v>2453</v>
      </c>
      <c r="K170" t="str">
        <f t="shared" si="2"/>
        <v>CONJUNTO PARA HOMBRE</v>
      </c>
      <c r="L170">
        <v>1</v>
      </c>
    </row>
    <row r="171" spans="1:12" x14ac:dyDescent="0.3">
      <c r="A171" s="3" t="s">
        <v>1277</v>
      </c>
      <c r="B171" s="3" t="s">
        <v>6736</v>
      </c>
      <c r="G171" s="10" t="s">
        <v>1100</v>
      </c>
      <c r="H171" s="2">
        <v>4</v>
      </c>
      <c r="J171" t="s">
        <v>2457</v>
      </c>
      <c r="K171" t="str">
        <f t="shared" si="2"/>
        <v>CAMISETA DE  MUJER POLIESTER</v>
      </c>
      <c r="L171">
        <v>1</v>
      </c>
    </row>
    <row r="172" spans="1:12" x14ac:dyDescent="0.3">
      <c r="A172" s="5" t="s">
        <v>4828</v>
      </c>
      <c r="B172" s="5" t="s">
        <v>4829</v>
      </c>
      <c r="G172" s="10" t="s">
        <v>1088</v>
      </c>
      <c r="H172" s="2">
        <v>5</v>
      </c>
      <c r="J172" t="s">
        <v>1722</v>
      </c>
      <c r="K172" t="str">
        <f t="shared" si="2"/>
        <v>PIJAMAS DE MUJER SINTÉTICO</v>
      </c>
      <c r="L172">
        <v>1</v>
      </c>
    </row>
    <row r="173" spans="1:12" x14ac:dyDescent="0.3">
      <c r="A173" s="3" t="s">
        <v>7065</v>
      </c>
      <c r="B173" s="3" t="s">
        <v>7066</v>
      </c>
      <c r="G173" s="10" t="s">
        <v>2248</v>
      </c>
      <c r="H173" s="2">
        <v>6</v>
      </c>
      <c r="J173" t="s">
        <v>2455</v>
      </c>
      <c r="K173" t="str">
        <f t="shared" si="2"/>
        <v>CONJUNTO PARA MUJER SINTETICO(CPC 28233.02.06.01 )</v>
      </c>
      <c r="L173">
        <v>1</v>
      </c>
    </row>
    <row r="174" spans="1:12" x14ac:dyDescent="0.3">
      <c r="A174" s="3" t="s">
        <v>7065</v>
      </c>
      <c r="B174" s="3" t="s">
        <v>7066</v>
      </c>
      <c r="G174" s="10" t="s">
        <v>920</v>
      </c>
      <c r="H174" s="2">
        <v>1</v>
      </c>
      <c r="J174" t="s">
        <v>2890</v>
      </c>
      <c r="K174" t="str">
        <f t="shared" si="2"/>
        <v>BOTAS DE CAUCHO</v>
      </c>
      <c r="L174">
        <v>1</v>
      </c>
    </row>
    <row r="175" spans="1:12" x14ac:dyDescent="0.3">
      <c r="A175" s="5" t="s">
        <v>743</v>
      </c>
      <c r="B175" s="5" t="s">
        <v>6749</v>
      </c>
      <c r="G175" s="10" t="s">
        <v>6910</v>
      </c>
      <c r="H175" s="2">
        <v>1</v>
      </c>
      <c r="J175" t="s">
        <v>2786</v>
      </c>
      <c r="K175" t="str">
        <f t="shared" si="2"/>
        <v>CALZADO CON PUNTA METALIZADA</v>
      </c>
      <c r="L175">
        <v>1</v>
      </c>
    </row>
    <row r="176" spans="1:12" x14ac:dyDescent="0.3">
      <c r="A176" s="5" t="s">
        <v>1111</v>
      </c>
      <c r="B176" s="5" t="s">
        <v>6717</v>
      </c>
      <c r="G176" s="10" t="s">
        <v>3066</v>
      </c>
      <c r="H176" s="2">
        <v>5</v>
      </c>
      <c r="J176" t="s">
        <v>2888</v>
      </c>
      <c r="K176" t="str">
        <f t="shared" si="2"/>
        <v>ZAPATOS PARA MUJER</v>
      </c>
      <c r="L176">
        <v>1</v>
      </c>
    </row>
    <row r="177" spans="1:12" x14ac:dyDescent="0.3">
      <c r="A177" s="5" t="s">
        <v>6803</v>
      </c>
      <c r="B177" s="5" t="s">
        <v>6804</v>
      </c>
      <c r="G177" s="10" t="s">
        <v>3067</v>
      </c>
      <c r="H177" s="2">
        <v>3</v>
      </c>
      <c r="J177" t="s">
        <v>2693</v>
      </c>
      <c r="K177" t="str">
        <f t="shared" si="2"/>
        <v>SANDALIA PARA MUJER</v>
      </c>
      <c r="L177">
        <v>1</v>
      </c>
    </row>
    <row r="178" spans="1:12" x14ac:dyDescent="0.3">
      <c r="A178" s="3" t="s">
        <v>7062</v>
      </c>
      <c r="B178" s="3" t="s">
        <v>7063</v>
      </c>
      <c r="G178" s="10" t="s">
        <v>7021</v>
      </c>
      <c r="H178" s="2">
        <v>1</v>
      </c>
      <c r="J178" t="s">
        <v>4868</v>
      </c>
      <c r="K178" t="str">
        <f t="shared" si="2"/>
        <v>BLOQUE DE BALSA CERRADA</v>
      </c>
      <c r="L178">
        <v>1</v>
      </c>
    </row>
    <row r="179" spans="1:12" x14ac:dyDescent="0.3">
      <c r="A179" s="3" t="s">
        <v>7060</v>
      </c>
      <c r="B179" s="3" t="s">
        <v>7061</v>
      </c>
      <c r="G179" s="10" t="s">
        <v>6965</v>
      </c>
      <c r="H179" s="2">
        <v>2</v>
      </c>
      <c r="J179" t="s">
        <v>7060</v>
      </c>
      <c r="K179" t="str">
        <f t="shared" si="2"/>
        <v>BALSA</v>
      </c>
      <c r="L179">
        <v>1</v>
      </c>
    </row>
    <row r="180" spans="1:12" x14ac:dyDescent="0.3">
      <c r="A180" s="5" t="s">
        <v>6807</v>
      </c>
      <c r="B180" s="5" t="s">
        <v>6808</v>
      </c>
      <c r="G180" s="10" t="s">
        <v>6969</v>
      </c>
      <c r="H180" s="2">
        <v>2</v>
      </c>
      <c r="J180" t="s">
        <v>198</v>
      </c>
      <c r="K180" t="str">
        <f t="shared" si="2"/>
        <v>VIGUETAS, VIGAS Y PIEZAS DE COLORADO</v>
      </c>
      <c r="L180">
        <v>1</v>
      </c>
    </row>
    <row r="181" spans="1:12" x14ac:dyDescent="0.3">
      <c r="A181" s="3" t="s">
        <v>1100</v>
      </c>
      <c r="B181" s="3" t="s">
        <v>6716</v>
      </c>
      <c r="G181" s="10" t="s">
        <v>6973</v>
      </c>
      <c r="H181" s="2">
        <v>1</v>
      </c>
      <c r="J181" t="s">
        <v>197</v>
      </c>
      <c r="K181" t="str">
        <f t="shared" si="2"/>
        <v>POSTES DE EUCALIPTO</v>
      </c>
      <c r="L181">
        <v>1</v>
      </c>
    </row>
    <row r="182" spans="1:12" x14ac:dyDescent="0.3">
      <c r="A182" s="3" t="s">
        <v>6132</v>
      </c>
      <c r="B182" s="3" t="s">
        <v>6133</v>
      </c>
      <c r="G182" s="10" t="s">
        <v>1006</v>
      </c>
      <c r="H182" s="2">
        <v>3</v>
      </c>
      <c r="J182" t="s">
        <v>6897</v>
      </c>
      <c r="K182" t="str">
        <f t="shared" si="2"/>
        <v>TOALLAS SANITARIAS</v>
      </c>
      <c r="L182">
        <v>1</v>
      </c>
    </row>
    <row r="183" spans="1:12" x14ac:dyDescent="0.3">
      <c r="A183" s="3" t="s">
        <v>7056</v>
      </c>
      <c r="B183" s="3" t="s">
        <v>7057</v>
      </c>
      <c r="G183" s="10" t="s">
        <v>3079</v>
      </c>
      <c r="H183" s="2">
        <v>1</v>
      </c>
      <c r="J183" t="s">
        <v>2317</v>
      </c>
      <c r="K183" t="str">
        <f t="shared" si="2"/>
        <v>CARPETAS DE CARTÓN</v>
      </c>
      <c r="L183">
        <v>1</v>
      </c>
    </row>
    <row r="184" spans="1:12" x14ac:dyDescent="0.3">
      <c r="A184" s="3" t="s">
        <v>671</v>
      </c>
      <c r="B184" s="3" t="s">
        <v>2251</v>
      </c>
      <c r="G184" s="10" t="s">
        <v>2551</v>
      </c>
      <c r="H184" s="2">
        <v>1</v>
      </c>
      <c r="J184" t="s">
        <v>3123</v>
      </c>
      <c r="K184" t="str">
        <f t="shared" si="2"/>
        <v>CEMENTO DE CONTACTO</v>
      </c>
      <c r="L184">
        <v>1</v>
      </c>
    </row>
    <row r="185" spans="1:12" x14ac:dyDescent="0.3">
      <c r="A185" s="5" t="s">
        <v>2248</v>
      </c>
      <c r="B185" s="5" t="s">
        <v>2249</v>
      </c>
      <c r="G185" s="10" t="s">
        <v>6807</v>
      </c>
      <c r="H185" s="2">
        <v>2</v>
      </c>
      <c r="J185" t="s">
        <v>7040</v>
      </c>
      <c r="K185" t="str">
        <f t="shared" si="2"/>
        <v>ABONO COMPUESTO</v>
      </c>
      <c r="L185">
        <v>1</v>
      </c>
    </row>
    <row r="186" spans="1:12" x14ac:dyDescent="0.3">
      <c r="A186" s="5" t="s">
        <v>2712</v>
      </c>
      <c r="B186" s="5" t="s">
        <v>2713</v>
      </c>
      <c r="G186" s="10" t="s">
        <v>7001</v>
      </c>
      <c r="H186" s="2">
        <v>1</v>
      </c>
      <c r="J186" t="s">
        <v>6864</v>
      </c>
      <c r="K186" t="str">
        <f t="shared" si="2"/>
        <v>FUNGICIDA</v>
      </c>
      <c r="L186">
        <v>1</v>
      </c>
    </row>
    <row r="187" spans="1:12" x14ac:dyDescent="0.3">
      <c r="A187" s="5" t="s">
        <v>3242</v>
      </c>
      <c r="B187" s="5" t="s">
        <v>3362</v>
      </c>
      <c r="G187" s="10" t="s">
        <v>2540</v>
      </c>
      <c r="H187" s="2">
        <v>2</v>
      </c>
      <c r="J187" t="s">
        <v>1944</v>
      </c>
      <c r="K187" t="str">
        <f t="shared" si="2"/>
        <v>PINTURA NO A BASE DE AGUA</v>
      </c>
      <c r="L187">
        <v>1</v>
      </c>
    </row>
    <row r="188" spans="1:12" x14ac:dyDescent="0.3">
      <c r="A188" s="3" t="s">
        <v>7051</v>
      </c>
      <c r="B188" s="3" t="s">
        <v>7052</v>
      </c>
      <c r="G188" s="10" t="s">
        <v>760</v>
      </c>
      <c r="H188" s="2">
        <v>1</v>
      </c>
      <c r="J188" t="s">
        <v>7081</v>
      </c>
      <c r="K188" t="str">
        <f t="shared" si="2"/>
        <v>BARNIZ</v>
      </c>
      <c r="L188">
        <v>1</v>
      </c>
    </row>
    <row r="189" spans="1:12" x14ac:dyDescent="0.3">
      <c r="A189" s="5" t="s">
        <v>2574</v>
      </c>
      <c r="B189" s="5" t="s">
        <v>2575</v>
      </c>
      <c r="G189" s="10" t="s">
        <v>833</v>
      </c>
      <c r="H189" s="2">
        <v>1</v>
      </c>
      <c r="J189" t="s">
        <v>7056</v>
      </c>
      <c r="K189" t="str">
        <f t="shared" si="2"/>
        <v xml:space="preserve">BARNIZ </v>
      </c>
      <c r="L189">
        <v>1</v>
      </c>
    </row>
    <row r="190" spans="1:12" x14ac:dyDescent="0.3">
      <c r="A190" s="3" t="s">
        <v>879</v>
      </c>
      <c r="B190" s="3" t="s">
        <v>6702</v>
      </c>
      <c r="G190" s="10" t="s">
        <v>6854</v>
      </c>
      <c r="H190" s="2">
        <v>1</v>
      </c>
      <c r="J190" t="s">
        <v>6765</v>
      </c>
      <c r="K190" t="str">
        <f t="shared" si="2"/>
        <v>MULTIVITAMINICO</v>
      </c>
      <c r="L190">
        <v>1</v>
      </c>
    </row>
    <row r="191" spans="1:12" x14ac:dyDescent="0.3">
      <c r="A191" s="5" t="s">
        <v>2576</v>
      </c>
      <c r="B191" s="5" t="s">
        <v>2577</v>
      </c>
      <c r="G191" s="10" t="s">
        <v>2314</v>
      </c>
      <c r="H191" s="2">
        <v>2</v>
      </c>
      <c r="J191" t="s">
        <v>7010</v>
      </c>
      <c r="K191" t="str">
        <f t="shared" si="2"/>
        <v>MULTIVITAMÍNICO</v>
      </c>
      <c r="L191">
        <v>1</v>
      </c>
    </row>
    <row r="192" spans="1:12" x14ac:dyDescent="0.3">
      <c r="A192" s="3" t="s">
        <v>1111</v>
      </c>
      <c r="B192" s="3" t="s">
        <v>6717</v>
      </c>
      <c r="G192" s="10" t="s">
        <v>2563</v>
      </c>
      <c r="H192" s="2">
        <v>1</v>
      </c>
      <c r="J192" t="s">
        <v>1254</v>
      </c>
      <c r="K192" t="str">
        <f t="shared" si="2"/>
        <v>PENICILINA</v>
      </c>
      <c r="L192">
        <v>1</v>
      </c>
    </row>
    <row r="193" spans="1:12" x14ac:dyDescent="0.3">
      <c r="A193" s="5" t="s">
        <v>6833</v>
      </c>
      <c r="B193" s="5" t="s">
        <v>6834</v>
      </c>
      <c r="G193" s="10" t="s">
        <v>6837</v>
      </c>
      <c r="H193" s="2">
        <v>1</v>
      </c>
      <c r="J193" t="s">
        <v>1252</v>
      </c>
      <c r="K193" t="str">
        <f t="shared" si="2"/>
        <v>AMPICILINA</v>
      </c>
      <c r="L193">
        <v>1</v>
      </c>
    </row>
    <row r="194" spans="1:12" x14ac:dyDescent="0.3">
      <c r="A194" s="3" t="s">
        <v>7044</v>
      </c>
      <c r="B194" s="3" t="s">
        <v>7045</v>
      </c>
      <c r="G194" s="10" t="s">
        <v>2945</v>
      </c>
      <c r="H194" s="2">
        <v>5</v>
      </c>
      <c r="J194" t="s">
        <v>1253</v>
      </c>
      <c r="K194" t="str">
        <f t="shared" si="2"/>
        <v>ANTIBIÓTICO</v>
      </c>
      <c r="L194">
        <v>1</v>
      </c>
    </row>
    <row r="195" spans="1:12" x14ac:dyDescent="0.3">
      <c r="A195" s="5" t="s">
        <v>6837</v>
      </c>
      <c r="B195" s="5" t="s">
        <v>6838</v>
      </c>
      <c r="G195" s="10" t="s">
        <v>805</v>
      </c>
      <c r="H195" s="2">
        <v>1</v>
      </c>
      <c r="J195" t="s">
        <v>2858</v>
      </c>
      <c r="K195" t="str">
        <f t="shared" ref="K195:K236" si="3">+VLOOKUP(J195,$A$2:$B$617,2,FALSE)</f>
        <v>PARACETAMOL</v>
      </c>
      <c r="L195">
        <v>1</v>
      </c>
    </row>
    <row r="196" spans="1:12" x14ac:dyDescent="0.3">
      <c r="A196" s="5" t="s">
        <v>6414</v>
      </c>
      <c r="B196" s="5" t="s">
        <v>6415</v>
      </c>
      <c r="G196" s="10" t="s">
        <v>300</v>
      </c>
      <c r="H196" s="2">
        <v>9</v>
      </c>
      <c r="J196" t="s">
        <v>2864</v>
      </c>
      <c r="K196" t="str">
        <f t="shared" si="3"/>
        <v>ANTIGRIPALES</v>
      </c>
      <c r="L196">
        <v>1</v>
      </c>
    </row>
    <row r="197" spans="1:12" x14ac:dyDescent="0.3">
      <c r="A197" s="5" t="s">
        <v>386</v>
      </c>
      <c r="B197" s="5" t="s">
        <v>5215</v>
      </c>
      <c r="G197" s="10" t="s">
        <v>3132</v>
      </c>
      <c r="H197" s="2">
        <v>2</v>
      </c>
      <c r="J197" t="s">
        <v>2856</v>
      </c>
      <c r="K197" t="str">
        <f t="shared" si="3"/>
        <v>ANTIÁCIDOS (A02A)</v>
      </c>
      <c r="L197">
        <v>1</v>
      </c>
    </row>
    <row r="198" spans="1:12" x14ac:dyDescent="0.3">
      <c r="A198" s="3" t="s">
        <v>7034</v>
      </c>
      <c r="B198" s="3" t="s">
        <v>7035</v>
      </c>
      <c r="G198" s="10" t="s">
        <v>2576</v>
      </c>
      <c r="H198" s="2">
        <v>4</v>
      </c>
      <c r="J198" t="s">
        <v>2860</v>
      </c>
      <c r="K198" t="str">
        <f t="shared" si="3"/>
        <v>METRONIDAZOL</v>
      </c>
      <c r="L198">
        <v>1</v>
      </c>
    </row>
    <row r="199" spans="1:12" x14ac:dyDescent="0.3">
      <c r="A199" s="5" t="s">
        <v>6854</v>
      </c>
      <c r="B199" s="5" t="s">
        <v>6855</v>
      </c>
      <c r="G199" s="10" t="s">
        <v>2574</v>
      </c>
      <c r="H199" s="2">
        <v>5</v>
      </c>
      <c r="J199" t="s">
        <v>2862</v>
      </c>
      <c r="K199" t="str">
        <f t="shared" si="3"/>
        <v>SECNIDAZOL</v>
      </c>
      <c r="L199">
        <v>1</v>
      </c>
    </row>
    <row r="200" spans="1:12" x14ac:dyDescent="0.3">
      <c r="A200" s="5" t="s">
        <v>1088</v>
      </c>
      <c r="B200" s="5" t="s">
        <v>6714</v>
      </c>
      <c r="G200" s="10" t="s">
        <v>6830</v>
      </c>
      <c r="H200" s="2">
        <v>1</v>
      </c>
      <c r="J200" t="s">
        <v>1255</v>
      </c>
      <c r="K200" t="str">
        <f t="shared" si="3"/>
        <v>MEDICAMENTO ANTIFLAMATORIO</v>
      </c>
      <c r="L200">
        <v>1</v>
      </c>
    </row>
    <row r="201" spans="1:12" x14ac:dyDescent="0.3">
      <c r="A201" s="3" t="s">
        <v>7032</v>
      </c>
      <c r="B201" s="3" t="s">
        <v>3361</v>
      </c>
      <c r="G201" s="10" t="s">
        <v>1347</v>
      </c>
      <c r="H201" s="2">
        <v>2</v>
      </c>
      <c r="J201" t="s">
        <v>7007</v>
      </c>
      <c r="K201" t="str">
        <f t="shared" si="3"/>
        <v>ANTIHIPERTENSIVOS</v>
      </c>
      <c r="L201">
        <v>1</v>
      </c>
    </row>
    <row r="202" spans="1:12" x14ac:dyDescent="0.3">
      <c r="A202" s="3" t="s">
        <v>7030</v>
      </c>
      <c r="B202" s="3" t="s">
        <v>5215</v>
      </c>
      <c r="G202" s="10" t="s">
        <v>2572</v>
      </c>
      <c r="H202" s="2">
        <v>4</v>
      </c>
      <c r="J202" t="s">
        <v>6761</v>
      </c>
      <c r="K202" t="str">
        <f t="shared" si="3"/>
        <v>ANTIÁCIDOS</v>
      </c>
      <c r="L202">
        <v>1</v>
      </c>
    </row>
    <row r="203" spans="1:12" x14ac:dyDescent="0.3">
      <c r="A203" s="5" t="s">
        <v>3102</v>
      </c>
      <c r="B203" s="5" t="s">
        <v>3350</v>
      </c>
      <c r="G203" s="10" t="s">
        <v>1137</v>
      </c>
      <c r="H203" s="2">
        <v>1</v>
      </c>
      <c r="J203" t="s">
        <v>7073</v>
      </c>
      <c r="K203" t="str">
        <f t="shared" si="3"/>
        <v>ANTIÁCIDOS</v>
      </c>
      <c r="L203">
        <v>1</v>
      </c>
    </row>
    <row r="204" spans="1:12" x14ac:dyDescent="0.3">
      <c r="A204" s="3" t="s">
        <v>7076</v>
      </c>
      <c r="B204" s="3" t="s">
        <v>7066</v>
      </c>
      <c r="G204" s="10" t="s">
        <v>731</v>
      </c>
      <c r="H204" s="2">
        <v>3</v>
      </c>
      <c r="J204" t="s">
        <v>7025</v>
      </c>
      <c r="K204" t="str">
        <f t="shared" si="3"/>
        <v>ANALGÉSICO URINARIO</v>
      </c>
      <c r="L204">
        <v>1</v>
      </c>
    </row>
    <row r="205" spans="1:12" x14ac:dyDescent="0.3">
      <c r="A205" s="3" t="s">
        <v>7025</v>
      </c>
      <c r="B205" s="3" t="s">
        <v>7026</v>
      </c>
      <c r="G205" s="10" t="s">
        <v>2225</v>
      </c>
      <c r="H205" s="2">
        <v>1</v>
      </c>
      <c r="J205" t="s">
        <v>7019</v>
      </c>
      <c r="K205" t="str">
        <f t="shared" si="3"/>
        <v>METRONIDAZOL</v>
      </c>
      <c r="L205">
        <v>1</v>
      </c>
    </row>
    <row r="206" spans="1:12" x14ac:dyDescent="0.3">
      <c r="A206" s="3" t="s">
        <v>7021</v>
      </c>
      <c r="B206" s="3" t="s">
        <v>3347</v>
      </c>
      <c r="G206" s="10" t="s">
        <v>449</v>
      </c>
      <c r="H206" s="2">
        <v>4</v>
      </c>
      <c r="J206" t="s">
        <v>7013</v>
      </c>
      <c r="K206" t="str">
        <f t="shared" si="3"/>
        <v>COLUFASE (NOITAZOXANIDA)</v>
      </c>
      <c r="L206">
        <v>1</v>
      </c>
    </row>
    <row r="207" spans="1:12" x14ac:dyDescent="0.3">
      <c r="A207" s="3" t="s">
        <v>7007</v>
      </c>
      <c r="B207" s="3" t="s">
        <v>7008</v>
      </c>
      <c r="G207" s="10" t="s">
        <v>995</v>
      </c>
      <c r="H207" s="2">
        <v>3</v>
      </c>
      <c r="J207" t="s">
        <v>6763</v>
      </c>
      <c r="K207" t="str">
        <f t="shared" si="3"/>
        <v>ACICLOVIR</v>
      </c>
      <c r="L207">
        <v>1</v>
      </c>
    </row>
    <row r="208" spans="1:12" x14ac:dyDescent="0.3">
      <c r="A208" s="5" t="s">
        <v>1740</v>
      </c>
      <c r="B208" s="5" t="s">
        <v>1741</v>
      </c>
      <c r="G208" s="10" t="s">
        <v>6886</v>
      </c>
      <c r="H208" s="2">
        <v>1</v>
      </c>
      <c r="J208" t="s">
        <v>7016</v>
      </c>
      <c r="K208" t="str">
        <f t="shared" si="3"/>
        <v>CREMA PARA LA PAÑALITIS</v>
      </c>
      <c r="L208">
        <v>1</v>
      </c>
    </row>
    <row r="209" spans="1:12" x14ac:dyDescent="0.3">
      <c r="A209" s="5" t="s">
        <v>386</v>
      </c>
      <c r="B209" s="5" t="s">
        <v>5215</v>
      </c>
      <c r="G209" s="10" t="s">
        <v>948</v>
      </c>
      <c r="H209" s="2">
        <v>2</v>
      </c>
      <c r="J209" t="s">
        <v>1759</v>
      </c>
      <c r="K209" t="str">
        <f t="shared" si="3"/>
        <v>JABON INDUSTRIAL</v>
      </c>
      <c r="L209">
        <v>1</v>
      </c>
    </row>
    <row r="210" spans="1:12" x14ac:dyDescent="0.3">
      <c r="A210" s="3" t="s">
        <v>6986</v>
      </c>
      <c r="B210" s="3" t="s">
        <v>6987</v>
      </c>
      <c r="G210" s="10" t="s">
        <v>6890</v>
      </c>
      <c r="H210" s="2">
        <v>1</v>
      </c>
      <c r="J210" t="s">
        <v>920</v>
      </c>
      <c r="K210" t="str">
        <f t="shared" si="3"/>
        <v>CERAS PARA PISOS</v>
      </c>
      <c r="L210">
        <v>1</v>
      </c>
    </row>
    <row r="211" spans="1:12" x14ac:dyDescent="0.3">
      <c r="A211" s="5" t="s">
        <v>6132</v>
      </c>
      <c r="B211" s="5" t="s">
        <v>6133</v>
      </c>
      <c r="G211" s="10" t="s">
        <v>6767</v>
      </c>
      <c r="H211" s="2">
        <v>2</v>
      </c>
      <c r="J211" t="s">
        <v>6910</v>
      </c>
      <c r="K211" t="str">
        <f t="shared" si="3"/>
        <v>COLA BLANCA</v>
      </c>
      <c r="L211">
        <v>1</v>
      </c>
    </row>
    <row r="212" spans="1:12" x14ac:dyDescent="0.3">
      <c r="A212" s="5" t="s">
        <v>6877</v>
      </c>
      <c r="B212" s="5" t="s">
        <v>6878</v>
      </c>
      <c r="G212" s="10" t="s">
        <v>6768</v>
      </c>
      <c r="H212" s="2">
        <v>1</v>
      </c>
      <c r="J212" t="s">
        <v>7021</v>
      </c>
      <c r="K212" t="str">
        <f t="shared" si="3"/>
        <v>MORTERO</v>
      </c>
      <c r="L212">
        <v>1</v>
      </c>
    </row>
    <row r="213" spans="1:12" x14ac:dyDescent="0.3">
      <c r="A213" s="3" t="s">
        <v>743</v>
      </c>
      <c r="B213" s="3" t="s">
        <v>6749</v>
      </c>
      <c r="G213" s="10" t="s">
        <v>479</v>
      </c>
      <c r="H213" s="2">
        <v>1</v>
      </c>
      <c r="J213" t="s">
        <v>6973</v>
      </c>
      <c r="K213" t="str">
        <f t="shared" si="3"/>
        <v>NEUMÁTICO DE CAMIÓN</v>
      </c>
      <c r="L213">
        <v>1</v>
      </c>
    </row>
    <row r="214" spans="1:12" x14ac:dyDescent="0.3">
      <c r="A214" s="5" t="s">
        <v>2576</v>
      </c>
      <c r="B214" s="5" t="s">
        <v>2577</v>
      </c>
      <c r="G214" s="10" t="s">
        <v>2584</v>
      </c>
      <c r="H214" s="2">
        <v>1</v>
      </c>
      <c r="J214" t="s">
        <v>3079</v>
      </c>
      <c r="K214" t="str">
        <f t="shared" si="3"/>
        <v>ESQUINEROS (ANGULOS PLASTICOS)</v>
      </c>
      <c r="L214">
        <v>1</v>
      </c>
    </row>
    <row r="215" spans="1:12" x14ac:dyDescent="0.3">
      <c r="A215" s="3" t="s">
        <v>6998</v>
      </c>
      <c r="B215" s="3" t="s">
        <v>6999</v>
      </c>
      <c r="G215" s="10" t="s">
        <v>3102</v>
      </c>
      <c r="H215" s="2">
        <v>2</v>
      </c>
      <c r="J215" t="s">
        <v>2551</v>
      </c>
      <c r="K215" t="str">
        <f t="shared" si="3"/>
        <v>TUBO DE ALCANTARILLADO</v>
      </c>
      <c r="L215">
        <v>1</v>
      </c>
    </row>
    <row r="216" spans="1:12" x14ac:dyDescent="0.3">
      <c r="A216" s="3" t="s">
        <v>4315</v>
      </c>
      <c r="B216" s="3" t="s">
        <v>6995</v>
      </c>
      <c r="G216" s="10" t="s">
        <v>7062</v>
      </c>
      <c r="H216" s="2">
        <v>1</v>
      </c>
      <c r="J216" t="s">
        <v>7001</v>
      </c>
      <c r="K216" t="str">
        <f t="shared" si="3"/>
        <v>CANECAS, BALDES PLASTICAS</v>
      </c>
      <c r="L216">
        <v>1</v>
      </c>
    </row>
    <row r="217" spans="1:12" x14ac:dyDescent="0.3">
      <c r="A217" s="5" t="s">
        <v>217</v>
      </c>
      <c r="B217" s="5" t="s">
        <v>6703</v>
      </c>
      <c r="G217" s="10" t="s">
        <v>1025</v>
      </c>
      <c r="H217" s="2">
        <v>2</v>
      </c>
      <c r="J217" t="s">
        <v>760</v>
      </c>
      <c r="K217" t="str">
        <f t="shared" si="3"/>
        <v>CANECAS, BALDES</v>
      </c>
      <c r="L217">
        <v>1</v>
      </c>
    </row>
    <row r="218" spans="1:12" x14ac:dyDescent="0.3">
      <c r="A218" s="3" t="s">
        <v>879</v>
      </c>
      <c r="B218" s="3" t="s">
        <v>6979</v>
      </c>
      <c r="G218" s="10" t="s">
        <v>1149</v>
      </c>
      <c r="H218" s="2">
        <v>1</v>
      </c>
      <c r="J218" t="s">
        <v>833</v>
      </c>
      <c r="K218" t="str">
        <f t="shared" si="3"/>
        <v>TARRINAS Y VASOS DE PLÁSTICO</v>
      </c>
      <c r="L218">
        <v>1</v>
      </c>
    </row>
    <row r="219" spans="1:12" x14ac:dyDescent="0.3">
      <c r="A219" s="5" t="s">
        <v>6886</v>
      </c>
      <c r="B219" s="5" t="s">
        <v>6887</v>
      </c>
      <c r="G219" s="10" t="s">
        <v>1150</v>
      </c>
      <c r="H219" s="2">
        <v>2</v>
      </c>
      <c r="J219" t="s">
        <v>6854</v>
      </c>
      <c r="K219" t="str">
        <f t="shared" si="3"/>
        <v>TANQUE PLÁSTICO</v>
      </c>
      <c r="L219">
        <v>1</v>
      </c>
    </row>
    <row r="220" spans="1:12" x14ac:dyDescent="0.3">
      <c r="A220" s="5" t="s">
        <v>844</v>
      </c>
      <c r="B220" s="5" t="s">
        <v>6698</v>
      </c>
      <c r="G220" s="10" t="s">
        <v>6803</v>
      </c>
      <c r="H220" s="2">
        <v>2</v>
      </c>
      <c r="J220" t="s">
        <v>2563</v>
      </c>
      <c r="K220" t="str">
        <f t="shared" si="3"/>
        <v>VIDRIO LAMINADO</v>
      </c>
      <c r="L220">
        <v>1</v>
      </c>
    </row>
    <row r="221" spans="1:12" x14ac:dyDescent="0.3">
      <c r="A221" s="3" t="s">
        <v>6986</v>
      </c>
      <c r="B221" s="3" t="s">
        <v>6987</v>
      </c>
      <c r="G221" s="10" t="s">
        <v>1326</v>
      </c>
      <c r="H221" s="2">
        <v>6</v>
      </c>
      <c r="J221" t="s">
        <v>6837</v>
      </c>
      <c r="K221" t="str">
        <f t="shared" si="3"/>
        <v>ENVASE DE VIDRIO GRANDE</v>
      </c>
      <c r="L221">
        <v>1</v>
      </c>
    </row>
    <row r="222" spans="1:12" x14ac:dyDescent="0.3">
      <c r="A222" s="5" t="s">
        <v>661</v>
      </c>
      <c r="B222" s="5" t="s">
        <v>1761</v>
      </c>
      <c r="G222" s="10" t="s">
        <v>3113</v>
      </c>
      <c r="H222" s="2">
        <v>1</v>
      </c>
      <c r="J222" t="s">
        <v>805</v>
      </c>
      <c r="K222" t="str">
        <f t="shared" si="3"/>
        <v>INODORO</v>
      </c>
      <c r="L222">
        <v>1</v>
      </c>
    </row>
    <row r="223" spans="1:12" x14ac:dyDescent="0.3">
      <c r="A223" s="3" t="s">
        <v>6984</v>
      </c>
      <c r="B223" s="3" t="s">
        <v>6983</v>
      </c>
      <c r="G223" s="10" t="s">
        <v>806</v>
      </c>
      <c r="H223" s="2">
        <v>1</v>
      </c>
      <c r="J223" t="s">
        <v>6830</v>
      </c>
      <c r="K223" t="str">
        <f t="shared" si="3"/>
        <v>TANQUES DE CEMENTO</v>
      </c>
      <c r="L223">
        <v>1</v>
      </c>
    </row>
    <row r="224" spans="1:12" x14ac:dyDescent="0.3">
      <c r="A224" s="3" t="s">
        <v>602</v>
      </c>
      <c r="B224" s="3" t="s">
        <v>6981</v>
      </c>
      <c r="G224" s="10" t="s">
        <v>3285</v>
      </c>
      <c r="H224" s="2">
        <v>3</v>
      </c>
      <c r="J224" t="s">
        <v>1137</v>
      </c>
      <c r="K224" t="str">
        <f t="shared" si="3"/>
        <v>IMPERPOL</v>
      </c>
      <c r="L224">
        <v>1</v>
      </c>
    </row>
    <row r="225" spans="1:12" x14ac:dyDescent="0.3">
      <c r="A225" s="5" t="s">
        <v>637</v>
      </c>
      <c r="B225" s="5" t="s">
        <v>6729</v>
      </c>
      <c r="G225" s="10" t="s">
        <v>6781</v>
      </c>
      <c r="H225" s="2">
        <v>1</v>
      </c>
      <c r="J225" t="s">
        <v>2225</v>
      </c>
      <c r="K225" t="str">
        <f t="shared" si="3"/>
        <v>CAMA DE MADERA</v>
      </c>
      <c r="L225">
        <v>1</v>
      </c>
    </row>
    <row r="226" spans="1:12" x14ac:dyDescent="0.3">
      <c r="A226" s="5" t="s">
        <v>636</v>
      </c>
      <c r="B226" s="5" t="s">
        <v>3354</v>
      </c>
      <c r="G226" s="10" t="s">
        <v>743</v>
      </c>
      <c r="H226" s="2">
        <v>6</v>
      </c>
      <c r="J226" t="s">
        <v>6886</v>
      </c>
      <c r="K226" t="str">
        <f t="shared" si="3"/>
        <v>PLANCHAS DE ACERO ALEADO</v>
      </c>
      <c r="L226">
        <v>1</v>
      </c>
    </row>
    <row r="227" spans="1:12" x14ac:dyDescent="0.3">
      <c r="A227" s="5" t="s">
        <v>6788</v>
      </c>
      <c r="B227" s="5" t="s">
        <v>6789</v>
      </c>
      <c r="G227" s="10" t="s">
        <v>1112</v>
      </c>
      <c r="H227" s="2">
        <v>3</v>
      </c>
      <c r="J227" t="s">
        <v>6890</v>
      </c>
      <c r="K227" t="str">
        <f t="shared" si="3"/>
        <v>PERFIL L</v>
      </c>
      <c r="L227">
        <v>1</v>
      </c>
    </row>
    <row r="228" spans="1:12" x14ac:dyDescent="0.3">
      <c r="A228" s="3" t="s">
        <v>6877</v>
      </c>
      <c r="B228" s="3" t="s">
        <v>6878</v>
      </c>
      <c r="G228" s="10" t="s">
        <v>949</v>
      </c>
      <c r="H228" s="2">
        <v>2</v>
      </c>
      <c r="J228" t="s">
        <v>6768</v>
      </c>
      <c r="K228" t="str">
        <f t="shared" si="3"/>
        <v>PERFILES DE ACERO</v>
      </c>
      <c r="L228">
        <v>1</v>
      </c>
    </row>
    <row r="229" spans="1:12" x14ac:dyDescent="0.3">
      <c r="A229" s="3" t="s">
        <v>1521</v>
      </c>
      <c r="B229" s="3" t="s">
        <v>1522</v>
      </c>
      <c r="G229" s="10" t="s">
        <v>1955</v>
      </c>
      <c r="H229" s="2">
        <v>1</v>
      </c>
      <c r="J229" t="s">
        <v>479</v>
      </c>
      <c r="K229" t="str">
        <f t="shared" si="3"/>
        <v>TORRES DE ACERO</v>
      </c>
      <c r="L229">
        <v>1</v>
      </c>
    </row>
    <row r="230" spans="1:12" x14ac:dyDescent="0.3">
      <c r="A230" s="5" t="s">
        <v>4828</v>
      </c>
      <c r="B230" s="5" t="s">
        <v>4829</v>
      </c>
      <c r="G230" s="10" t="s">
        <v>1957</v>
      </c>
      <c r="H230" s="2">
        <v>3</v>
      </c>
      <c r="J230" t="s">
        <v>2584</v>
      </c>
      <c r="K230" t="str">
        <f t="shared" si="3"/>
        <v>PASAMANOS DE ACERO</v>
      </c>
      <c r="L230">
        <v>1</v>
      </c>
    </row>
    <row r="231" spans="1:12" x14ac:dyDescent="0.3">
      <c r="A231" s="5" t="s">
        <v>6800</v>
      </c>
      <c r="B231" s="5" t="s">
        <v>6801</v>
      </c>
      <c r="G231" s="10" t="s">
        <v>1038</v>
      </c>
      <c r="H231" s="2">
        <v>2</v>
      </c>
      <c r="J231" t="s">
        <v>7062</v>
      </c>
      <c r="K231" t="str">
        <f t="shared" si="3"/>
        <v xml:space="preserve">ESTRUCTURAS METÁLICAS </v>
      </c>
      <c r="L231">
        <v>1</v>
      </c>
    </row>
    <row r="232" spans="1:12" x14ac:dyDescent="0.3">
      <c r="A232" s="5" t="s">
        <v>743</v>
      </c>
      <c r="B232" s="5" t="s">
        <v>6749</v>
      </c>
      <c r="G232" s="10" t="s">
        <v>1037</v>
      </c>
      <c r="H232" s="2">
        <v>3</v>
      </c>
      <c r="J232" t="s">
        <v>1149</v>
      </c>
      <c r="K232" t="str">
        <f t="shared" si="3"/>
        <v>CUBIERTA DE ACERO</v>
      </c>
      <c r="L232">
        <v>1</v>
      </c>
    </row>
    <row r="233" spans="1:12" x14ac:dyDescent="0.3">
      <c r="A233" s="3" t="s">
        <v>1100</v>
      </c>
      <c r="B233" s="3" t="s">
        <v>6716</v>
      </c>
      <c r="G233" s="10" t="s">
        <v>1960</v>
      </c>
      <c r="H233" s="2">
        <v>5</v>
      </c>
      <c r="J233" t="s">
        <v>3113</v>
      </c>
      <c r="K233" t="str">
        <f t="shared" si="3"/>
        <v>ENVASES METÁLICO</v>
      </c>
      <c r="L233">
        <v>1</v>
      </c>
    </row>
    <row r="234" spans="1:12" x14ac:dyDescent="0.3">
      <c r="A234" s="3" t="s">
        <v>4315</v>
      </c>
      <c r="B234" s="3" t="s">
        <v>6995</v>
      </c>
      <c r="G234" s="10" t="s">
        <v>1962</v>
      </c>
      <c r="H234" s="2">
        <v>3</v>
      </c>
      <c r="J234" t="s">
        <v>806</v>
      </c>
      <c r="K234" t="str">
        <f t="shared" si="3"/>
        <v>LAVAVO DE ALUMINIO</v>
      </c>
      <c r="L234">
        <v>1</v>
      </c>
    </row>
    <row r="235" spans="1:12" x14ac:dyDescent="0.3">
      <c r="A235" s="3" t="s">
        <v>672</v>
      </c>
      <c r="B235" s="3" t="s">
        <v>2534</v>
      </c>
      <c r="G235" s="10" t="s">
        <v>6800</v>
      </c>
      <c r="H235" s="2">
        <v>2</v>
      </c>
      <c r="J235" t="s">
        <v>6781</v>
      </c>
      <c r="K235" t="str">
        <f t="shared" si="3"/>
        <v>TAMBORES DE ACERO</v>
      </c>
      <c r="L235">
        <v>1</v>
      </c>
    </row>
    <row r="236" spans="1:12" x14ac:dyDescent="0.3">
      <c r="A236" s="5" t="s">
        <v>793</v>
      </c>
      <c r="B236" s="5" t="s">
        <v>6694</v>
      </c>
      <c r="G236" s="10" t="s">
        <v>1111</v>
      </c>
      <c r="H236" s="2">
        <v>3</v>
      </c>
      <c r="J236" t="s">
        <v>1955</v>
      </c>
      <c r="K236" t="str">
        <f t="shared" si="3"/>
        <v>FRIGORIFICO</v>
      </c>
      <c r="L236">
        <v>1</v>
      </c>
    </row>
    <row r="237" spans="1:12" x14ac:dyDescent="0.3">
      <c r="A237" s="5" t="s">
        <v>2574</v>
      </c>
      <c r="B237" s="5" t="s">
        <v>2575</v>
      </c>
      <c r="G237" s="10" t="s">
        <v>6964</v>
      </c>
      <c r="H237" s="2">
        <v>616</v>
      </c>
    </row>
    <row r="238" spans="1:12" x14ac:dyDescent="0.3">
      <c r="A238" s="3" t="s">
        <v>217</v>
      </c>
      <c r="B238" s="3" t="s">
        <v>6703</v>
      </c>
    </row>
    <row r="239" spans="1:12" x14ac:dyDescent="0.3">
      <c r="A239" s="5" t="s">
        <v>6830</v>
      </c>
      <c r="B239" s="5" t="s">
        <v>6831</v>
      </c>
    </row>
    <row r="240" spans="1:12" x14ac:dyDescent="0.3">
      <c r="A240" s="3" t="s">
        <v>6800</v>
      </c>
      <c r="B240" s="3" t="s">
        <v>6801</v>
      </c>
    </row>
    <row r="241" spans="1:2" x14ac:dyDescent="0.3">
      <c r="A241" s="3" t="s">
        <v>2826</v>
      </c>
      <c r="B241" s="3" t="s">
        <v>2827</v>
      </c>
    </row>
    <row r="242" spans="1:2" x14ac:dyDescent="0.3">
      <c r="A242" s="5" t="s">
        <v>2945</v>
      </c>
      <c r="B242" s="5" t="s">
        <v>3345</v>
      </c>
    </row>
    <row r="243" spans="1:2" x14ac:dyDescent="0.3">
      <c r="A243" s="5" t="s">
        <v>386</v>
      </c>
      <c r="B243" s="5" t="s">
        <v>5215</v>
      </c>
    </row>
    <row r="244" spans="1:2" x14ac:dyDescent="0.3">
      <c r="A244" s="5" t="s">
        <v>6414</v>
      </c>
      <c r="B244" s="5" t="s">
        <v>6415</v>
      </c>
    </row>
    <row r="245" spans="1:2" x14ac:dyDescent="0.3">
      <c r="A245" s="3" t="s">
        <v>7037</v>
      </c>
      <c r="B245" s="3" t="s">
        <v>7038</v>
      </c>
    </row>
    <row r="246" spans="1:2" x14ac:dyDescent="0.3">
      <c r="A246" s="5" t="s">
        <v>674</v>
      </c>
      <c r="B246" s="5" t="s">
        <v>2533</v>
      </c>
    </row>
    <row r="247" spans="1:2" x14ac:dyDescent="0.3">
      <c r="A247" s="3" t="s">
        <v>7031</v>
      </c>
      <c r="B247" s="3" t="s">
        <v>6415</v>
      </c>
    </row>
    <row r="248" spans="1:2" x14ac:dyDescent="0.3">
      <c r="A248" s="5" t="s">
        <v>6803</v>
      </c>
      <c r="B248" s="5" t="s">
        <v>6804</v>
      </c>
    </row>
    <row r="249" spans="1:2" x14ac:dyDescent="0.3">
      <c r="A249" s="3" t="s">
        <v>6766</v>
      </c>
      <c r="B249" s="3" t="s">
        <v>2865</v>
      </c>
    </row>
    <row r="250" spans="1:2" x14ac:dyDescent="0.3">
      <c r="A250" s="3" t="s">
        <v>637</v>
      </c>
      <c r="B250" s="3" t="s">
        <v>7023</v>
      </c>
    </row>
    <row r="251" spans="1:2" x14ac:dyDescent="0.3">
      <c r="A251" s="3" t="s">
        <v>7010</v>
      </c>
      <c r="B251" s="3" t="s">
        <v>7011</v>
      </c>
    </row>
    <row r="252" spans="1:2" x14ac:dyDescent="0.3">
      <c r="A252" s="5" t="s">
        <v>6864</v>
      </c>
      <c r="B252" s="5" t="s">
        <v>6865</v>
      </c>
    </row>
    <row r="253" spans="1:2" x14ac:dyDescent="0.3">
      <c r="A253" s="5" t="s">
        <v>844</v>
      </c>
      <c r="B253" s="5" t="s">
        <v>6698</v>
      </c>
    </row>
    <row r="254" spans="1:2" x14ac:dyDescent="0.3">
      <c r="A254" s="3" t="s">
        <v>6988</v>
      </c>
      <c r="B254" s="3" t="s">
        <v>6989</v>
      </c>
    </row>
    <row r="255" spans="1:2" x14ac:dyDescent="0.3">
      <c r="A255" s="5" t="s">
        <v>4315</v>
      </c>
      <c r="B255" s="5" t="s">
        <v>4316</v>
      </c>
    </row>
    <row r="256" spans="1:2" x14ac:dyDescent="0.3">
      <c r="A256" s="5" t="s">
        <v>6877</v>
      </c>
      <c r="B256" s="5" t="s">
        <v>6878</v>
      </c>
    </row>
    <row r="257" spans="1:2" x14ac:dyDescent="0.3">
      <c r="A257" s="3" t="s">
        <v>7001</v>
      </c>
      <c r="B257" s="3" t="s">
        <v>7002</v>
      </c>
    </row>
    <row r="258" spans="1:2" x14ac:dyDescent="0.3">
      <c r="A258" s="3" t="s">
        <v>6996</v>
      </c>
      <c r="B258" s="3" t="s">
        <v>6997</v>
      </c>
    </row>
    <row r="259" spans="1:2" x14ac:dyDescent="0.3">
      <c r="A259" s="5" t="s">
        <v>1276</v>
      </c>
      <c r="B259" s="5" t="s">
        <v>6735</v>
      </c>
    </row>
    <row r="260" spans="1:2" x14ac:dyDescent="0.3">
      <c r="A260" s="5" t="s">
        <v>6890</v>
      </c>
      <c r="B260" s="5" t="s">
        <v>6891</v>
      </c>
    </row>
    <row r="261" spans="1:2" x14ac:dyDescent="0.3">
      <c r="A261" s="5" t="s">
        <v>6897</v>
      </c>
      <c r="B261" s="5" t="s">
        <v>6898</v>
      </c>
    </row>
    <row r="262" spans="1:2" x14ac:dyDescent="0.3">
      <c r="A262" s="3" t="s">
        <v>6988</v>
      </c>
      <c r="B262" s="3" t="s">
        <v>6989</v>
      </c>
    </row>
    <row r="263" spans="1:2" x14ac:dyDescent="0.3">
      <c r="A263" s="5" t="s">
        <v>3066</v>
      </c>
      <c r="B263" s="5" t="s">
        <v>3347</v>
      </c>
    </row>
    <row r="264" spans="1:2" x14ac:dyDescent="0.3">
      <c r="A264" s="5" t="s">
        <v>1211</v>
      </c>
      <c r="B264" s="5" t="s">
        <v>3344</v>
      </c>
    </row>
    <row r="265" spans="1:2" x14ac:dyDescent="0.3">
      <c r="A265" s="3" t="s">
        <v>7073</v>
      </c>
      <c r="B265" s="3" t="s">
        <v>6762</v>
      </c>
    </row>
    <row r="266" spans="1:2" x14ac:dyDescent="0.3">
      <c r="A266" s="3" t="s">
        <v>4315</v>
      </c>
      <c r="B266" s="3" t="s">
        <v>6995</v>
      </c>
    </row>
    <row r="267" spans="1:2" x14ac:dyDescent="0.3">
      <c r="A267" s="3" t="s">
        <v>1088</v>
      </c>
      <c r="B267" s="3" t="s">
        <v>6714</v>
      </c>
    </row>
    <row r="268" spans="1:2" x14ac:dyDescent="0.3">
      <c r="A268" s="5" t="s">
        <v>673</v>
      </c>
      <c r="B268" s="5" t="s">
        <v>2250</v>
      </c>
    </row>
    <row r="269" spans="1:2" x14ac:dyDescent="0.3">
      <c r="A269" s="5" t="s">
        <v>2574</v>
      </c>
      <c r="B269" s="5" t="s">
        <v>2575</v>
      </c>
    </row>
    <row r="270" spans="1:2" x14ac:dyDescent="0.3">
      <c r="A270" s="3" t="s">
        <v>1438</v>
      </c>
      <c r="B270" s="3" t="s">
        <v>1439</v>
      </c>
    </row>
    <row r="271" spans="1:2" x14ac:dyDescent="0.3">
      <c r="A271" s="3" t="s">
        <v>7040</v>
      </c>
      <c r="B271" s="3" t="s">
        <v>1381</v>
      </c>
    </row>
    <row r="272" spans="1:2" x14ac:dyDescent="0.3">
      <c r="A272" s="3" t="s">
        <v>6766</v>
      </c>
      <c r="B272" s="3" t="s">
        <v>2865</v>
      </c>
    </row>
    <row r="273" spans="1:2" x14ac:dyDescent="0.3">
      <c r="A273" s="3" t="s">
        <v>7013</v>
      </c>
      <c r="B273" s="3" t="s">
        <v>7014</v>
      </c>
    </row>
    <row r="274" spans="1:2" x14ac:dyDescent="0.3">
      <c r="A274" s="3" t="s">
        <v>6807</v>
      </c>
      <c r="B274" s="3" t="s">
        <v>7004</v>
      </c>
    </row>
    <row r="275" spans="1:2" x14ac:dyDescent="0.3">
      <c r="A275" s="3" t="s">
        <v>6996</v>
      </c>
      <c r="B275" s="3" t="s">
        <v>6997</v>
      </c>
    </row>
    <row r="276" spans="1:2" x14ac:dyDescent="0.3">
      <c r="A276" s="5" t="s">
        <v>879</v>
      </c>
      <c r="B276" s="5" t="s">
        <v>6702</v>
      </c>
    </row>
    <row r="277" spans="1:2" x14ac:dyDescent="0.3">
      <c r="A277" s="5" t="s">
        <v>6767</v>
      </c>
      <c r="B277" s="5" t="s">
        <v>6771</v>
      </c>
    </row>
    <row r="278" spans="1:2" x14ac:dyDescent="0.3">
      <c r="A278" s="5" t="s">
        <v>1276</v>
      </c>
      <c r="B278" s="5" t="s">
        <v>6735</v>
      </c>
    </row>
    <row r="279" spans="1:2" x14ac:dyDescent="0.3">
      <c r="A279" s="3" t="s">
        <v>6991</v>
      </c>
      <c r="B279" s="3" t="s">
        <v>6992</v>
      </c>
    </row>
    <row r="280" spans="1:2" x14ac:dyDescent="0.3">
      <c r="A280" s="5" t="s">
        <v>6910</v>
      </c>
      <c r="B280" s="5" t="s">
        <v>6911</v>
      </c>
    </row>
    <row r="281" spans="1:2" x14ac:dyDescent="0.3">
      <c r="A281" s="5" t="s">
        <v>637</v>
      </c>
      <c r="B281" s="5" t="s">
        <v>6729</v>
      </c>
    </row>
    <row r="282" spans="1:2" x14ac:dyDescent="0.3">
      <c r="A282" s="3" t="s">
        <v>6766</v>
      </c>
      <c r="B282" s="3" t="s">
        <v>2865</v>
      </c>
    </row>
    <row r="283" spans="1:2" x14ac:dyDescent="0.3">
      <c r="A283" s="3" t="s">
        <v>4315</v>
      </c>
      <c r="B283" s="3" t="s">
        <v>6995</v>
      </c>
    </row>
    <row r="284" spans="1:2" x14ac:dyDescent="0.3">
      <c r="A284" s="5" t="s">
        <v>2248</v>
      </c>
      <c r="B284" s="5" t="s">
        <v>2249</v>
      </c>
    </row>
    <row r="285" spans="1:2" x14ac:dyDescent="0.3">
      <c r="A285" s="3" t="s">
        <v>7034</v>
      </c>
      <c r="B285" s="3" t="s">
        <v>7035</v>
      </c>
    </row>
    <row r="286" spans="1:2" x14ac:dyDescent="0.3">
      <c r="A286" s="3" t="s">
        <v>7016</v>
      </c>
      <c r="B286" s="3" t="s">
        <v>7017</v>
      </c>
    </row>
    <row r="287" spans="1:2" x14ac:dyDescent="0.3">
      <c r="A287" s="3" t="s">
        <v>2540</v>
      </c>
      <c r="B287" s="3" t="s">
        <v>2541</v>
      </c>
    </row>
    <row r="288" spans="1:2" x14ac:dyDescent="0.3">
      <c r="A288" s="5" t="s">
        <v>1277</v>
      </c>
      <c r="B288" s="5" t="s">
        <v>6736</v>
      </c>
    </row>
    <row r="289" spans="1:2" x14ac:dyDescent="0.3">
      <c r="A289" s="3" t="s">
        <v>6991</v>
      </c>
      <c r="B289" s="3" t="s">
        <v>6993</v>
      </c>
    </row>
    <row r="290" spans="1:2" x14ac:dyDescent="0.3">
      <c r="A290" s="5" t="s">
        <v>637</v>
      </c>
      <c r="B290" s="5" t="s">
        <v>6729</v>
      </c>
    </row>
    <row r="291" spans="1:2" x14ac:dyDescent="0.3">
      <c r="A291" s="5" t="s">
        <v>661</v>
      </c>
      <c r="B291" s="5" t="s">
        <v>1761</v>
      </c>
    </row>
    <row r="292" spans="1:2" x14ac:dyDescent="0.3">
      <c r="A292" s="3" t="s">
        <v>699</v>
      </c>
      <c r="B292" s="3" t="s">
        <v>6730</v>
      </c>
    </row>
    <row r="293" spans="1:2" x14ac:dyDescent="0.3">
      <c r="A293" s="5" t="s">
        <v>986</v>
      </c>
      <c r="B293" s="5" t="s">
        <v>6709</v>
      </c>
    </row>
    <row r="294" spans="1:2" x14ac:dyDescent="0.3">
      <c r="A294" s="3" t="s">
        <v>7037</v>
      </c>
      <c r="B294" s="3" t="s">
        <v>7042</v>
      </c>
    </row>
    <row r="295" spans="1:2" x14ac:dyDescent="0.3">
      <c r="A295" s="3" t="s">
        <v>7019</v>
      </c>
      <c r="B295" s="3" t="s">
        <v>2861</v>
      </c>
    </row>
    <row r="296" spans="1:2" x14ac:dyDescent="0.3">
      <c r="A296" s="5" t="s">
        <v>792</v>
      </c>
      <c r="B296" s="5" t="s">
        <v>6693</v>
      </c>
    </row>
    <row r="297" spans="1:2" x14ac:dyDescent="0.3">
      <c r="A297" s="5" t="s">
        <v>636</v>
      </c>
      <c r="B297" s="5" t="s">
        <v>3354</v>
      </c>
    </row>
    <row r="298" spans="1:2" x14ac:dyDescent="0.3">
      <c r="A298" s="5" t="s">
        <v>4315</v>
      </c>
      <c r="B298" s="5" t="s">
        <v>4316</v>
      </c>
    </row>
    <row r="299" spans="1:2" x14ac:dyDescent="0.3">
      <c r="A299" s="5" t="s">
        <v>4315</v>
      </c>
      <c r="B299" s="5" t="s">
        <v>4316</v>
      </c>
    </row>
    <row r="300" spans="1:2" x14ac:dyDescent="0.3">
      <c r="A300" s="5" t="s">
        <v>6414</v>
      </c>
      <c r="B300" s="5" t="s">
        <v>6415</v>
      </c>
    </row>
    <row r="301" spans="1:2" x14ac:dyDescent="0.3">
      <c r="A301" s="5" t="s">
        <v>671</v>
      </c>
      <c r="B301" s="5" t="s">
        <v>2251</v>
      </c>
    </row>
    <row r="302" spans="1:2" x14ac:dyDescent="0.3">
      <c r="A302" s="5" t="s">
        <v>6132</v>
      </c>
      <c r="B302" s="5" t="s">
        <v>6133</v>
      </c>
    </row>
    <row r="303" spans="1:2" x14ac:dyDescent="0.3">
      <c r="A303" s="5" t="s">
        <v>6132</v>
      </c>
      <c r="B303" s="5" t="s">
        <v>6133</v>
      </c>
    </row>
    <row r="304" spans="1:2" x14ac:dyDescent="0.3">
      <c r="A304" s="5" t="s">
        <v>671</v>
      </c>
      <c r="B304" s="5" t="s">
        <v>2251</v>
      </c>
    </row>
    <row r="305" spans="1:2" x14ac:dyDescent="0.3">
      <c r="A305" s="5" t="s">
        <v>1038</v>
      </c>
      <c r="B305" s="5" t="s">
        <v>3351</v>
      </c>
    </row>
    <row r="306" spans="1:2" x14ac:dyDescent="0.3">
      <c r="A306" s="5" t="s">
        <v>3123</v>
      </c>
      <c r="B306" s="5" t="s">
        <v>3353</v>
      </c>
    </row>
    <row r="307" spans="1:2" x14ac:dyDescent="0.3">
      <c r="A307" s="5" t="s">
        <v>3132</v>
      </c>
      <c r="B307" s="5" t="s">
        <v>3355</v>
      </c>
    </row>
    <row r="308" spans="1:2" x14ac:dyDescent="0.3">
      <c r="A308" s="5" t="s">
        <v>1436</v>
      </c>
      <c r="B308" s="5" t="s">
        <v>1437</v>
      </c>
    </row>
    <row r="309" spans="1:2" x14ac:dyDescent="0.3">
      <c r="A309" s="5" t="s">
        <v>121</v>
      </c>
      <c r="B309" s="5" t="s">
        <v>3342</v>
      </c>
    </row>
    <row r="310" spans="1:2" x14ac:dyDescent="0.3">
      <c r="A310" s="5" t="s">
        <v>1779</v>
      </c>
      <c r="B310" s="5" t="s">
        <v>1780</v>
      </c>
    </row>
    <row r="311" spans="1:2" x14ac:dyDescent="0.3">
      <c r="A311" s="5" t="s">
        <v>3201</v>
      </c>
      <c r="B311" s="5" t="s">
        <v>3360</v>
      </c>
    </row>
    <row r="312" spans="1:2" x14ac:dyDescent="0.3">
      <c r="A312" s="5" t="s">
        <v>1957</v>
      </c>
      <c r="B312" s="5" t="s">
        <v>1958</v>
      </c>
    </row>
    <row r="313" spans="1:2" x14ac:dyDescent="0.3">
      <c r="A313" s="5" t="s">
        <v>3241</v>
      </c>
      <c r="B313" s="5" t="s">
        <v>3361</v>
      </c>
    </row>
    <row r="314" spans="1:2" x14ac:dyDescent="0.3">
      <c r="A314" s="5" t="s">
        <v>528</v>
      </c>
      <c r="B314" s="5" t="s">
        <v>3363</v>
      </c>
    </row>
    <row r="315" spans="1:2" x14ac:dyDescent="0.3">
      <c r="A315" s="5" t="s">
        <v>540</v>
      </c>
      <c r="B315" s="5" t="s">
        <v>2205</v>
      </c>
    </row>
    <row r="316" spans="1:2" x14ac:dyDescent="0.3">
      <c r="A316" s="5" t="s">
        <v>3241</v>
      </c>
      <c r="B316" s="5" t="s">
        <v>3361</v>
      </c>
    </row>
    <row r="317" spans="1:2" x14ac:dyDescent="0.3">
      <c r="A317" s="5" t="s">
        <v>3132</v>
      </c>
      <c r="B317" s="5" t="s">
        <v>3355</v>
      </c>
    </row>
    <row r="318" spans="1:2" x14ac:dyDescent="0.3">
      <c r="A318" s="3" t="s">
        <v>6965</v>
      </c>
      <c r="B318" s="3" t="s">
        <v>6966</v>
      </c>
    </row>
    <row r="319" spans="1:2" x14ac:dyDescent="0.3">
      <c r="A319" s="5" t="s">
        <v>3285</v>
      </c>
      <c r="B319" s="5" t="s">
        <v>3367</v>
      </c>
    </row>
    <row r="320" spans="1:2" x14ac:dyDescent="0.3">
      <c r="A320" s="5" t="s">
        <v>1037</v>
      </c>
      <c r="B320" s="5" t="s">
        <v>1959</v>
      </c>
    </row>
    <row r="321" spans="1:2" x14ac:dyDescent="0.3">
      <c r="A321" s="5" t="s">
        <v>1212</v>
      </c>
      <c r="B321" s="5" t="s">
        <v>1853</v>
      </c>
    </row>
    <row r="322" spans="1:2" x14ac:dyDescent="0.3">
      <c r="A322" s="5" t="s">
        <v>2572</v>
      </c>
      <c r="B322" s="5" t="s">
        <v>2573</v>
      </c>
    </row>
    <row r="323" spans="1:2" x14ac:dyDescent="0.3">
      <c r="A323" s="5" t="s">
        <v>1438</v>
      </c>
      <c r="B323" s="5" t="s">
        <v>1439</v>
      </c>
    </row>
    <row r="324" spans="1:2" x14ac:dyDescent="0.3">
      <c r="A324" s="5" t="s">
        <v>3175</v>
      </c>
      <c r="B324" s="5" t="s">
        <v>3356</v>
      </c>
    </row>
    <row r="325" spans="1:2" x14ac:dyDescent="0.3">
      <c r="A325" s="5" t="s">
        <v>575</v>
      </c>
      <c r="B325" s="5" t="s">
        <v>2635</v>
      </c>
    </row>
    <row r="326" spans="1:2" x14ac:dyDescent="0.3">
      <c r="A326" s="5" t="s">
        <v>3201</v>
      </c>
      <c r="B326" s="5" t="s">
        <v>3360</v>
      </c>
    </row>
    <row r="327" spans="1:2" x14ac:dyDescent="0.3">
      <c r="A327" s="5" t="s">
        <v>1957</v>
      </c>
      <c r="B327" s="5" t="s">
        <v>1958</v>
      </c>
    </row>
    <row r="328" spans="1:2" x14ac:dyDescent="0.3">
      <c r="A328" s="5" t="s">
        <v>3242</v>
      </c>
      <c r="B328" s="5" t="s">
        <v>3362</v>
      </c>
    </row>
    <row r="329" spans="1:2" x14ac:dyDescent="0.3">
      <c r="A329" s="5" t="s">
        <v>1199</v>
      </c>
      <c r="B329" s="5" t="s">
        <v>3364</v>
      </c>
    </row>
    <row r="330" spans="1:2" x14ac:dyDescent="0.3">
      <c r="A330" s="5" t="s">
        <v>540</v>
      </c>
      <c r="B330" s="5" t="s">
        <v>2205</v>
      </c>
    </row>
    <row r="331" spans="1:2" x14ac:dyDescent="0.3">
      <c r="A331" s="5" t="s">
        <v>3241</v>
      </c>
      <c r="B331" s="5" t="s">
        <v>3361</v>
      </c>
    </row>
    <row r="332" spans="1:2" x14ac:dyDescent="0.3">
      <c r="A332" s="5" t="s">
        <v>2572</v>
      </c>
      <c r="B332" s="5" t="s">
        <v>2573</v>
      </c>
    </row>
    <row r="333" spans="1:2" x14ac:dyDescent="0.3">
      <c r="A333" s="3" t="s">
        <v>6965</v>
      </c>
      <c r="B333" s="3" t="s">
        <v>6966</v>
      </c>
    </row>
    <row r="334" spans="1:2" x14ac:dyDescent="0.3">
      <c r="A334" s="5" t="s">
        <v>3285</v>
      </c>
      <c r="B334" s="5" t="s">
        <v>3367</v>
      </c>
    </row>
    <row r="335" spans="1:2" x14ac:dyDescent="0.3">
      <c r="A335" s="5" t="s">
        <v>3113</v>
      </c>
      <c r="B335" s="5" t="s">
        <v>3352</v>
      </c>
    </row>
    <row r="336" spans="1:2" x14ac:dyDescent="0.3">
      <c r="A336" s="5" t="s">
        <v>636</v>
      </c>
      <c r="B336" s="5" t="s">
        <v>3354</v>
      </c>
    </row>
    <row r="337" spans="1:2" x14ac:dyDescent="0.3">
      <c r="A337" s="5" t="s">
        <v>2572</v>
      </c>
      <c r="B337" s="5" t="s">
        <v>2573</v>
      </c>
    </row>
    <row r="338" spans="1:2" x14ac:dyDescent="0.3">
      <c r="A338" s="5" t="s">
        <v>2444</v>
      </c>
      <c r="B338" s="5" t="s">
        <v>2445</v>
      </c>
    </row>
    <row r="339" spans="1:2" x14ac:dyDescent="0.3">
      <c r="A339" s="5" t="s">
        <v>3176</v>
      </c>
      <c r="B339" s="5" t="s">
        <v>3357</v>
      </c>
    </row>
    <row r="340" spans="1:2" x14ac:dyDescent="0.3">
      <c r="A340" s="5" t="s">
        <v>575</v>
      </c>
      <c r="B340" s="5" t="s">
        <v>2635</v>
      </c>
    </row>
    <row r="341" spans="1:2" x14ac:dyDescent="0.3">
      <c r="A341" s="5" t="s">
        <v>1434</v>
      </c>
      <c r="B341" s="5" t="s">
        <v>1435</v>
      </c>
    </row>
    <row r="342" spans="1:2" x14ac:dyDescent="0.3">
      <c r="A342" s="5" t="s">
        <v>3242</v>
      </c>
      <c r="B342" s="5" t="s">
        <v>3362</v>
      </c>
    </row>
    <row r="343" spans="1:2" x14ac:dyDescent="0.3">
      <c r="A343" s="5" t="s">
        <v>3067</v>
      </c>
      <c r="B343" s="5" t="s">
        <v>3348</v>
      </c>
    </row>
    <row r="344" spans="1:2" x14ac:dyDescent="0.3">
      <c r="A344" s="3" t="s">
        <v>6969</v>
      </c>
      <c r="B344" s="3" t="s">
        <v>6970</v>
      </c>
    </row>
    <row r="345" spans="1:2" x14ac:dyDescent="0.3">
      <c r="A345" s="5" t="s">
        <v>3285</v>
      </c>
      <c r="B345" s="5" t="s">
        <v>3367</v>
      </c>
    </row>
    <row r="346" spans="1:2" x14ac:dyDescent="0.3">
      <c r="A346" s="1" t="s">
        <v>7081</v>
      </c>
      <c r="B346" s="5" t="s">
        <v>3124</v>
      </c>
    </row>
    <row r="347" spans="1:2" x14ac:dyDescent="0.3">
      <c r="A347" s="5" t="s">
        <v>3177</v>
      </c>
      <c r="B347" s="5" t="s">
        <v>3358</v>
      </c>
    </row>
    <row r="348" spans="1:2" x14ac:dyDescent="0.3">
      <c r="A348" s="5" t="s">
        <v>1200</v>
      </c>
      <c r="B348" s="5" t="s">
        <v>3365</v>
      </c>
    </row>
    <row r="349" spans="1:2" x14ac:dyDescent="0.3">
      <c r="A349" s="5" t="s">
        <v>3242</v>
      </c>
      <c r="B349" s="5" t="s">
        <v>3362</v>
      </c>
    </row>
    <row r="350" spans="1:2" x14ac:dyDescent="0.3">
      <c r="A350" s="5" t="s">
        <v>3066</v>
      </c>
      <c r="B350" s="5" t="s">
        <v>3347</v>
      </c>
    </row>
    <row r="351" spans="1:2" x14ac:dyDescent="0.3">
      <c r="A351" s="3" t="s">
        <v>6969</v>
      </c>
      <c r="B351" s="3" t="s">
        <v>6970</v>
      </c>
    </row>
    <row r="352" spans="1:2" x14ac:dyDescent="0.3">
      <c r="A352" s="5" t="s">
        <v>1211</v>
      </c>
      <c r="B352" s="5" t="s">
        <v>3344</v>
      </c>
    </row>
    <row r="353" spans="1:2" x14ac:dyDescent="0.3">
      <c r="A353" s="5" t="s">
        <v>3178</v>
      </c>
      <c r="B353" s="5" t="s">
        <v>3359</v>
      </c>
    </row>
    <row r="354" spans="1:2" x14ac:dyDescent="0.3">
      <c r="A354" s="5" t="s">
        <v>3250</v>
      </c>
      <c r="B354" s="5" t="s">
        <v>3366</v>
      </c>
    </row>
    <row r="355" spans="1:2" x14ac:dyDescent="0.3">
      <c r="A355" s="5" t="s">
        <v>300</v>
      </c>
      <c r="B355" s="5" t="s">
        <v>2263</v>
      </c>
    </row>
    <row r="356" spans="1:2" x14ac:dyDescent="0.3">
      <c r="A356" s="3" t="s">
        <v>6973</v>
      </c>
      <c r="B356" s="3" t="s">
        <v>6974</v>
      </c>
    </row>
    <row r="357" spans="1:2" x14ac:dyDescent="0.3">
      <c r="A357" s="7" t="s">
        <v>104</v>
      </c>
      <c r="B357" s="6" t="s">
        <v>6700</v>
      </c>
    </row>
    <row r="358" spans="1:2" x14ac:dyDescent="0.3">
      <c r="A358" s="7" t="s">
        <v>119</v>
      </c>
      <c r="B358" s="6" t="s">
        <v>3343</v>
      </c>
    </row>
    <row r="359" spans="1:2" x14ac:dyDescent="0.3">
      <c r="A359" s="7" t="s">
        <v>180</v>
      </c>
      <c r="B359" s="6" t="s">
        <v>6705</v>
      </c>
    </row>
    <row r="360" spans="1:2" x14ac:dyDescent="0.3">
      <c r="A360" s="7" t="s">
        <v>197</v>
      </c>
      <c r="B360" s="6" t="s">
        <v>6742</v>
      </c>
    </row>
    <row r="361" spans="1:2" x14ac:dyDescent="0.3">
      <c r="A361" s="7" t="s">
        <v>217</v>
      </c>
      <c r="B361" s="6" t="s">
        <v>6703</v>
      </c>
    </row>
    <row r="362" spans="1:2" x14ac:dyDescent="0.3">
      <c r="A362" s="7" t="s">
        <v>300</v>
      </c>
      <c r="B362" s="6" t="s">
        <v>2263</v>
      </c>
    </row>
    <row r="363" spans="1:2" x14ac:dyDescent="0.3">
      <c r="A363" s="7" t="s">
        <v>300</v>
      </c>
      <c r="B363" s="6" t="s">
        <v>2263</v>
      </c>
    </row>
    <row r="364" spans="1:2" x14ac:dyDescent="0.3">
      <c r="A364" s="7" t="s">
        <v>386</v>
      </c>
      <c r="B364" s="6" t="s">
        <v>5215</v>
      </c>
    </row>
    <row r="365" spans="1:2" x14ac:dyDescent="0.3">
      <c r="A365" s="7" t="s">
        <v>397</v>
      </c>
      <c r="B365" s="6" t="s">
        <v>6744</v>
      </c>
    </row>
    <row r="366" spans="1:2" x14ac:dyDescent="0.3">
      <c r="A366" s="7" t="s">
        <v>449</v>
      </c>
      <c r="B366" s="6" t="s">
        <v>6745</v>
      </c>
    </row>
    <row r="367" spans="1:2" x14ac:dyDescent="0.3">
      <c r="A367" s="7" t="s">
        <v>300</v>
      </c>
      <c r="B367" s="6" t="s">
        <v>2263</v>
      </c>
    </row>
    <row r="368" spans="1:2" x14ac:dyDescent="0.3">
      <c r="A368" s="7" t="s">
        <v>479</v>
      </c>
      <c r="B368" s="6" t="s">
        <v>6746</v>
      </c>
    </row>
    <row r="369" spans="1:2" x14ac:dyDescent="0.3">
      <c r="A369" s="7" t="s">
        <v>6752</v>
      </c>
      <c r="B369" s="6" t="s">
        <v>6769</v>
      </c>
    </row>
    <row r="370" spans="1:2" x14ac:dyDescent="0.3">
      <c r="A370" s="7" t="s">
        <v>386</v>
      </c>
      <c r="B370" s="6" t="s">
        <v>5215</v>
      </c>
    </row>
    <row r="371" spans="1:2" x14ac:dyDescent="0.3">
      <c r="A371" s="7" t="s">
        <v>397</v>
      </c>
      <c r="B371" s="6" t="s">
        <v>6744</v>
      </c>
    </row>
    <row r="372" spans="1:2" x14ac:dyDescent="0.3">
      <c r="A372" s="7" t="s">
        <v>528</v>
      </c>
      <c r="B372" s="6" t="s">
        <v>3363</v>
      </c>
    </row>
    <row r="373" spans="1:2" x14ac:dyDescent="0.3">
      <c r="A373" s="7" t="s">
        <v>540</v>
      </c>
      <c r="B373" s="6" t="s">
        <v>2205</v>
      </c>
    </row>
    <row r="374" spans="1:2" x14ac:dyDescent="0.3">
      <c r="A374" s="7" t="s">
        <v>553</v>
      </c>
      <c r="B374" s="6" t="s">
        <v>6712</v>
      </c>
    </row>
    <row r="375" spans="1:2" x14ac:dyDescent="0.3">
      <c r="A375" s="7" t="s">
        <v>564</v>
      </c>
      <c r="B375" s="6" t="s">
        <v>2655</v>
      </c>
    </row>
    <row r="376" spans="1:2" x14ac:dyDescent="0.3">
      <c r="A376" s="7" t="s">
        <v>575</v>
      </c>
      <c r="B376" s="6" t="s">
        <v>2635</v>
      </c>
    </row>
    <row r="377" spans="1:2" x14ac:dyDescent="0.3">
      <c r="A377" s="7" t="s">
        <v>180</v>
      </c>
      <c r="B377" s="6" t="s">
        <v>6705</v>
      </c>
    </row>
    <row r="378" spans="1:2" x14ac:dyDescent="0.3">
      <c r="A378" s="7" t="s">
        <v>602</v>
      </c>
      <c r="B378" s="6" t="s">
        <v>2814</v>
      </c>
    </row>
    <row r="379" spans="1:2" x14ac:dyDescent="0.3">
      <c r="A379" s="7" t="s">
        <v>615</v>
      </c>
      <c r="B379" s="6" t="s">
        <v>2702</v>
      </c>
    </row>
    <row r="380" spans="1:2" x14ac:dyDescent="0.3">
      <c r="A380" s="7" t="s">
        <v>602</v>
      </c>
      <c r="B380" s="6" t="s">
        <v>2814</v>
      </c>
    </row>
    <row r="381" spans="1:2" x14ac:dyDescent="0.3">
      <c r="A381" s="7" t="s">
        <v>636</v>
      </c>
      <c r="B381" s="6" t="s">
        <v>3354</v>
      </c>
    </row>
    <row r="382" spans="1:2" x14ac:dyDescent="0.3">
      <c r="A382" s="7" t="s">
        <v>636</v>
      </c>
      <c r="B382" s="6" t="s">
        <v>3354</v>
      </c>
    </row>
    <row r="383" spans="1:2" x14ac:dyDescent="0.3">
      <c r="A383" s="7" t="s">
        <v>661</v>
      </c>
      <c r="B383" s="6" t="s">
        <v>1761</v>
      </c>
    </row>
    <row r="384" spans="1:2" x14ac:dyDescent="0.3">
      <c r="A384" s="7" t="s">
        <v>661</v>
      </c>
      <c r="B384" s="6" t="s">
        <v>1761</v>
      </c>
    </row>
    <row r="385" spans="1:2" x14ac:dyDescent="0.3">
      <c r="A385" s="7" t="s">
        <v>699</v>
      </c>
      <c r="B385" s="6" t="s">
        <v>6730</v>
      </c>
    </row>
    <row r="386" spans="1:2" x14ac:dyDescent="0.3">
      <c r="A386" s="7" t="s">
        <v>711</v>
      </c>
      <c r="B386" s="6" t="s">
        <v>6748</v>
      </c>
    </row>
    <row r="387" spans="1:2" x14ac:dyDescent="0.3">
      <c r="A387" s="7" t="s">
        <v>300</v>
      </c>
      <c r="B387" s="6" t="s">
        <v>2263</v>
      </c>
    </row>
    <row r="388" spans="1:2" x14ac:dyDescent="0.3">
      <c r="A388" s="7" t="s">
        <v>731</v>
      </c>
      <c r="B388" s="6" t="s">
        <v>6725</v>
      </c>
    </row>
    <row r="389" spans="1:2" x14ac:dyDescent="0.3">
      <c r="A389" s="7" t="s">
        <v>743</v>
      </c>
      <c r="B389" s="6" t="s">
        <v>6749</v>
      </c>
    </row>
    <row r="390" spans="1:2" x14ac:dyDescent="0.3">
      <c r="A390" s="7" t="s">
        <v>760</v>
      </c>
      <c r="B390" s="6" t="s">
        <v>6750</v>
      </c>
    </row>
    <row r="391" spans="1:2" x14ac:dyDescent="0.3">
      <c r="A391" s="7" t="s">
        <v>1720</v>
      </c>
      <c r="B391" s="6" t="s">
        <v>1721</v>
      </c>
    </row>
    <row r="392" spans="1:2" x14ac:dyDescent="0.3">
      <c r="A392" s="7" t="s">
        <v>1336</v>
      </c>
      <c r="B392" s="6" t="s">
        <v>1381</v>
      </c>
    </row>
    <row r="393" spans="1:2" x14ac:dyDescent="0.3">
      <c r="A393" s="7" t="s">
        <v>1740</v>
      </c>
      <c r="B393" s="6" t="s">
        <v>1741</v>
      </c>
    </row>
    <row r="394" spans="1:2" x14ac:dyDescent="0.3">
      <c r="A394" s="7" t="s">
        <v>1759</v>
      </c>
      <c r="B394" s="6" t="s">
        <v>1760</v>
      </c>
    </row>
    <row r="395" spans="1:2" x14ac:dyDescent="0.3">
      <c r="A395" s="7" t="s">
        <v>6761</v>
      </c>
      <c r="B395" s="6" t="s">
        <v>6762</v>
      </c>
    </row>
    <row r="396" spans="1:2" x14ac:dyDescent="0.3">
      <c r="A396" s="8" t="s">
        <v>2175</v>
      </c>
      <c r="B396" s="6" t="s">
        <v>1420</v>
      </c>
    </row>
    <row r="397" spans="1:2" x14ac:dyDescent="0.3">
      <c r="A397" s="8" t="s">
        <v>2194</v>
      </c>
      <c r="B397" s="6" t="s">
        <v>2195</v>
      </c>
    </row>
    <row r="398" spans="1:2" x14ac:dyDescent="0.3">
      <c r="A398" s="8" t="s">
        <v>540</v>
      </c>
      <c r="B398" s="6" t="s">
        <v>2205</v>
      </c>
    </row>
    <row r="399" spans="1:2" x14ac:dyDescent="0.3">
      <c r="A399" s="8" t="s">
        <v>1779</v>
      </c>
      <c r="B399" s="6" t="s">
        <v>1780</v>
      </c>
    </row>
    <row r="400" spans="1:2" x14ac:dyDescent="0.3">
      <c r="A400" s="8" t="s">
        <v>2225</v>
      </c>
      <c r="B400" s="6" t="s">
        <v>2226</v>
      </c>
    </row>
    <row r="401" spans="1:2" x14ac:dyDescent="0.3">
      <c r="A401" s="8" t="s">
        <v>2248</v>
      </c>
      <c r="B401" s="6" t="s">
        <v>2249</v>
      </c>
    </row>
    <row r="402" spans="1:2" x14ac:dyDescent="0.3">
      <c r="A402" s="8" t="s">
        <v>300</v>
      </c>
      <c r="B402" s="6" t="s">
        <v>2263</v>
      </c>
    </row>
    <row r="403" spans="1:2" x14ac:dyDescent="0.3">
      <c r="A403" s="8" t="s">
        <v>2314</v>
      </c>
      <c r="B403" s="6" t="s">
        <v>2315</v>
      </c>
    </row>
    <row r="404" spans="1:2" x14ac:dyDescent="0.3">
      <c r="A404" s="7" t="s">
        <v>104</v>
      </c>
      <c r="B404" s="6" t="s">
        <v>6700</v>
      </c>
    </row>
    <row r="405" spans="1:2" x14ac:dyDescent="0.3">
      <c r="A405" s="7" t="s">
        <v>120</v>
      </c>
      <c r="B405" s="6" t="s">
        <v>6740</v>
      </c>
    </row>
    <row r="406" spans="1:2" x14ac:dyDescent="0.3">
      <c r="A406" s="7" t="s">
        <v>181</v>
      </c>
      <c r="B406" s="6" t="s">
        <v>2776</v>
      </c>
    </row>
    <row r="407" spans="1:2" x14ac:dyDescent="0.3">
      <c r="A407" s="7" t="s">
        <v>198</v>
      </c>
      <c r="B407" s="6" t="s">
        <v>6743</v>
      </c>
    </row>
    <row r="408" spans="1:2" x14ac:dyDescent="0.3">
      <c r="A408" s="7" t="s">
        <v>386</v>
      </c>
      <c r="B408" s="6" t="s">
        <v>5215</v>
      </c>
    </row>
    <row r="409" spans="1:2" x14ac:dyDescent="0.3">
      <c r="A409" s="7" t="s">
        <v>397</v>
      </c>
      <c r="B409" s="6" t="s">
        <v>6744</v>
      </c>
    </row>
    <row r="410" spans="1:2" x14ac:dyDescent="0.3">
      <c r="A410" s="7" t="s">
        <v>6754</v>
      </c>
      <c r="B410" s="6" t="s">
        <v>6770</v>
      </c>
    </row>
    <row r="411" spans="1:2" x14ac:dyDescent="0.3">
      <c r="A411" s="7" t="s">
        <v>121</v>
      </c>
      <c r="B411" s="6" t="s">
        <v>3342</v>
      </c>
    </row>
    <row r="412" spans="1:2" x14ac:dyDescent="0.3">
      <c r="A412" s="7" t="s">
        <v>541</v>
      </c>
      <c r="B412" s="6" t="s">
        <v>6747</v>
      </c>
    </row>
    <row r="413" spans="1:2" x14ac:dyDescent="0.3">
      <c r="A413" s="7" t="s">
        <v>553</v>
      </c>
      <c r="B413" s="6" t="s">
        <v>6712</v>
      </c>
    </row>
    <row r="414" spans="1:2" x14ac:dyDescent="0.3">
      <c r="A414" s="7" t="s">
        <v>575</v>
      </c>
      <c r="B414" s="6" t="s">
        <v>2635</v>
      </c>
    </row>
    <row r="415" spans="1:2" x14ac:dyDescent="0.3">
      <c r="A415" s="7" t="s">
        <v>180</v>
      </c>
      <c r="B415" s="6" t="s">
        <v>6705</v>
      </c>
    </row>
    <row r="416" spans="1:2" x14ac:dyDescent="0.3">
      <c r="A416" s="7" t="s">
        <v>602</v>
      </c>
      <c r="B416" s="6" t="s">
        <v>2814</v>
      </c>
    </row>
    <row r="417" spans="1:2" x14ac:dyDescent="0.3">
      <c r="A417" s="7" t="s">
        <v>616</v>
      </c>
      <c r="B417" s="6" t="s">
        <v>2815</v>
      </c>
    </row>
    <row r="418" spans="1:2" x14ac:dyDescent="0.3">
      <c r="A418" s="7" t="s">
        <v>602</v>
      </c>
      <c r="B418" s="6" t="s">
        <v>2814</v>
      </c>
    </row>
    <row r="419" spans="1:2" x14ac:dyDescent="0.3">
      <c r="A419" s="7" t="s">
        <v>636</v>
      </c>
      <c r="B419" s="6" t="s">
        <v>3354</v>
      </c>
    </row>
    <row r="420" spans="1:2" x14ac:dyDescent="0.3">
      <c r="A420" s="7" t="s">
        <v>671</v>
      </c>
      <c r="B420" s="6" t="s">
        <v>2251</v>
      </c>
    </row>
    <row r="421" spans="1:2" x14ac:dyDescent="0.3">
      <c r="A421" s="7" t="s">
        <v>712</v>
      </c>
      <c r="B421" s="6" t="s">
        <v>2716</v>
      </c>
    </row>
    <row r="422" spans="1:2" x14ac:dyDescent="0.3">
      <c r="A422" s="7" t="s">
        <v>743</v>
      </c>
      <c r="B422" s="6" t="s">
        <v>6749</v>
      </c>
    </row>
    <row r="423" spans="1:2" x14ac:dyDescent="0.3">
      <c r="A423" s="7" t="s">
        <v>449</v>
      </c>
      <c r="B423" s="6" t="s">
        <v>6745</v>
      </c>
    </row>
    <row r="424" spans="1:2" x14ac:dyDescent="0.3">
      <c r="A424" s="7" t="s">
        <v>1720</v>
      </c>
      <c r="B424" s="6" t="s">
        <v>1721</v>
      </c>
    </row>
    <row r="425" spans="1:2" x14ac:dyDescent="0.3">
      <c r="A425" s="7" t="s">
        <v>1336</v>
      </c>
      <c r="B425" s="6" t="s">
        <v>1381</v>
      </c>
    </row>
    <row r="426" spans="1:2" x14ac:dyDescent="0.3">
      <c r="A426" s="7" t="s">
        <v>661</v>
      </c>
      <c r="B426" s="6" t="s">
        <v>1761</v>
      </c>
    </row>
    <row r="427" spans="1:2" x14ac:dyDescent="0.3">
      <c r="A427" s="7" t="s">
        <v>6763</v>
      </c>
      <c r="B427" s="6" t="s">
        <v>6764</v>
      </c>
    </row>
    <row r="428" spans="1:2" x14ac:dyDescent="0.3">
      <c r="A428" s="8" t="s">
        <v>1418</v>
      </c>
      <c r="B428" s="6" t="s">
        <v>2177</v>
      </c>
    </row>
    <row r="429" spans="1:2" x14ac:dyDescent="0.3">
      <c r="A429" s="8" t="s">
        <v>1201</v>
      </c>
      <c r="B429" s="6" t="s">
        <v>2197</v>
      </c>
    </row>
    <row r="430" spans="1:2" x14ac:dyDescent="0.3">
      <c r="A430" s="8" t="s">
        <v>968</v>
      </c>
      <c r="B430" s="6" t="s">
        <v>2214</v>
      </c>
    </row>
    <row r="431" spans="1:2" x14ac:dyDescent="0.3">
      <c r="A431" s="8" t="s">
        <v>673</v>
      </c>
      <c r="B431" s="6" t="s">
        <v>2250</v>
      </c>
    </row>
    <row r="432" spans="1:2" x14ac:dyDescent="0.3">
      <c r="A432" s="8" t="s">
        <v>2314</v>
      </c>
      <c r="B432" s="6" t="s">
        <v>2315</v>
      </c>
    </row>
    <row r="433" spans="1:2" x14ac:dyDescent="0.3">
      <c r="A433" s="7" t="s">
        <v>104</v>
      </c>
      <c r="B433" s="6" t="s">
        <v>6700</v>
      </c>
    </row>
    <row r="434" spans="1:2" x14ac:dyDescent="0.3">
      <c r="A434" s="7" t="s">
        <v>121</v>
      </c>
      <c r="B434" s="6" t="s">
        <v>3342</v>
      </c>
    </row>
    <row r="435" spans="1:2" x14ac:dyDescent="0.3">
      <c r="A435" s="7" t="s">
        <v>181</v>
      </c>
      <c r="B435" s="6" t="s">
        <v>2776</v>
      </c>
    </row>
    <row r="436" spans="1:2" x14ac:dyDescent="0.3">
      <c r="A436" s="7" t="s">
        <v>3241</v>
      </c>
      <c r="B436" s="6" t="s">
        <v>3361</v>
      </c>
    </row>
    <row r="437" spans="1:2" x14ac:dyDescent="0.3">
      <c r="A437" s="7" t="s">
        <v>575</v>
      </c>
      <c r="B437" s="6" t="s">
        <v>2635</v>
      </c>
    </row>
    <row r="438" spans="1:2" x14ac:dyDescent="0.3">
      <c r="A438" s="7" t="s">
        <v>616</v>
      </c>
      <c r="B438" s="6" t="s">
        <v>2815</v>
      </c>
    </row>
    <row r="439" spans="1:2" x14ac:dyDescent="0.3">
      <c r="A439" s="7" t="s">
        <v>637</v>
      </c>
      <c r="B439" s="6" t="s">
        <v>6729</v>
      </c>
    </row>
    <row r="440" spans="1:2" x14ac:dyDescent="0.3">
      <c r="A440" s="7" t="s">
        <v>672</v>
      </c>
      <c r="B440" s="6" t="s">
        <v>2534</v>
      </c>
    </row>
    <row r="441" spans="1:2" x14ac:dyDescent="0.3">
      <c r="A441" s="7" t="s">
        <v>743</v>
      </c>
      <c r="B441" s="6" t="s">
        <v>6749</v>
      </c>
    </row>
    <row r="442" spans="1:2" x14ac:dyDescent="0.3">
      <c r="A442" s="7" t="s">
        <v>449</v>
      </c>
      <c r="B442" s="6" t="s">
        <v>6745</v>
      </c>
    </row>
    <row r="443" spans="1:2" x14ac:dyDescent="0.3">
      <c r="A443" s="7" t="s">
        <v>1722</v>
      </c>
      <c r="B443" s="6" t="s">
        <v>1723</v>
      </c>
    </row>
    <row r="444" spans="1:2" x14ac:dyDescent="0.3">
      <c r="A444" s="7" t="s">
        <v>1336</v>
      </c>
      <c r="B444" s="6" t="s">
        <v>1381</v>
      </c>
    </row>
    <row r="445" spans="1:2" x14ac:dyDescent="0.3">
      <c r="A445" s="7" t="s">
        <v>661</v>
      </c>
      <c r="B445" s="6" t="s">
        <v>1761</v>
      </c>
    </row>
    <row r="446" spans="1:2" x14ac:dyDescent="0.3">
      <c r="A446" s="7" t="s">
        <v>6765</v>
      </c>
      <c r="B446" s="6" t="s">
        <v>2715</v>
      </c>
    </row>
    <row r="447" spans="1:2" x14ac:dyDescent="0.3">
      <c r="A447" s="8" t="s">
        <v>1418</v>
      </c>
      <c r="B447" s="6" t="s">
        <v>2177</v>
      </c>
    </row>
    <row r="448" spans="1:2" x14ac:dyDescent="0.3">
      <c r="A448" s="8" t="s">
        <v>671</v>
      </c>
      <c r="B448" s="6" t="s">
        <v>2251</v>
      </c>
    </row>
    <row r="449" spans="1:2" x14ac:dyDescent="0.3">
      <c r="A449" s="8" t="s">
        <v>2317</v>
      </c>
      <c r="B449" s="6" t="s">
        <v>2318</v>
      </c>
    </row>
    <row r="450" spans="1:2" x14ac:dyDescent="0.3">
      <c r="A450" s="7" t="s">
        <v>122</v>
      </c>
      <c r="B450" s="6" t="s">
        <v>6741</v>
      </c>
    </row>
    <row r="451" spans="1:2" x14ac:dyDescent="0.3">
      <c r="A451" s="7" t="s">
        <v>182</v>
      </c>
      <c r="B451" s="6" t="s">
        <v>1680</v>
      </c>
    </row>
    <row r="452" spans="1:2" x14ac:dyDescent="0.3">
      <c r="A452" s="7" t="s">
        <v>3241</v>
      </c>
      <c r="B452" s="6" t="s">
        <v>3361</v>
      </c>
    </row>
    <row r="453" spans="1:2" x14ac:dyDescent="0.3">
      <c r="A453" s="7" t="s">
        <v>673</v>
      </c>
      <c r="B453" s="6" t="s">
        <v>2250</v>
      </c>
    </row>
    <row r="454" spans="1:2" x14ac:dyDescent="0.3">
      <c r="A454" s="7" t="s">
        <v>449</v>
      </c>
      <c r="B454" s="6" t="s">
        <v>6745</v>
      </c>
    </row>
    <row r="455" spans="1:2" x14ac:dyDescent="0.3">
      <c r="A455" s="7" t="s">
        <v>661</v>
      </c>
      <c r="B455" s="6" t="s">
        <v>1761</v>
      </c>
    </row>
    <row r="456" spans="1:2" x14ac:dyDescent="0.3">
      <c r="A456" s="7" t="s">
        <v>6766</v>
      </c>
      <c r="B456" s="6" t="s">
        <v>2865</v>
      </c>
    </row>
    <row r="457" spans="1:2" x14ac:dyDescent="0.3">
      <c r="A457" s="8" t="s">
        <v>1418</v>
      </c>
      <c r="B457" s="6" t="s">
        <v>2177</v>
      </c>
    </row>
    <row r="458" spans="1:2" x14ac:dyDescent="0.3">
      <c r="A458" s="7" t="s">
        <v>182</v>
      </c>
      <c r="B458" s="6" t="s">
        <v>1680</v>
      </c>
    </row>
    <row r="459" spans="1:2" x14ac:dyDescent="0.3">
      <c r="A459" s="7" t="s">
        <v>6754</v>
      </c>
      <c r="B459" s="6" t="s">
        <v>6770</v>
      </c>
    </row>
    <row r="460" spans="1:2" x14ac:dyDescent="0.3">
      <c r="A460" s="7" t="s">
        <v>674</v>
      </c>
      <c r="B460" s="6" t="s">
        <v>2533</v>
      </c>
    </row>
    <row r="461" spans="1:2" x14ac:dyDescent="0.3">
      <c r="A461" s="7" t="s">
        <v>661</v>
      </c>
      <c r="B461" s="6" t="s">
        <v>1761</v>
      </c>
    </row>
    <row r="462" spans="1:2" x14ac:dyDescent="0.3">
      <c r="A462" s="8" t="s">
        <v>1418</v>
      </c>
      <c r="B462" s="6" t="s">
        <v>2177</v>
      </c>
    </row>
    <row r="463" spans="1:2" x14ac:dyDescent="0.3">
      <c r="A463" s="7" t="s">
        <v>553</v>
      </c>
      <c r="B463" s="6" t="s">
        <v>1364</v>
      </c>
    </row>
    <row r="464" spans="1:2" x14ac:dyDescent="0.3">
      <c r="A464" s="7" t="s">
        <v>1336</v>
      </c>
      <c r="B464" s="6" t="s">
        <v>1381</v>
      </c>
    </row>
    <row r="465" spans="1:2" x14ac:dyDescent="0.3">
      <c r="A465" s="7" t="s">
        <v>1418</v>
      </c>
      <c r="B465" s="6" t="s">
        <v>1419</v>
      </c>
    </row>
    <row r="466" spans="1:2" x14ac:dyDescent="0.3">
      <c r="A466" s="7" t="s">
        <v>1432</v>
      </c>
      <c r="B466" s="6" t="s">
        <v>1433</v>
      </c>
    </row>
    <row r="467" spans="1:2" x14ac:dyDescent="0.3">
      <c r="A467" s="7" t="s">
        <v>1944</v>
      </c>
      <c r="B467" s="6" t="s">
        <v>1945</v>
      </c>
    </row>
    <row r="468" spans="1:2" x14ac:dyDescent="0.3">
      <c r="A468" s="7" t="s">
        <v>1955</v>
      </c>
      <c r="B468" s="6" t="s">
        <v>1956</v>
      </c>
    </row>
    <row r="469" spans="1:2" x14ac:dyDescent="0.3">
      <c r="A469" s="7" t="s">
        <v>553</v>
      </c>
      <c r="B469" s="6" t="s">
        <v>1364</v>
      </c>
    </row>
    <row r="470" spans="1:2" x14ac:dyDescent="0.3">
      <c r="A470" s="7" t="s">
        <v>1336</v>
      </c>
      <c r="B470" s="6" t="s">
        <v>1381</v>
      </c>
    </row>
    <row r="471" spans="1:2" x14ac:dyDescent="0.3">
      <c r="A471" s="7" t="s">
        <v>1418</v>
      </c>
      <c r="B471" s="6" t="s">
        <v>1419</v>
      </c>
    </row>
    <row r="472" spans="1:2" x14ac:dyDescent="0.3">
      <c r="A472" s="7" t="s">
        <v>1434</v>
      </c>
      <c r="B472" s="6" t="s">
        <v>1435</v>
      </c>
    </row>
    <row r="473" spans="1:2" x14ac:dyDescent="0.3">
      <c r="A473" s="7" t="s">
        <v>1957</v>
      </c>
      <c r="B473" s="6" t="s">
        <v>1958</v>
      </c>
    </row>
    <row r="474" spans="1:2" x14ac:dyDescent="0.3">
      <c r="A474" s="7" t="s">
        <v>553</v>
      </c>
      <c r="B474" s="6" t="s">
        <v>1364</v>
      </c>
    </row>
    <row r="475" spans="1:2" x14ac:dyDescent="0.3">
      <c r="A475" s="7" t="s">
        <v>1336</v>
      </c>
      <c r="B475" s="6" t="s">
        <v>1381</v>
      </c>
    </row>
    <row r="476" spans="1:2" x14ac:dyDescent="0.3">
      <c r="A476" s="7" t="s">
        <v>1418</v>
      </c>
      <c r="B476" s="6" t="s">
        <v>1420</v>
      </c>
    </row>
    <row r="477" spans="1:2" x14ac:dyDescent="0.3">
      <c r="A477" s="7" t="s">
        <v>1436</v>
      </c>
      <c r="B477" s="6" t="s">
        <v>1437</v>
      </c>
    </row>
    <row r="478" spans="1:2" x14ac:dyDescent="0.3">
      <c r="A478" s="7" t="s">
        <v>1037</v>
      </c>
      <c r="B478" s="6" t="s">
        <v>1959</v>
      </c>
    </row>
    <row r="479" spans="1:2" x14ac:dyDescent="0.3">
      <c r="A479" s="7" t="s">
        <v>553</v>
      </c>
      <c r="B479" s="6" t="s">
        <v>1364</v>
      </c>
    </row>
    <row r="480" spans="1:2" x14ac:dyDescent="0.3">
      <c r="A480" s="7" t="s">
        <v>1336</v>
      </c>
      <c r="B480" s="6" t="s">
        <v>1381</v>
      </c>
    </row>
    <row r="481" spans="1:2" x14ac:dyDescent="0.3">
      <c r="A481" s="7" t="s">
        <v>1418</v>
      </c>
      <c r="B481" s="6" t="s">
        <v>1419</v>
      </c>
    </row>
    <row r="482" spans="1:2" x14ac:dyDescent="0.3">
      <c r="A482" s="7" t="s">
        <v>1438</v>
      </c>
      <c r="B482" s="6" t="s">
        <v>1439</v>
      </c>
    </row>
    <row r="483" spans="1:2" x14ac:dyDescent="0.3">
      <c r="A483" s="7" t="s">
        <v>1960</v>
      </c>
      <c r="B483" s="6" t="s">
        <v>1961</v>
      </c>
    </row>
    <row r="484" spans="1:2" x14ac:dyDescent="0.3">
      <c r="A484" s="7" t="s">
        <v>553</v>
      </c>
      <c r="B484" s="6" t="s">
        <v>1364</v>
      </c>
    </row>
    <row r="485" spans="1:2" x14ac:dyDescent="0.3">
      <c r="A485" s="7" t="s">
        <v>1336</v>
      </c>
      <c r="B485" s="6" t="s">
        <v>1381</v>
      </c>
    </row>
    <row r="486" spans="1:2" x14ac:dyDescent="0.3">
      <c r="A486" s="7" t="s">
        <v>1418</v>
      </c>
      <c r="B486" s="6" t="s">
        <v>1419</v>
      </c>
    </row>
    <row r="487" spans="1:2" x14ac:dyDescent="0.3">
      <c r="A487" s="7" t="s">
        <v>1962</v>
      </c>
      <c r="B487" s="6" t="s">
        <v>1963</v>
      </c>
    </row>
    <row r="488" spans="1:2" x14ac:dyDescent="0.3">
      <c r="A488" s="5" t="s">
        <v>1418</v>
      </c>
      <c r="B488" s="5" t="s">
        <v>2177</v>
      </c>
    </row>
    <row r="489" spans="1:2" x14ac:dyDescent="0.3">
      <c r="A489" s="5" t="s">
        <v>2434</v>
      </c>
      <c r="B489" s="5" t="s">
        <v>2435</v>
      </c>
    </row>
    <row r="490" spans="1:2" x14ac:dyDescent="0.3">
      <c r="A490" s="5" t="s">
        <v>2444</v>
      </c>
      <c r="B490" s="5" t="s">
        <v>2445</v>
      </c>
    </row>
    <row r="491" spans="1:2" x14ac:dyDescent="0.3">
      <c r="A491" s="5" t="s">
        <v>2469</v>
      </c>
      <c r="B491" s="5" t="s">
        <v>2470</v>
      </c>
    </row>
    <row r="492" spans="1:2" x14ac:dyDescent="0.3">
      <c r="A492" s="5" t="s">
        <v>2506</v>
      </c>
      <c r="B492" s="5" t="s">
        <v>2507</v>
      </c>
    </row>
    <row r="493" spans="1:2" x14ac:dyDescent="0.3">
      <c r="A493" s="5" t="s">
        <v>2517</v>
      </c>
      <c r="B493" s="5" t="s">
        <v>2518</v>
      </c>
    </row>
    <row r="494" spans="1:2" x14ac:dyDescent="0.3">
      <c r="A494" s="5" t="s">
        <v>674</v>
      </c>
      <c r="B494" s="5" t="s">
        <v>2533</v>
      </c>
    </row>
    <row r="495" spans="1:2" x14ac:dyDescent="0.3">
      <c r="A495" s="5" t="s">
        <v>2572</v>
      </c>
      <c r="B495" s="5" t="s">
        <v>2573</v>
      </c>
    </row>
    <row r="496" spans="1:2" x14ac:dyDescent="0.3">
      <c r="A496" s="5" t="s">
        <v>2584</v>
      </c>
      <c r="B496" s="5" t="s">
        <v>2585</v>
      </c>
    </row>
    <row r="497" spans="1:2" x14ac:dyDescent="0.3">
      <c r="A497" s="5" t="s">
        <v>1960</v>
      </c>
      <c r="B497" s="5" t="s">
        <v>1961</v>
      </c>
    </row>
    <row r="498" spans="1:2" x14ac:dyDescent="0.3">
      <c r="A498" s="5" t="s">
        <v>1418</v>
      </c>
      <c r="B498" s="5" t="s">
        <v>2177</v>
      </c>
    </row>
    <row r="499" spans="1:2" x14ac:dyDescent="0.3">
      <c r="A499" s="5" t="s">
        <v>2615</v>
      </c>
      <c r="B499" s="5" t="s">
        <v>2616</v>
      </c>
    </row>
    <row r="500" spans="1:2" x14ac:dyDescent="0.3">
      <c r="A500" s="5" t="s">
        <v>564</v>
      </c>
      <c r="B500" s="5" t="s">
        <v>2655</v>
      </c>
    </row>
    <row r="501" spans="1:2" x14ac:dyDescent="0.3">
      <c r="A501" s="5" t="s">
        <v>2517</v>
      </c>
      <c r="B501" s="5" t="s">
        <v>2518</v>
      </c>
    </row>
    <row r="502" spans="1:2" x14ac:dyDescent="0.3">
      <c r="A502" s="5" t="s">
        <v>2506</v>
      </c>
      <c r="B502" s="5" t="s">
        <v>2507</v>
      </c>
    </row>
    <row r="503" spans="1:2" x14ac:dyDescent="0.3">
      <c r="A503" s="5" t="s">
        <v>615</v>
      </c>
      <c r="B503" s="5" t="s">
        <v>2702</v>
      </c>
    </row>
    <row r="504" spans="1:2" x14ac:dyDescent="0.3">
      <c r="A504" s="5" t="s">
        <v>564</v>
      </c>
      <c r="B504" s="5" t="s">
        <v>2655</v>
      </c>
    </row>
    <row r="505" spans="1:2" x14ac:dyDescent="0.3">
      <c r="A505" s="5" t="s">
        <v>2469</v>
      </c>
      <c r="B505" s="5" t="s">
        <v>2470</v>
      </c>
    </row>
    <row r="506" spans="1:2" x14ac:dyDescent="0.3">
      <c r="A506" s="5" t="s">
        <v>1720</v>
      </c>
      <c r="B506" s="5" t="s">
        <v>1721</v>
      </c>
    </row>
    <row r="507" spans="1:2" x14ac:dyDescent="0.3">
      <c r="A507" s="5" t="s">
        <v>182</v>
      </c>
      <c r="B507" s="5" t="s">
        <v>1680</v>
      </c>
    </row>
    <row r="508" spans="1:2" x14ac:dyDescent="0.3">
      <c r="A508" s="5" t="s">
        <v>2786</v>
      </c>
      <c r="B508" s="5" t="s">
        <v>2787</v>
      </c>
    </row>
    <row r="509" spans="1:2" x14ac:dyDescent="0.3">
      <c r="A509" s="5" t="s">
        <v>2420</v>
      </c>
      <c r="B509" s="5" t="s">
        <v>2421</v>
      </c>
    </row>
    <row r="510" spans="1:2" x14ac:dyDescent="0.3">
      <c r="A510" s="5" t="s">
        <v>1438</v>
      </c>
      <c r="B510" s="5" t="s">
        <v>1439</v>
      </c>
    </row>
    <row r="511" spans="1:2" x14ac:dyDescent="0.3">
      <c r="A511" s="5" t="s">
        <v>2471</v>
      </c>
      <c r="B511" s="5" t="s">
        <v>2472</v>
      </c>
    </row>
    <row r="512" spans="1:2" x14ac:dyDescent="0.3">
      <c r="A512" s="5" t="s">
        <v>2506</v>
      </c>
      <c r="B512" s="5" t="s">
        <v>2507</v>
      </c>
    </row>
    <row r="513" spans="1:2" x14ac:dyDescent="0.3">
      <c r="A513" s="5" t="s">
        <v>2506</v>
      </c>
      <c r="B513" s="5" t="s">
        <v>2507</v>
      </c>
    </row>
    <row r="514" spans="1:2" x14ac:dyDescent="0.3">
      <c r="A514" s="5" t="s">
        <v>661</v>
      </c>
      <c r="B514" s="5" t="s">
        <v>1761</v>
      </c>
    </row>
    <row r="515" spans="1:2" x14ac:dyDescent="0.3">
      <c r="A515" s="5" t="s">
        <v>2574</v>
      </c>
      <c r="B515" s="5" t="s">
        <v>2575</v>
      </c>
    </row>
    <row r="516" spans="1:2" x14ac:dyDescent="0.3">
      <c r="A516" s="5" t="s">
        <v>1962</v>
      </c>
      <c r="B516" s="5" t="s">
        <v>1963</v>
      </c>
    </row>
    <row r="517" spans="1:2" x14ac:dyDescent="0.3">
      <c r="A517" s="5" t="s">
        <v>2194</v>
      </c>
      <c r="B517" s="5" t="s">
        <v>2195</v>
      </c>
    </row>
    <row r="518" spans="1:2" x14ac:dyDescent="0.3">
      <c r="A518" s="5" t="s">
        <v>575</v>
      </c>
      <c r="B518" s="5" t="s">
        <v>2635</v>
      </c>
    </row>
    <row r="519" spans="1:2" x14ac:dyDescent="0.3">
      <c r="A519" s="5" t="s">
        <v>2506</v>
      </c>
      <c r="B519" s="5" t="s">
        <v>2507</v>
      </c>
    </row>
    <row r="520" spans="1:2" x14ac:dyDescent="0.3">
      <c r="A520" s="5" t="s">
        <v>540</v>
      </c>
      <c r="B520" s="5" t="s">
        <v>2205</v>
      </c>
    </row>
    <row r="521" spans="1:2" x14ac:dyDescent="0.3">
      <c r="A521" s="5" t="s">
        <v>2483</v>
      </c>
      <c r="B521" s="5" t="s">
        <v>2484</v>
      </c>
    </row>
    <row r="522" spans="1:2" x14ac:dyDescent="0.3">
      <c r="A522" s="5" t="s">
        <v>181</v>
      </c>
      <c r="B522" s="5" t="s">
        <v>2776</v>
      </c>
    </row>
    <row r="523" spans="1:2" x14ac:dyDescent="0.3">
      <c r="A523" s="5" t="s">
        <v>2175</v>
      </c>
      <c r="B523" s="5" t="s">
        <v>1420</v>
      </c>
    </row>
    <row r="524" spans="1:2" x14ac:dyDescent="0.3">
      <c r="A524" s="5" t="s">
        <v>2473</v>
      </c>
      <c r="B524" s="5" t="s">
        <v>2474</v>
      </c>
    </row>
    <row r="525" spans="1:2" x14ac:dyDescent="0.3">
      <c r="A525" s="5" t="s">
        <v>671</v>
      </c>
      <c r="B525" s="5" t="s">
        <v>2251</v>
      </c>
    </row>
    <row r="526" spans="1:2" x14ac:dyDescent="0.3">
      <c r="A526" s="5" t="s">
        <v>2576</v>
      </c>
      <c r="B526" s="5" t="s">
        <v>2577</v>
      </c>
    </row>
    <row r="527" spans="1:2" x14ac:dyDescent="0.3">
      <c r="A527" s="5" t="s">
        <v>2175</v>
      </c>
      <c r="B527" s="5" t="s">
        <v>1420</v>
      </c>
    </row>
    <row r="528" spans="1:2" x14ac:dyDescent="0.3">
      <c r="A528" s="5" t="s">
        <v>575</v>
      </c>
      <c r="B528" s="5" t="s">
        <v>2635</v>
      </c>
    </row>
    <row r="529" spans="1:2" x14ac:dyDescent="0.3">
      <c r="A529" s="5" t="s">
        <v>929</v>
      </c>
      <c r="B529" s="5" t="s">
        <v>1681</v>
      </c>
    </row>
    <row r="530" spans="1:2" x14ac:dyDescent="0.3">
      <c r="A530" s="5" t="s">
        <v>1418</v>
      </c>
      <c r="B530" s="5" t="s">
        <v>2177</v>
      </c>
    </row>
    <row r="531" spans="1:2" x14ac:dyDescent="0.3">
      <c r="A531" s="5" t="s">
        <v>1720</v>
      </c>
      <c r="B531" s="5" t="s">
        <v>1721</v>
      </c>
    </row>
    <row r="532" spans="1:2" x14ac:dyDescent="0.3">
      <c r="A532" s="5" t="s">
        <v>672</v>
      </c>
      <c r="B532" s="5" t="s">
        <v>2534</v>
      </c>
    </row>
    <row r="533" spans="1:2" x14ac:dyDescent="0.3">
      <c r="A533" s="5" t="s">
        <v>2422</v>
      </c>
      <c r="B533" s="5" t="s">
        <v>2423</v>
      </c>
    </row>
    <row r="534" spans="1:2" x14ac:dyDescent="0.3">
      <c r="A534" s="5" t="s">
        <v>2422</v>
      </c>
      <c r="B534" s="5" t="s">
        <v>2423</v>
      </c>
    </row>
    <row r="535" spans="1:2" x14ac:dyDescent="0.3">
      <c r="A535" s="5" t="s">
        <v>2475</v>
      </c>
      <c r="B535" s="5" t="s">
        <v>2476</v>
      </c>
    </row>
    <row r="536" spans="1:2" x14ac:dyDescent="0.3">
      <c r="A536" s="5" t="s">
        <v>2453</v>
      </c>
      <c r="B536" s="5" t="s">
        <v>2454</v>
      </c>
    </row>
    <row r="537" spans="1:2" x14ac:dyDescent="0.3">
      <c r="A537" s="5" t="s">
        <v>2483</v>
      </c>
      <c r="B537" s="5" t="s">
        <v>2484</v>
      </c>
    </row>
    <row r="538" spans="1:2" x14ac:dyDescent="0.3">
      <c r="A538" s="5" t="s">
        <v>182</v>
      </c>
      <c r="B538" s="5" t="s">
        <v>1680</v>
      </c>
    </row>
    <row r="539" spans="1:2" x14ac:dyDescent="0.3">
      <c r="A539" s="5" t="s">
        <v>1336</v>
      </c>
      <c r="B539" s="5" t="s">
        <v>1381</v>
      </c>
    </row>
    <row r="540" spans="1:2" x14ac:dyDescent="0.3">
      <c r="A540" s="5" t="s">
        <v>2540</v>
      </c>
      <c r="B540" s="5" t="s">
        <v>2541</v>
      </c>
    </row>
    <row r="541" spans="1:2" x14ac:dyDescent="0.3">
      <c r="A541" s="5" t="s">
        <v>1074</v>
      </c>
      <c r="B541" s="5" t="s">
        <v>2550</v>
      </c>
    </row>
    <row r="542" spans="1:2" x14ac:dyDescent="0.3">
      <c r="A542" s="5" t="s">
        <v>2563</v>
      </c>
      <c r="B542" s="5" t="s">
        <v>2564</v>
      </c>
    </row>
    <row r="543" spans="1:2" x14ac:dyDescent="0.3">
      <c r="A543" s="5" t="s">
        <v>1304</v>
      </c>
      <c r="B543" s="5" t="s">
        <v>2626</v>
      </c>
    </row>
    <row r="544" spans="1:2" x14ac:dyDescent="0.3">
      <c r="A544" s="5" t="s">
        <v>575</v>
      </c>
      <c r="B544" s="5" t="s">
        <v>2635</v>
      </c>
    </row>
    <row r="545" spans="1:2" x14ac:dyDescent="0.3">
      <c r="A545" s="5" t="s">
        <v>2506</v>
      </c>
      <c r="B545" s="5" t="s">
        <v>2507</v>
      </c>
    </row>
    <row r="546" spans="1:2" x14ac:dyDescent="0.3">
      <c r="A546" s="5" t="s">
        <v>2693</v>
      </c>
      <c r="B546" s="5" t="s">
        <v>2694</v>
      </c>
    </row>
    <row r="547" spans="1:2" x14ac:dyDescent="0.3">
      <c r="A547" s="5" t="s">
        <v>2712</v>
      </c>
      <c r="B547" s="5" t="s">
        <v>2713</v>
      </c>
    </row>
    <row r="548" spans="1:2" x14ac:dyDescent="0.3">
      <c r="A548" s="5" t="s">
        <v>2723</v>
      </c>
      <c r="B548" s="5" t="s">
        <v>2724</v>
      </c>
    </row>
    <row r="549" spans="1:2" x14ac:dyDescent="0.3">
      <c r="A549" s="5" t="s">
        <v>2738</v>
      </c>
      <c r="B549" s="5" t="s">
        <v>2739</v>
      </c>
    </row>
    <row r="550" spans="1:2" x14ac:dyDescent="0.3">
      <c r="A550" s="5" t="s">
        <v>2576</v>
      </c>
      <c r="B550" s="5" t="s">
        <v>2577</v>
      </c>
    </row>
    <row r="551" spans="1:2" x14ac:dyDescent="0.3">
      <c r="A551" s="5" t="s">
        <v>2455</v>
      </c>
      <c r="B551" s="5" t="s">
        <v>2456</v>
      </c>
    </row>
    <row r="552" spans="1:2" x14ac:dyDescent="0.3">
      <c r="A552" s="5" t="s">
        <v>1074</v>
      </c>
      <c r="B552" s="5" t="s">
        <v>2550</v>
      </c>
    </row>
    <row r="553" spans="1:2" x14ac:dyDescent="0.3">
      <c r="A553" s="5" t="s">
        <v>2506</v>
      </c>
      <c r="B553" s="5" t="s">
        <v>2507</v>
      </c>
    </row>
    <row r="554" spans="1:2" x14ac:dyDescent="0.3">
      <c r="A554" s="5" t="s">
        <v>2714</v>
      </c>
      <c r="B554" s="5" t="s">
        <v>2715</v>
      </c>
    </row>
    <row r="555" spans="1:2" x14ac:dyDescent="0.3">
      <c r="A555" s="5" t="s">
        <v>2434</v>
      </c>
      <c r="B555" s="5" t="s">
        <v>2435</v>
      </c>
    </row>
    <row r="556" spans="1:2" x14ac:dyDescent="0.3">
      <c r="A556" s="5" t="s">
        <v>2738</v>
      </c>
      <c r="B556" s="5" t="s">
        <v>2739</v>
      </c>
    </row>
    <row r="557" spans="1:2" x14ac:dyDescent="0.3">
      <c r="A557" s="5" t="s">
        <v>2457</v>
      </c>
      <c r="B557" s="5" t="s">
        <v>2458</v>
      </c>
    </row>
    <row r="558" spans="1:2" x14ac:dyDescent="0.3">
      <c r="A558" s="5" t="s">
        <v>2551</v>
      </c>
      <c r="B558" s="5" t="s">
        <v>2552</v>
      </c>
    </row>
    <row r="559" spans="1:2" x14ac:dyDescent="0.3">
      <c r="A559" s="5" t="s">
        <v>575</v>
      </c>
      <c r="B559" s="5" t="s">
        <v>2635</v>
      </c>
    </row>
    <row r="560" spans="1:2" x14ac:dyDescent="0.3">
      <c r="A560" s="5" t="s">
        <v>2506</v>
      </c>
      <c r="B560" s="5" t="s">
        <v>2507</v>
      </c>
    </row>
    <row r="561" spans="1:2" x14ac:dyDescent="0.3">
      <c r="A561" s="5" t="s">
        <v>2714</v>
      </c>
      <c r="B561" s="5" t="s">
        <v>2715</v>
      </c>
    </row>
    <row r="562" spans="1:2" x14ac:dyDescent="0.3">
      <c r="A562" s="5" t="s">
        <v>2725</v>
      </c>
      <c r="B562" s="5" t="s">
        <v>2726</v>
      </c>
    </row>
    <row r="563" spans="1:2" x14ac:dyDescent="0.3">
      <c r="A563" s="5" t="s">
        <v>1521</v>
      </c>
      <c r="B563" s="5" t="s">
        <v>1522</v>
      </c>
    </row>
    <row r="564" spans="1:2" x14ac:dyDescent="0.3">
      <c r="A564" s="5" t="s">
        <v>2727</v>
      </c>
      <c r="B564" s="5" t="s">
        <v>2728</v>
      </c>
    </row>
    <row r="565" spans="1:2" x14ac:dyDescent="0.3">
      <c r="A565" s="5" t="s">
        <v>712</v>
      </c>
      <c r="B565" s="5" t="s">
        <v>2716</v>
      </c>
    </row>
    <row r="566" spans="1:2" x14ac:dyDescent="0.3">
      <c r="A566" s="5" t="s">
        <v>6773</v>
      </c>
      <c r="B566" s="5" t="s">
        <v>6774</v>
      </c>
    </row>
    <row r="567" spans="1:2" x14ac:dyDescent="0.3">
      <c r="A567" s="5" t="s">
        <v>731</v>
      </c>
      <c r="B567" s="5" t="s">
        <v>6725</v>
      </c>
    </row>
    <row r="568" spans="1:2" x14ac:dyDescent="0.3">
      <c r="A568" s="5" t="s">
        <v>6773</v>
      </c>
      <c r="B568" s="5" t="s">
        <v>6774</v>
      </c>
    </row>
    <row r="569" spans="1:2" x14ac:dyDescent="0.3">
      <c r="A569" s="5" t="s">
        <v>6781</v>
      </c>
      <c r="B569" s="5" t="s">
        <v>6782</v>
      </c>
    </row>
    <row r="570" spans="1:2" x14ac:dyDescent="0.3">
      <c r="A570" s="5" t="s">
        <v>4315</v>
      </c>
      <c r="B570" s="5" t="s">
        <v>4316</v>
      </c>
    </row>
    <row r="571" spans="1:2" x14ac:dyDescent="0.3">
      <c r="A571" s="5" t="s">
        <v>1326</v>
      </c>
      <c r="B571" s="5" t="s">
        <v>4661</v>
      </c>
    </row>
    <row r="572" spans="1:2" x14ac:dyDescent="0.3">
      <c r="A572" s="5" t="s">
        <v>4828</v>
      </c>
      <c r="B572" s="5" t="s">
        <v>4829</v>
      </c>
    </row>
    <row r="573" spans="1:2" x14ac:dyDescent="0.3">
      <c r="A573" s="5" t="s">
        <v>4868</v>
      </c>
      <c r="B573" s="5" t="s">
        <v>4869</v>
      </c>
    </row>
    <row r="574" spans="1:2" x14ac:dyDescent="0.3">
      <c r="A574" s="5" t="s">
        <v>2248</v>
      </c>
      <c r="B574" s="5" t="s">
        <v>2249</v>
      </c>
    </row>
    <row r="575" spans="1:2" x14ac:dyDescent="0.3">
      <c r="A575" s="5" t="s">
        <v>300</v>
      </c>
      <c r="B575" s="5" t="s">
        <v>2263</v>
      </c>
    </row>
    <row r="576" spans="1:2" x14ac:dyDescent="0.3">
      <c r="A576" s="5" t="s">
        <v>4315</v>
      </c>
      <c r="B576" s="5" t="s">
        <v>4316</v>
      </c>
    </row>
    <row r="577" spans="1:2" x14ac:dyDescent="0.3">
      <c r="A577" s="5" t="s">
        <v>386</v>
      </c>
      <c r="B577" s="5" t="s">
        <v>5215</v>
      </c>
    </row>
    <row r="578" spans="1:2" x14ac:dyDescent="0.3">
      <c r="A578" s="5" t="s">
        <v>856</v>
      </c>
      <c r="B578" s="5" t="s">
        <v>5374</v>
      </c>
    </row>
    <row r="579" spans="1:2" x14ac:dyDescent="0.3">
      <c r="A579" s="5" t="s">
        <v>1326</v>
      </c>
      <c r="B579" s="5" t="s">
        <v>4661</v>
      </c>
    </row>
    <row r="580" spans="1:2" x14ac:dyDescent="0.3">
      <c r="A580" s="5" t="s">
        <v>2248</v>
      </c>
      <c r="B580" s="5" t="s">
        <v>2249</v>
      </c>
    </row>
    <row r="581" spans="1:2" x14ac:dyDescent="0.3">
      <c r="A581" s="5" t="s">
        <v>1326</v>
      </c>
      <c r="B581" s="5" t="s">
        <v>4661</v>
      </c>
    </row>
    <row r="582" spans="1:2" x14ac:dyDescent="0.3">
      <c r="A582" s="5" t="s">
        <v>2248</v>
      </c>
      <c r="B582" s="5" t="s">
        <v>2249</v>
      </c>
    </row>
    <row r="583" spans="1:2" x14ac:dyDescent="0.3">
      <c r="A583" s="5" t="s">
        <v>3300</v>
      </c>
      <c r="B583" s="5" t="s">
        <v>3341</v>
      </c>
    </row>
    <row r="584" spans="1:2" x14ac:dyDescent="0.3">
      <c r="A584" s="5" t="s">
        <v>3300</v>
      </c>
      <c r="B584" s="5" t="s">
        <v>3341</v>
      </c>
    </row>
    <row r="585" spans="1:2" x14ac:dyDescent="0.3">
      <c r="A585" s="5" t="s">
        <v>673</v>
      </c>
      <c r="B585" s="5" t="s">
        <v>2250</v>
      </c>
    </row>
    <row r="586" spans="1:2" x14ac:dyDescent="0.3">
      <c r="A586" s="5" t="s">
        <v>2945</v>
      </c>
      <c r="B586" s="5" t="s">
        <v>3345</v>
      </c>
    </row>
    <row r="587" spans="1:2" x14ac:dyDescent="0.3">
      <c r="A587" s="5" t="s">
        <v>2727</v>
      </c>
      <c r="B587" s="5" t="s">
        <v>2728</v>
      </c>
    </row>
    <row r="588" spans="1:2" x14ac:dyDescent="0.3">
      <c r="A588" s="5" t="s">
        <v>2989</v>
      </c>
      <c r="B588" s="5" t="s">
        <v>3346</v>
      </c>
    </row>
    <row r="589" spans="1:2" x14ac:dyDescent="0.3">
      <c r="A589" s="5" t="s">
        <v>575</v>
      </c>
      <c r="B589" s="5" t="s">
        <v>2635</v>
      </c>
    </row>
    <row r="590" spans="1:2" x14ac:dyDescent="0.3">
      <c r="A590" s="5" t="s">
        <v>2574</v>
      </c>
      <c r="B590" s="5" t="s">
        <v>3021</v>
      </c>
    </row>
    <row r="591" spans="1:2" x14ac:dyDescent="0.3">
      <c r="A591" s="5" t="s">
        <v>1960</v>
      </c>
      <c r="B591" s="5" t="s">
        <v>1961</v>
      </c>
    </row>
    <row r="592" spans="1:2" x14ac:dyDescent="0.3">
      <c r="A592" s="5" t="s">
        <v>1779</v>
      </c>
      <c r="B592" s="5" t="s">
        <v>1780</v>
      </c>
    </row>
    <row r="593" spans="1:2" x14ac:dyDescent="0.3">
      <c r="A593" s="5" t="s">
        <v>3102</v>
      </c>
      <c r="B593" s="5" t="s">
        <v>3350</v>
      </c>
    </row>
    <row r="594" spans="1:2" x14ac:dyDescent="0.3">
      <c r="A594" s="5" t="s">
        <v>121</v>
      </c>
      <c r="B594" s="5" t="s">
        <v>3342</v>
      </c>
    </row>
    <row r="595" spans="1:2" x14ac:dyDescent="0.3">
      <c r="A595" s="5" t="s">
        <v>2723</v>
      </c>
      <c r="B595" s="5" t="s">
        <v>2724</v>
      </c>
    </row>
    <row r="596" spans="1:2" x14ac:dyDescent="0.3">
      <c r="A596" s="5" t="s">
        <v>673</v>
      </c>
      <c r="B596" s="5" t="s">
        <v>2250</v>
      </c>
    </row>
    <row r="597" spans="1:2" x14ac:dyDescent="0.3">
      <c r="A597" s="5" t="s">
        <v>2945</v>
      </c>
      <c r="B597" s="5" t="s">
        <v>3345</v>
      </c>
    </row>
    <row r="598" spans="1:2" x14ac:dyDescent="0.3">
      <c r="A598" s="5" t="s">
        <v>2989</v>
      </c>
      <c r="B598" s="5" t="s">
        <v>3346</v>
      </c>
    </row>
    <row r="599" spans="1:2" x14ac:dyDescent="0.3">
      <c r="A599" s="5" t="s">
        <v>1960</v>
      </c>
      <c r="B599" s="5" t="s">
        <v>1961</v>
      </c>
    </row>
    <row r="600" spans="1:2" x14ac:dyDescent="0.3">
      <c r="A600" s="5" t="s">
        <v>119</v>
      </c>
      <c r="B600" s="5" t="s">
        <v>3343</v>
      </c>
    </row>
    <row r="601" spans="1:2" x14ac:dyDescent="0.3">
      <c r="A601" s="5" t="s">
        <v>119</v>
      </c>
      <c r="B601" s="5" t="s">
        <v>3343</v>
      </c>
    </row>
    <row r="602" spans="1:2" x14ac:dyDescent="0.3">
      <c r="A602" s="5" t="s">
        <v>674</v>
      </c>
      <c r="B602" s="5" t="s">
        <v>2533</v>
      </c>
    </row>
    <row r="603" spans="1:2" x14ac:dyDescent="0.3">
      <c r="A603" s="5" t="s">
        <v>1211</v>
      </c>
      <c r="B603" s="5" t="s">
        <v>3344</v>
      </c>
    </row>
    <row r="604" spans="1:2" x14ac:dyDescent="0.3">
      <c r="A604" s="5" t="s">
        <v>2945</v>
      </c>
      <c r="B604" s="5" t="s">
        <v>3345</v>
      </c>
    </row>
    <row r="605" spans="1:2" x14ac:dyDescent="0.3">
      <c r="A605" s="5" t="s">
        <v>1960</v>
      </c>
      <c r="B605" s="5" t="s">
        <v>1961</v>
      </c>
    </row>
    <row r="606" spans="1:2" x14ac:dyDescent="0.3">
      <c r="A606" s="5" t="s">
        <v>3066</v>
      </c>
      <c r="B606" s="5" t="s">
        <v>3347</v>
      </c>
    </row>
    <row r="607" spans="1:2" x14ac:dyDescent="0.3">
      <c r="A607" s="5" t="s">
        <v>3079</v>
      </c>
      <c r="B607" s="5" t="s">
        <v>3349</v>
      </c>
    </row>
    <row r="608" spans="1:2" x14ac:dyDescent="0.3">
      <c r="A608" s="5" t="s">
        <v>300</v>
      </c>
      <c r="B608" s="5" t="s">
        <v>2263</v>
      </c>
    </row>
    <row r="609" spans="1:2" x14ac:dyDescent="0.3">
      <c r="A609" s="5" t="s">
        <v>1211</v>
      </c>
      <c r="B609" s="5" t="s">
        <v>3344</v>
      </c>
    </row>
    <row r="610" spans="1:2" x14ac:dyDescent="0.3">
      <c r="A610" s="5" t="s">
        <v>2945</v>
      </c>
      <c r="B610" s="5" t="s">
        <v>3345</v>
      </c>
    </row>
    <row r="611" spans="1:2" x14ac:dyDescent="0.3">
      <c r="A611" s="5" t="s">
        <v>1962</v>
      </c>
      <c r="B611" s="5" t="s">
        <v>1963</v>
      </c>
    </row>
    <row r="612" spans="1:2" x14ac:dyDescent="0.3">
      <c r="A612" s="5" t="s">
        <v>3066</v>
      </c>
      <c r="B612" s="5" t="s">
        <v>3347</v>
      </c>
    </row>
    <row r="613" spans="1:2" x14ac:dyDescent="0.3">
      <c r="A613" s="5" t="s">
        <v>300</v>
      </c>
      <c r="B613" s="5" t="s">
        <v>2263</v>
      </c>
    </row>
    <row r="614" spans="1:2" x14ac:dyDescent="0.3">
      <c r="A614" s="5" t="s">
        <v>661</v>
      </c>
      <c r="B614" s="5" t="s">
        <v>1761</v>
      </c>
    </row>
    <row r="615" spans="1:2" x14ac:dyDescent="0.3">
      <c r="A615" s="5" t="s">
        <v>3066</v>
      </c>
      <c r="B615" s="5" t="s">
        <v>3347</v>
      </c>
    </row>
    <row r="616" spans="1:2" x14ac:dyDescent="0.3">
      <c r="A616" s="5" t="s">
        <v>3067</v>
      </c>
      <c r="B616" s="5" t="s">
        <v>3348</v>
      </c>
    </row>
    <row r="617" spans="1:2" x14ac:dyDescent="0.3">
      <c r="A617" s="5" t="s">
        <v>3067</v>
      </c>
      <c r="B617" s="5" t="s">
        <v>3348</v>
      </c>
    </row>
  </sheetData>
  <autoFilter ref="J2:L236">
    <sortState ref="J3:L236">
      <sortCondition descending="1" ref="L2:L236"/>
    </sortState>
  </autoFilter>
  <conditionalFormatting sqref="A346">
    <cfRule type="duplicateValues" dxfId="90" priority="91"/>
  </conditionalFormatting>
  <conditionalFormatting sqref="A396">
    <cfRule type="duplicateValues" dxfId="89" priority="86"/>
  </conditionalFormatting>
  <conditionalFormatting sqref="A396">
    <cfRule type="duplicateValues" dxfId="88" priority="87"/>
  </conditionalFormatting>
  <conditionalFormatting sqref="A396">
    <cfRule type="duplicateValues" dxfId="87" priority="88"/>
  </conditionalFormatting>
  <conditionalFormatting sqref="A396">
    <cfRule type="duplicateValues" dxfId="86" priority="89"/>
  </conditionalFormatting>
  <conditionalFormatting sqref="A396">
    <cfRule type="duplicateValues" dxfId="85" priority="90"/>
  </conditionalFormatting>
  <conditionalFormatting sqref="A397">
    <cfRule type="duplicateValues" dxfId="84" priority="81"/>
  </conditionalFormatting>
  <conditionalFormatting sqref="A397">
    <cfRule type="duplicateValues" dxfId="83" priority="82"/>
  </conditionalFormatting>
  <conditionalFormatting sqref="A397">
    <cfRule type="duplicateValues" dxfId="82" priority="83"/>
  </conditionalFormatting>
  <conditionalFormatting sqref="A397">
    <cfRule type="duplicateValues" dxfId="81" priority="84"/>
  </conditionalFormatting>
  <conditionalFormatting sqref="A397">
    <cfRule type="duplicateValues" dxfId="80" priority="85"/>
  </conditionalFormatting>
  <conditionalFormatting sqref="A398">
    <cfRule type="duplicateValues" dxfId="79" priority="76"/>
  </conditionalFormatting>
  <conditionalFormatting sqref="A398">
    <cfRule type="duplicateValues" dxfId="78" priority="77"/>
  </conditionalFormatting>
  <conditionalFormatting sqref="A398">
    <cfRule type="duplicateValues" dxfId="77" priority="78"/>
  </conditionalFormatting>
  <conditionalFormatting sqref="A398">
    <cfRule type="duplicateValues" dxfId="76" priority="79"/>
  </conditionalFormatting>
  <conditionalFormatting sqref="A398">
    <cfRule type="duplicateValues" dxfId="75" priority="80"/>
  </conditionalFormatting>
  <conditionalFormatting sqref="A399">
    <cfRule type="duplicateValues" dxfId="74" priority="71"/>
  </conditionalFormatting>
  <conditionalFormatting sqref="A399">
    <cfRule type="duplicateValues" dxfId="73" priority="72"/>
  </conditionalFormatting>
  <conditionalFormatting sqref="A399">
    <cfRule type="duplicateValues" dxfId="72" priority="73"/>
  </conditionalFormatting>
  <conditionalFormatting sqref="A399">
    <cfRule type="duplicateValues" dxfId="71" priority="74"/>
  </conditionalFormatting>
  <conditionalFormatting sqref="A399">
    <cfRule type="duplicateValues" dxfId="70" priority="75"/>
  </conditionalFormatting>
  <conditionalFormatting sqref="A400">
    <cfRule type="duplicateValues" dxfId="69" priority="66"/>
  </conditionalFormatting>
  <conditionalFormatting sqref="A400">
    <cfRule type="duplicateValues" dxfId="68" priority="67"/>
  </conditionalFormatting>
  <conditionalFormatting sqref="A400">
    <cfRule type="duplicateValues" dxfId="67" priority="68"/>
  </conditionalFormatting>
  <conditionalFormatting sqref="A400">
    <cfRule type="duplicateValues" dxfId="66" priority="69"/>
  </conditionalFormatting>
  <conditionalFormatting sqref="A400">
    <cfRule type="duplicateValues" dxfId="65" priority="70"/>
  </conditionalFormatting>
  <conditionalFormatting sqref="A401">
    <cfRule type="duplicateValues" dxfId="64" priority="61"/>
  </conditionalFormatting>
  <conditionalFormatting sqref="A401">
    <cfRule type="duplicateValues" dxfId="63" priority="62"/>
  </conditionalFormatting>
  <conditionalFormatting sqref="A401">
    <cfRule type="duplicateValues" dxfId="62" priority="63"/>
  </conditionalFormatting>
  <conditionalFormatting sqref="A401">
    <cfRule type="duplicateValues" dxfId="61" priority="64"/>
  </conditionalFormatting>
  <conditionalFormatting sqref="A401">
    <cfRule type="duplicateValues" dxfId="60" priority="65"/>
  </conditionalFormatting>
  <conditionalFormatting sqref="A402">
    <cfRule type="duplicateValues" dxfId="59" priority="56"/>
  </conditionalFormatting>
  <conditionalFormatting sqref="A402">
    <cfRule type="duplicateValues" dxfId="58" priority="57"/>
  </conditionalFormatting>
  <conditionalFormatting sqref="A402">
    <cfRule type="duplicateValues" dxfId="57" priority="58"/>
  </conditionalFormatting>
  <conditionalFormatting sqref="A402">
    <cfRule type="duplicateValues" dxfId="56" priority="59"/>
  </conditionalFormatting>
  <conditionalFormatting sqref="A402">
    <cfRule type="duplicateValues" dxfId="55" priority="60"/>
  </conditionalFormatting>
  <conditionalFormatting sqref="A403">
    <cfRule type="duplicateValues" dxfId="54" priority="51"/>
  </conditionalFormatting>
  <conditionalFormatting sqref="A403">
    <cfRule type="duplicateValues" dxfId="53" priority="52"/>
  </conditionalFormatting>
  <conditionalFormatting sqref="A403">
    <cfRule type="duplicateValues" dxfId="52" priority="53"/>
  </conditionalFormatting>
  <conditionalFormatting sqref="A403">
    <cfRule type="duplicateValues" dxfId="51" priority="54"/>
  </conditionalFormatting>
  <conditionalFormatting sqref="A403">
    <cfRule type="duplicateValues" dxfId="50" priority="55"/>
  </conditionalFormatting>
  <conditionalFormatting sqref="A428">
    <cfRule type="duplicateValues" dxfId="49" priority="46"/>
  </conditionalFormatting>
  <conditionalFormatting sqref="A428">
    <cfRule type="duplicateValues" dxfId="48" priority="47"/>
  </conditionalFormatting>
  <conditionalFormatting sqref="A428">
    <cfRule type="duplicateValues" dxfId="47" priority="48"/>
  </conditionalFormatting>
  <conditionalFormatting sqref="A428">
    <cfRule type="duplicateValues" dxfId="46" priority="49"/>
  </conditionalFormatting>
  <conditionalFormatting sqref="A428">
    <cfRule type="duplicateValues" dxfId="45" priority="50"/>
  </conditionalFormatting>
  <conditionalFormatting sqref="A429">
    <cfRule type="duplicateValues" dxfId="44" priority="41"/>
  </conditionalFormatting>
  <conditionalFormatting sqref="A429">
    <cfRule type="duplicateValues" dxfId="43" priority="42"/>
  </conditionalFormatting>
  <conditionalFormatting sqref="A429">
    <cfRule type="duplicateValues" dxfId="42" priority="43"/>
  </conditionalFormatting>
  <conditionalFormatting sqref="A429">
    <cfRule type="duplicateValues" dxfId="41" priority="44"/>
  </conditionalFormatting>
  <conditionalFormatting sqref="A429">
    <cfRule type="duplicateValues" dxfId="40" priority="45"/>
  </conditionalFormatting>
  <conditionalFormatting sqref="A430">
    <cfRule type="duplicateValues" dxfId="39" priority="36"/>
  </conditionalFormatting>
  <conditionalFormatting sqref="A430">
    <cfRule type="duplicateValues" dxfId="38" priority="37"/>
  </conditionalFormatting>
  <conditionalFormatting sqref="A430">
    <cfRule type="duplicateValues" dxfId="37" priority="38"/>
  </conditionalFormatting>
  <conditionalFormatting sqref="A430">
    <cfRule type="duplicateValues" dxfId="36" priority="39"/>
  </conditionalFormatting>
  <conditionalFormatting sqref="A430">
    <cfRule type="duplicateValues" dxfId="35" priority="40"/>
  </conditionalFormatting>
  <conditionalFormatting sqref="A431">
    <cfRule type="duplicateValues" dxfId="34" priority="31"/>
  </conditionalFormatting>
  <conditionalFormatting sqref="A431">
    <cfRule type="duplicateValues" dxfId="33" priority="32"/>
  </conditionalFormatting>
  <conditionalFormatting sqref="A431">
    <cfRule type="duplicateValues" dxfId="32" priority="33"/>
  </conditionalFormatting>
  <conditionalFormatting sqref="A431">
    <cfRule type="duplicateValues" dxfId="31" priority="34"/>
  </conditionalFormatting>
  <conditionalFormatting sqref="A431">
    <cfRule type="duplicateValues" dxfId="30" priority="35"/>
  </conditionalFormatting>
  <conditionalFormatting sqref="A432">
    <cfRule type="duplicateValues" dxfId="29" priority="26"/>
  </conditionalFormatting>
  <conditionalFormatting sqref="A432">
    <cfRule type="duplicateValues" dxfId="28" priority="27"/>
  </conditionalFormatting>
  <conditionalFormatting sqref="A432">
    <cfRule type="duplicateValues" dxfId="27" priority="28"/>
  </conditionalFormatting>
  <conditionalFormatting sqref="A432">
    <cfRule type="duplicateValues" dxfId="26" priority="29"/>
  </conditionalFormatting>
  <conditionalFormatting sqref="A432">
    <cfRule type="duplicateValues" dxfId="25" priority="30"/>
  </conditionalFormatting>
  <conditionalFormatting sqref="A447">
    <cfRule type="duplicateValues" dxfId="24" priority="21"/>
  </conditionalFormatting>
  <conditionalFormatting sqref="A447">
    <cfRule type="duplicateValues" dxfId="23" priority="22"/>
  </conditionalFormatting>
  <conditionalFormatting sqref="A447">
    <cfRule type="duplicateValues" dxfId="22" priority="23"/>
  </conditionalFormatting>
  <conditionalFormatting sqref="A447">
    <cfRule type="duplicateValues" dxfId="21" priority="24"/>
  </conditionalFormatting>
  <conditionalFormatting sqref="A447">
    <cfRule type="duplicateValues" dxfId="20" priority="25"/>
  </conditionalFormatting>
  <conditionalFormatting sqref="A448">
    <cfRule type="duplicateValues" dxfId="19" priority="16"/>
  </conditionalFormatting>
  <conditionalFormatting sqref="A448">
    <cfRule type="duplicateValues" dxfId="18" priority="17"/>
  </conditionalFormatting>
  <conditionalFormatting sqref="A448">
    <cfRule type="duplicateValues" dxfId="17" priority="18"/>
  </conditionalFormatting>
  <conditionalFormatting sqref="A448">
    <cfRule type="duplicateValues" dxfId="16" priority="19"/>
  </conditionalFormatting>
  <conditionalFormatting sqref="A448">
    <cfRule type="duplicateValues" dxfId="15" priority="20"/>
  </conditionalFormatting>
  <conditionalFormatting sqref="A449">
    <cfRule type="duplicateValues" dxfId="14" priority="11"/>
  </conditionalFormatting>
  <conditionalFormatting sqref="A449">
    <cfRule type="duplicateValues" dxfId="13" priority="12"/>
  </conditionalFormatting>
  <conditionalFormatting sqref="A449">
    <cfRule type="duplicateValues" dxfId="12" priority="13"/>
  </conditionalFormatting>
  <conditionalFormatting sqref="A449">
    <cfRule type="duplicateValues" dxfId="11" priority="14"/>
  </conditionalFormatting>
  <conditionalFormatting sqref="A449">
    <cfRule type="duplicateValues" dxfId="10" priority="15"/>
  </conditionalFormatting>
  <conditionalFormatting sqref="A457">
    <cfRule type="duplicateValues" dxfId="9" priority="6"/>
  </conditionalFormatting>
  <conditionalFormatting sqref="A457">
    <cfRule type="duplicateValues" dxfId="8" priority="7"/>
  </conditionalFormatting>
  <conditionalFormatting sqref="A457">
    <cfRule type="duplicateValues" dxfId="7" priority="8"/>
  </conditionalFormatting>
  <conditionalFormatting sqref="A457">
    <cfRule type="duplicateValues" dxfId="6" priority="9"/>
  </conditionalFormatting>
  <conditionalFormatting sqref="A457">
    <cfRule type="duplicateValues" dxfId="5" priority="10"/>
  </conditionalFormatting>
  <conditionalFormatting sqref="A462">
    <cfRule type="duplicateValues" dxfId="4" priority="1"/>
  </conditionalFormatting>
  <conditionalFormatting sqref="A462">
    <cfRule type="duplicateValues" dxfId="3" priority="2"/>
  </conditionalFormatting>
  <conditionalFormatting sqref="A462">
    <cfRule type="duplicateValues" dxfId="2" priority="3"/>
  </conditionalFormatting>
  <conditionalFormatting sqref="A462">
    <cfRule type="duplicateValues" dxfId="1" priority="4"/>
  </conditionalFormatting>
  <conditionalFormatting sqref="A462">
    <cfRule type="duplicateValues" dxfId="0" priority="5"/>
  </conditionalFormatting>
  <dataValidations disablePrompts="1" count="2">
    <dataValidation type="list" allowBlank="1" showInputMessage="1" showErrorMessage="1" sqref="A137:A138">
      <formula1>#REF!</formula1>
    </dataValidation>
    <dataValidation type="list" allowBlank="1" showInputMessage="1" showErrorMessage="1" sqref="A463:A466 A469:A472 A474:A477 A479:A482 A484:A486">
      <formula1>#REF!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7">
        <x14:dataValidation type="list" allowBlank="1" showInputMessage="1" showErrorMessage="1">
          <x14:formula1>
            <xm:f>'[4]Catálogo de productos'!#REF!</xm:f>
          </x14:formula1>
          <xm:sqref>A48</xm:sqref>
        </x14:dataValidation>
        <x14:dataValidation type="list" allowBlank="1" showInputMessage="1" showErrorMessage="1">
          <x14:formula1>
            <xm:f>'[6]Catálogo de productos'!#REF!</xm:f>
          </x14:formula1>
          <xm:sqref>A131:A136 A116:A129 A90:A114 A50:A88 A2:A47</xm:sqref>
        </x14:dataValidation>
        <x14:dataValidation type="list" allowBlank="1" showInputMessage="1" showErrorMessage="1">
          <x14:formula1>
            <xm:f>'[2]Catálogo de productos'!#REF!</xm:f>
          </x14:formula1>
          <xm:sqref>A130 A115 A89 A49</xm:sqref>
        </x14:dataValidation>
        <x14:dataValidation type="list" allowBlank="1" showInputMessage="1" showErrorMessage="1">
          <x14:formula1>
            <xm:f>'[2]Catálogo de productos'!#REF!</xm:f>
          </x14:formula1>
          <xm:sqref>A396:A403 A457 A462 A447:A449 A428:A432</xm:sqref>
        </x14:dataValidation>
        <x14:dataValidation type="list" allowBlank="1" showInputMessage="1" showErrorMessage="1">
          <x14:formula1>
            <xm:f>'[1]Catálogo de productos'!#REF!</xm:f>
          </x14:formula1>
          <xm:sqref>A467:A468 A487 A483 A478 A473 A456 A446 A427 A395</xm:sqref>
        </x14:dataValidation>
        <x14:dataValidation type="list" allowBlank="1" showInputMessage="1" showErrorMessage="1">
          <x14:formula1>
            <xm:f>'[4]Catálogo de productos'!#REF!</xm:f>
          </x14:formula1>
          <xm:sqref>A391:A394 A461 A455 A443:A445 A424:A426</xm:sqref>
        </x14:dataValidation>
        <x14:dataValidation type="list" allowBlank="1" showInputMessage="1" showErrorMessage="1">
          <x14:formula1>
            <xm:f>'[6]Catálogo de productos'!#REF!</xm:f>
          </x14:formula1>
          <xm:sqref>A357:A390 A458:A460 A450:A454 A433:A442 A404:A423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Muestra Total</vt:lpstr>
      <vt:lpstr>Descripción_variables</vt:lpstr>
      <vt:lpstr>Hoja6</vt:lpstr>
      <vt:lpstr>Hoja7</vt:lpstr>
      <vt:lpstr>Hoja8</vt:lpstr>
      <vt:lpstr>Hoja9</vt:lpstr>
      <vt:lpstr>Hoja10</vt:lpstr>
      <vt:lpstr>Hoja11</vt:lpstr>
      <vt:lpstr>Hoja12</vt:lpstr>
      <vt:lpstr>Hoja13</vt:lpstr>
      <vt:lpstr>Hoja14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Adrian Guerra</dc:creator>
  <cp:lastModifiedBy>INEC Omar Llambo</cp:lastModifiedBy>
  <cp:lastPrinted>2025-01-21T15:09:32Z</cp:lastPrinted>
  <dcterms:created xsi:type="dcterms:W3CDTF">2025-01-13T18:43:53Z</dcterms:created>
  <dcterms:modified xsi:type="dcterms:W3CDTF">2025-02-10T15:25:12Z</dcterms:modified>
</cp:coreProperties>
</file>